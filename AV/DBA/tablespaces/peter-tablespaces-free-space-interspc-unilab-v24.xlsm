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tablespaces/"/>
    </mc:Choice>
  </mc:AlternateContent>
  <xr:revisionPtr revIDLastSave="0" documentId="8_{1D8627DC-7052-4EB8-8F8E-CC0196F67EE7}" xr6:coauthVersionLast="47" xr6:coauthVersionMax="47" xr10:uidLastSave="{00000000-0000-0000-0000-000000000000}"/>
  <bookViews>
    <workbookView xWindow="32790" yWindow="735" windowWidth="36810" windowHeight="16230" tabRatio="411" activeTab="3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INTERSPC!$A$1:$N$1211</definedName>
    <definedName name="_xlnm._FilterDatabase" localSheetId="0" hidden="1">UNILAB!$A$1:$N$1211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202" i="2" l="1"/>
  <c r="L1203" i="2"/>
  <c r="L1204" i="2"/>
  <c r="L1205" i="2"/>
  <c r="L1206" i="2"/>
  <c r="L1207" i="2"/>
  <c r="L1208" i="2"/>
  <c r="L1209" i="2"/>
  <c r="L1210" i="2"/>
  <c r="L1211" i="2"/>
  <c r="M1202" i="2"/>
  <c r="M1203" i="2"/>
  <c r="M1204" i="2"/>
  <c r="M1205" i="2"/>
  <c r="M1206" i="2"/>
  <c r="M1207" i="2"/>
  <c r="M1208" i="2"/>
  <c r="M1209" i="2"/>
  <c r="M1210" i="2"/>
  <c r="M1211" i="2"/>
  <c r="N1202" i="2"/>
  <c r="N1203" i="2"/>
  <c r="N1206" i="2"/>
  <c r="N1207" i="2"/>
  <c r="N1210" i="2"/>
  <c r="N1211" i="2"/>
  <c r="L1202" i="1"/>
  <c r="L1203" i="1"/>
  <c r="L1204" i="1"/>
  <c r="L1205" i="1"/>
  <c r="L1206" i="1"/>
  <c r="L1207" i="1"/>
  <c r="L1208" i="1"/>
  <c r="L1209" i="1"/>
  <c r="L1210" i="1"/>
  <c r="L1211" i="1"/>
  <c r="M1202" i="1"/>
  <c r="M1203" i="1"/>
  <c r="M1204" i="1"/>
  <c r="M1205" i="1"/>
  <c r="M1206" i="1"/>
  <c r="M1207" i="1"/>
  <c r="M1208" i="1"/>
  <c r="M1209" i="1"/>
  <c r="M1210" i="1"/>
  <c r="M1211" i="1"/>
  <c r="N1202" i="1"/>
  <c r="N1203" i="1"/>
  <c r="N1204" i="1"/>
  <c r="N1205" i="1"/>
  <c r="N1206" i="1"/>
  <c r="N1207" i="1"/>
  <c r="N1208" i="1"/>
  <c r="N1209" i="1"/>
  <c r="N1210" i="1"/>
  <c r="N1211" i="1"/>
  <c r="L1192" i="2"/>
  <c r="L1193" i="2"/>
  <c r="L1194" i="2"/>
  <c r="L1195" i="2"/>
  <c r="L1196" i="2"/>
  <c r="N1196" i="2" s="1"/>
  <c r="L1197" i="2"/>
  <c r="N1197" i="2" s="1"/>
  <c r="L1198" i="2"/>
  <c r="L1199" i="2"/>
  <c r="L1200" i="2"/>
  <c r="L1201" i="2"/>
  <c r="M1192" i="2"/>
  <c r="M1193" i="2"/>
  <c r="M1194" i="2"/>
  <c r="M1195" i="2"/>
  <c r="M1196" i="2"/>
  <c r="M1197" i="2"/>
  <c r="M1198" i="2"/>
  <c r="M1199" i="2"/>
  <c r="M1200" i="2"/>
  <c r="M1201" i="2"/>
  <c r="N1192" i="2"/>
  <c r="N1193" i="2"/>
  <c r="N1200" i="2"/>
  <c r="N1201" i="2"/>
  <c r="L1192" i="1"/>
  <c r="L1193" i="1"/>
  <c r="L1194" i="1"/>
  <c r="L1195" i="1"/>
  <c r="L1196" i="1"/>
  <c r="N1196" i="1" s="1"/>
  <c r="L1197" i="1"/>
  <c r="L1198" i="1"/>
  <c r="L1199" i="1"/>
  <c r="L1200" i="1"/>
  <c r="L1201" i="1"/>
  <c r="M1192" i="1"/>
  <c r="M1193" i="1"/>
  <c r="M1194" i="1"/>
  <c r="M1195" i="1"/>
  <c r="M1196" i="1"/>
  <c r="M1197" i="1"/>
  <c r="M1198" i="1"/>
  <c r="M1199" i="1"/>
  <c r="M1200" i="1"/>
  <c r="M1201" i="1"/>
  <c r="N1192" i="1"/>
  <c r="N1193" i="1"/>
  <c r="N1194" i="1"/>
  <c r="N1197" i="1"/>
  <c r="N1198" i="1"/>
  <c r="N1200" i="1"/>
  <c r="N1201" i="1"/>
  <c r="L1182" i="2"/>
  <c r="L1183" i="2"/>
  <c r="L1184" i="2"/>
  <c r="L1185" i="2"/>
  <c r="L1186" i="2"/>
  <c r="L1187" i="2"/>
  <c r="L1188" i="2"/>
  <c r="L1189" i="2"/>
  <c r="L1190" i="2"/>
  <c r="L1191" i="2"/>
  <c r="M1182" i="2"/>
  <c r="M1183" i="2"/>
  <c r="M1184" i="2"/>
  <c r="M1185" i="2"/>
  <c r="M1186" i="2"/>
  <c r="M1187" i="2"/>
  <c r="N1187" i="2" s="1"/>
  <c r="M1188" i="2"/>
  <c r="M1189" i="2"/>
  <c r="M1190" i="2"/>
  <c r="M1191" i="2"/>
  <c r="N1190" i="2"/>
  <c r="L1182" i="1"/>
  <c r="L1183" i="1"/>
  <c r="L1184" i="1"/>
  <c r="L1185" i="1"/>
  <c r="L1186" i="1"/>
  <c r="L1187" i="1"/>
  <c r="N1187" i="1" s="1"/>
  <c r="L1188" i="1"/>
  <c r="L1189" i="1"/>
  <c r="L1190" i="1"/>
  <c r="L1191" i="1"/>
  <c r="N1191" i="1" s="1"/>
  <c r="M1182" i="1"/>
  <c r="N1182" i="1" s="1"/>
  <c r="M1183" i="1"/>
  <c r="M1184" i="1"/>
  <c r="M1185" i="1"/>
  <c r="M1186" i="1"/>
  <c r="N1186" i="1" s="1"/>
  <c r="M1187" i="1"/>
  <c r="M1188" i="1"/>
  <c r="M1189" i="1"/>
  <c r="M1190" i="1"/>
  <c r="N1190" i="1" s="1"/>
  <c r="M1191" i="1"/>
  <c r="N1188" i="1"/>
  <c r="L1172" i="2"/>
  <c r="L1173" i="2"/>
  <c r="L1174" i="2"/>
  <c r="L1175" i="2"/>
  <c r="L1176" i="2"/>
  <c r="L1177" i="2"/>
  <c r="L1178" i="2"/>
  <c r="L1179" i="2"/>
  <c r="L1180" i="2"/>
  <c r="L1181" i="2"/>
  <c r="M1172" i="2"/>
  <c r="N1172" i="2" s="1"/>
  <c r="M1173" i="2"/>
  <c r="M1174" i="2"/>
  <c r="M1175" i="2"/>
  <c r="M1176" i="2"/>
  <c r="N1176" i="2" s="1"/>
  <c r="M1177" i="2"/>
  <c r="M1178" i="2"/>
  <c r="M1179" i="2"/>
  <c r="M1180" i="2"/>
  <c r="N1180" i="2" s="1"/>
  <c r="M1181" i="2"/>
  <c r="L1172" i="1"/>
  <c r="L1173" i="1"/>
  <c r="L1174" i="1"/>
  <c r="L1175" i="1"/>
  <c r="L1176" i="1"/>
  <c r="L1177" i="1"/>
  <c r="L1178" i="1"/>
  <c r="L1179" i="1"/>
  <c r="L1180" i="1"/>
  <c r="L1181" i="1"/>
  <c r="M1172" i="1"/>
  <c r="M1173" i="1"/>
  <c r="N1173" i="1" s="1"/>
  <c r="M1174" i="1"/>
  <c r="M1175" i="1"/>
  <c r="M1176" i="1"/>
  <c r="M1177" i="1"/>
  <c r="N1177" i="1" s="1"/>
  <c r="M1178" i="1"/>
  <c r="M1179" i="1"/>
  <c r="M1180" i="1"/>
  <c r="M1181" i="1"/>
  <c r="N1181" i="1"/>
  <c r="L1162" i="2"/>
  <c r="L1163" i="2"/>
  <c r="L1164" i="2"/>
  <c r="L1165" i="2"/>
  <c r="L1166" i="2"/>
  <c r="L1167" i="2"/>
  <c r="L1168" i="2"/>
  <c r="L1169" i="2"/>
  <c r="L1170" i="2"/>
  <c r="L1171" i="2"/>
  <c r="N1171" i="2" s="1"/>
  <c r="M1162" i="2"/>
  <c r="M1163" i="2"/>
  <c r="M1164" i="2"/>
  <c r="M1165" i="2"/>
  <c r="M1166" i="2"/>
  <c r="M1167" i="2"/>
  <c r="M1168" i="2"/>
  <c r="M1169" i="2"/>
  <c r="M1170" i="2"/>
  <c r="M1171" i="2"/>
  <c r="L1162" i="1"/>
  <c r="L1163" i="1"/>
  <c r="L1164" i="1"/>
  <c r="L1165" i="1"/>
  <c r="L1166" i="1"/>
  <c r="L1167" i="1"/>
  <c r="L1168" i="1"/>
  <c r="L1169" i="1"/>
  <c r="L1170" i="1"/>
  <c r="L1171" i="1"/>
  <c r="M1162" i="1"/>
  <c r="N1162" i="1" s="1"/>
  <c r="M1163" i="1"/>
  <c r="M1164" i="1"/>
  <c r="M1165" i="1"/>
  <c r="M1166" i="1"/>
  <c r="M1167" i="1"/>
  <c r="N1167" i="1" s="1"/>
  <c r="M1168" i="1"/>
  <c r="M1169" i="1"/>
  <c r="M1170" i="1"/>
  <c r="M1171" i="1"/>
  <c r="N1170" i="1"/>
  <c r="L1152" i="1"/>
  <c r="L1153" i="1"/>
  <c r="L1154" i="1"/>
  <c r="L1155" i="1"/>
  <c r="L1156" i="1"/>
  <c r="L1157" i="1"/>
  <c r="L1158" i="1"/>
  <c r="L1159" i="1"/>
  <c r="L1160" i="1"/>
  <c r="L1161" i="1"/>
  <c r="M1152" i="1"/>
  <c r="N1152" i="1" s="1"/>
  <c r="M1153" i="1"/>
  <c r="M1154" i="1"/>
  <c r="M1155" i="1"/>
  <c r="M1156" i="1"/>
  <c r="N1156" i="1" s="1"/>
  <c r="M1157" i="1"/>
  <c r="N1157" i="1" s="1"/>
  <c r="M1158" i="1"/>
  <c r="M1159" i="1"/>
  <c r="M1160" i="1"/>
  <c r="N1160" i="1" s="1"/>
  <c r="M1161" i="1"/>
  <c r="L1152" i="2"/>
  <c r="L1153" i="2"/>
  <c r="L1154" i="2"/>
  <c r="L1155" i="2"/>
  <c r="L1156" i="2"/>
  <c r="L1157" i="2"/>
  <c r="L1158" i="2"/>
  <c r="L1159" i="2"/>
  <c r="L1160" i="2"/>
  <c r="L1161" i="2"/>
  <c r="M1152" i="2"/>
  <c r="M1153" i="2"/>
  <c r="M1154" i="2"/>
  <c r="M1155" i="2"/>
  <c r="M1156" i="2"/>
  <c r="M1157" i="2"/>
  <c r="M1158" i="2"/>
  <c r="M1159" i="2"/>
  <c r="M1160" i="2"/>
  <c r="M1161" i="2"/>
  <c r="L1142" i="2"/>
  <c r="L1143" i="2"/>
  <c r="L1144" i="2"/>
  <c r="N1144" i="2" s="1"/>
  <c r="L1145" i="2"/>
  <c r="L1146" i="2"/>
  <c r="L1147" i="2"/>
  <c r="L1148" i="2"/>
  <c r="L1149" i="2"/>
  <c r="L1150" i="2"/>
  <c r="L1151" i="2"/>
  <c r="M1142" i="2"/>
  <c r="M1143" i="2"/>
  <c r="M1144" i="2"/>
  <c r="M1145" i="2"/>
  <c r="M1146" i="2"/>
  <c r="M1147" i="2"/>
  <c r="M1148" i="2"/>
  <c r="M1149" i="2"/>
  <c r="M1150" i="2"/>
  <c r="M1151" i="2"/>
  <c r="L1142" i="1"/>
  <c r="L1143" i="1"/>
  <c r="L1144" i="1"/>
  <c r="L1145" i="1"/>
  <c r="L1146" i="1"/>
  <c r="L1147" i="1"/>
  <c r="N1147" i="1" s="1"/>
  <c r="L1148" i="1"/>
  <c r="L1149" i="1"/>
  <c r="L1150" i="1"/>
  <c r="L1151" i="1"/>
  <c r="N1151" i="1" s="1"/>
  <c r="M1142" i="1"/>
  <c r="M1143" i="1"/>
  <c r="M1144" i="1"/>
  <c r="M1145" i="1"/>
  <c r="M1146" i="1"/>
  <c r="N1146" i="1" s="1"/>
  <c r="M1147" i="1"/>
  <c r="M1148" i="1"/>
  <c r="M1149" i="1"/>
  <c r="M1150" i="1"/>
  <c r="M1151" i="1"/>
  <c r="L1132" i="2"/>
  <c r="L1133" i="2"/>
  <c r="L1134" i="2"/>
  <c r="L1135" i="2"/>
  <c r="L1136" i="2"/>
  <c r="L1137" i="2"/>
  <c r="L1138" i="2"/>
  <c r="L1139" i="2"/>
  <c r="L1140" i="2"/>
  <c r="L1141" i="2"/>
  <c r="M1132" i="2"/>
  <c r="M1133" i="2"/>
  <c r="M1134" i="2"/>
  <c r="M1135" i="2"/>
  <c r="M1136" i="2"/>
  <c r="M1137" i="2"/>
  <c r="M1138" i="2"/>
  <c r="M1139" i="2"/>
  <c r="M1140" i="2"/>
  <c r="M1141" i="2"/>
  <c r="L1132" i="1"/>
  <c r="L1133" i="1"/>
  <c r="L1134" i="1"/>
  <c r="L1135" i="1"/>
  <c r="L1136" i="1"/>
  <c r="L1137" i="1"/>
  <c r="L1138" i="1"/>
  <c r="L1139" i="1"/>
  <c r="L1140" i="1"/>
  <c r="L1141" i="1"/>
  <c r="M1132" i="1"/>
  <c r="M1133" i="1"/>
  <c r="M1134" i="1"/>
  <c r="N1134" i="1" s="1"/>
  <c r="M1135" i="1"/>
  <c r="M1136" i="1"/>
  <c r="M1137" i="1"/>
  <c r="M1138" i="1"/>
  <c r="N1138" i="1" s="1"/>
  <c r="M1139" i="1"/>
  <c r="M1140" i="1"/>
  <c r="M1141" i="1"/>
  <c r="N1132" i="1"/>
  <c r="L1122" i="2"/>
  <c r="L1123" i="2"/>
  <c r="L1124" i="2"/>
  <c r="L1125" i="2"/>
  <c r="L1126" i="2"/>
  <c r="L1127" i="2"/>
  <c r="L1128" i="2"/>
  <c r="L1129" i="2"/>
  <c r="L1130" i="2"/>
  <c r="L1131" i="2"/>
  <c r="M1122" i="2"/>
  <c r="M1123" i="2"/>
  <c r="M1124" i="2"/>
  <c r="M1125" i="2"/>
  <c r="M1126" i="2"/>
  <c r="M1127" i="2"/>
  <c r="M1128" i="2"/>
  <c r="M1129" i="2"/>
  <c r="M1130" i="2"/>
  <c r="M1131" i="2"/>
  <c r="L1122" i="1"/>
  <c r="L1123" i="1"/>
  <c r="L1124" i="1"/>
  <c r="L1125" i="1"/>
  <c r="L1126" i="1"/>
  <c r="L1127" i="1"/>
  <c r="L1128" i="1"/>
  <c r="L1129" i="1"/>
  <c r="L1130" i="1"/>
  <c r="L1131" i="1"/>
  <c r="M1122" i="1"/>
  <c r="M1123" i="1"/>
  <c r="M1124" i="1"/>
  <c r="M1125" i="1"/>
  <c r="M1126" i="1"/>
  <c r="M1127" i="1"/>
  <c r="M1128" i="1"/>
  <c r="M1129" i="1"/>
  <c r="M1130" i="1"/>
  <c r="M1131" i="1"/>
  <c r="L1112" i="2"/>
  <c r="L1113" i="2"/>
  <c r="L1114" i="2"/>
  <c r="L1115" i="2"/>
  <c r="L1116" i="2"/>
  <c r="L1117" i="2"/>
  <c r="L1118" i="2"/>
  <c r="L1119" i="2"/>
  <c r="L1120" i="2"/>
  <c r="L1121" i="2"/>
  <c r="M1112" i="2"/>
  <c r="M1113" i="2"/>
  <c r="M1114" i="2"/>
  <c r="M1115" i="2"/>
  <c r="M1116" i="2"/>
  <c r="M1117" i="2"/>
  <c r="M1118" i="2"/>
  <c r="M1119" i="2"/>
  <c r="M1120" i="2"/>
  <c r="M1121" i="2"/>
  <c r="L1112" i="1"/>
  <c r="L1113" i="1"/>
  <c r="L1114" i="1"/>
  <c r="L1115" i="1"/>
  <c r="L1116" i="1"/>
  <c r="L1117" i="1"/>
  <c r="L1118" i="1"/>
  <c r="L1119" i="1"/>
  <c r="L1120" i="1"/>
  <c r="L1121" i="1"/>
  <c r="M1112" i="1"/>
  <c r="M1113" i="1"/>
  <c r="M1114" i="1"/>
  <c r="M1115" i="1"/>
  <c r="M1116" i="1"/>
  <c r="M1117" i="1"/>
  <c r="M1118" i="1"/>
  <c r="M1119" i="1"/>
  <c r="M1120" i="1"/>
  <c r="M1121" i="1"/>
  <c r="L1102" i="2"/>
  <c r="L1103" i="2"/>
  <c r="L1104" i="2"/>
  <c r="L1105" i="2"/>
  <c r="L1106" i="2"/>
  <c r="L1107" i="2"/>
  <c r="L1108" i="2"/>
  <c r="L1109" i="2"/>
  <c r="L1110" i="2"/>
  <c r="L1111" i="2"/>
  <c r="M1102" i="2"/>
  <c r="M1103" i="2"/>
  <c r="M1104" i="2"/>
  <c r="M1105" i="2"/>
  <c r="M1106" i="2"/>
  <c r="M1107" i="2"/>
  <c r="M1108" i="2"/>
  <c r="M1109" i="2"/>
  <c r="M1110" i="2"/>
  <c r="M1111" i="2"/>
  <c r="L1102" i="1"/>
  <c r="L1103" i="1"/>
  <c r="L1104" i="1"/>
  <c r="L1105" i="1"/>
  <c r="L1106" i="1"/>
  <c r="L1107" i="1"/>
  <c r="L1108" i="1"/>
  <c r="L1109" i="1"/>
  <c r="L1110" i="1"/>
  <c r="L1111" i="1"/>
  <c r="M1102" i="1"/>
  <c r="M1103" i="1"/>
  <c r="M1104" i="1"/>
  <c r="M1105" i="1"/>
  <c r="M1106" i="1"/>
  <c r="M1107" i="1"/>
  <c r="M1108" i="1"/>
  <c r="M1109" i="1"/>
  <c r="M1110" i="1"/>
  <c r="M1111" i="1"/>
  <c r="L1092" i="2"/>
  <c r="L1093" i="2"/>
  <c r="L1094" i="2"/>
  <c r="L1095" i="2"/>
  <c r="L1096" i="2"/>
  <c r="L1097" i="2"/>
  <c r="L1098" i="2"/>
  <c r="L1099" i="2"/>
  <c r="L1100" i="2"/>
  <c r="L1101" i="2"/>
  <c r="M1092" i="2"/>
  <c r="M1093" i="2"/>
  <c r="M1094" i="2"/>
  <c r="M1095" i="2"/>
  <c r="M1096" i="2"/>
  <c r="M1097" i="2"/>
  <c r="M1098" i="2"/>
  <c r="M1099" i="2"/>
  <c r="M1100" i="2"/>
  <c r="M1101" i="2"/>
  <c r="L1092" i="1"/>
  <c r="L1093" i="1"/>
  <c r="L1094" i="1"/>
  <c r="L1095" i="1"/>
  <c r="L1096" i="1"/>
  <c r="L1097" i="1"/>
  <c r="L1098" i="1"/>
  <c r="L1099" i="1"/>
  <c r="L1100" i="1"/>
  <c r="L1101" i="1"/>
  <c r="M1092" i="1"/>
  <c r="M1093" i="1"/>
  <c r="M1094" i="1"/>
  <c r="M1095" i="1"/>
  <c r="M1096" i="1"/>
  <c r="M1097" i="1"/>
  <c r="M1098" i="1"/>
  <c r="M1099" i="1"/>
  <c r="M1100" i="1"/>
  <c r="M1101" i="1"/>
  <c r="L1082" i="2"/>
  <c r="L1083" i="2"/>
  <c r="L1084" i="2"/>
  <c r="L1085" i="2"/>
  <c r="L1086" i="2"/>
  <c r="L1087" i="2"/>
  <c r="L1088" i="2"/>
  <c r="L1089" i="2"/>
  <c r="L1090" i="2"/>
  <c r="L1091" i="2"/>
  <c r="M1082" i="2"/>
  <c r="M1083" i="2"/>
  <c r="M1084" i="2"/>
  <c r="M1085" i="2"/>
  <c r="M1086" i="2"/>
  <c r="M1087" i="2"/>
  <c r="M1088" i="2"/>
  <c r="M1089" i="2"/>
  <c r="M1090" i="2"/>
  <c r="M1091" i="2"/>
  <c r="L1082" i="1"/>
  <c r="L1083" i="1"/>
  <c r="L1084" i="1"/>
  <c r="L1085" i="1"/>
  <c r="L1086" i="1"/>
  <c r="L1087" i="1"/>
  <c r="L1088" i="1"/>
  <c r="L1089" i="1"/>
  <c r="L1090" i="1"/>
  <c r="L1091" i="1"/>
  <c r="M1082" i="1"/>
  <c r="M1083" i="1"/>
  <c r="M1084" i="1"/>
  <c r="M1085" i="1"/>
  <c r="M1086" i="1"/>
  <c r="M1087" i="1"/>
  <c r="M1088" i="1"/>
  <c r="M1089" i="1"/>
  <c r="M1090" i="1"/>
  <c r="M1091" i="1"/>
  <c r="L1072" i="2"/>
  <c r="L1073" i="2"/>
  <c r="L1074" i="2"/>
  <c r="L1075" i="2"/>
  <c r="L1076" i="2"/>
  <c r="L1077" i="2"/>
  <c r="L1078" i="2"/>
  <c r="L1079" i="2"/>
  <c r="L1080" i="2"/>
  <c r="L1081" i="2"/>
  <c r="M1072" i="2"/>
  <c r="M1073" i="2"/>
  <c r="M1074" i="2"/>
  <c r="M1075" i="2"/>
  <c r="M1076" i="2"/>
  <c r="M1077" i="2"/>
  <c r="M1078" i="2"/>
  <c r="M1079" i="2"/>
  <c r="M1080" i="2"/>
  <c r="M1081" i="2"/>
  <c r="L1072" i="1"/>
  <c r="L1073" i="1"/>
  <c r="L1074" i="1"/>
  <c r="L1075" i="1"/>
  <c r="L1076" i="1"/>
  <c r="L1077" i="1"/>
  <c r="L1078" i="1"/>
  <c r="L1079" i="1"/>
  <c r="L1080" i="1"/>
  <c r="L1081" i="1"/>
  <c r="M1072" i="1"/>
  <c r="M1073" i="1"/>
  <c r="M1074" i="1"/>
  <c r="M1075" i="1"/>
  <c r="M1076" i="1"/>
  <c r="M1077" i="1"/>
  <c r="M1078" i="1"/>
  <c r="M1079" i="1"/>
  <c r="M1080" i="1"/>
  <c r="M1081" i="1"/>
  <c r="L1062" i="2"/>
  <c r="L1063" i="2"/>
  <c r="L1064" i="2"/>
  <c r="L1065" i="2"/>
  <c r="L1066" i="2"/>
  <c r="L1067" i="2"/>
  <c r="L1068" i="2"/>
  <c r="L1069" i="2"/>
  <c r="L1070" i="2"/>
  <c r="L1071" i="2"/>
  <c r="M1062" i="2"/>
  <c r="M1063" i="2"/>
  <c r="M1064" i="2"/>
  <c r="M1065" i="2"/>
  <c r="M1066" i="2"/>
  <c r="M1067" i="2"/>
  <c r="M1068" i="2"/>
  <c r="M1069" i="2"/>
  <c r="M1070" i="2"/>
  <c r="M1071" i="2"/>
  <c r="L1062" i="1"/>
  <c r="L1063" i="1"/>
  <c r="L1064" i="1"/>
  <c r="L1065" i="1"/>
  <c r="L1066" i="1"/>
  <c r="L1067" i="1"/>
  <c r="L1068" i="1"/>
  <c r="L1069" i="1"/>
  <c r="L1070" i="1"/>
  <c r="L1071" i="1"/>
  <c r="M1062" i="1"/>
  <c r="M1063" i="1"/>
  <c r="M1064" i="1"/>
  <c r="M1065" i="1"/>
  <c r="M1066" i="1"/>
  <c r="M1067" i="1"/>
  <c r="M1068" i="1"/>
  <c r="M1069" i="1"/>
  <c r="M1070" i="1"/>
  <c r="M1071" i="1"/>
  <c r="L1052" i="2"/>
  <c r="L1053" i="2"/>
  <c r="L1054" i="2"/>
  <c r="L1055" i="2"/>
  <c r="L1056" i="2"/>
  <c r="L1057" i="2"/>
  <c r="L1058" i="2"/>
  <c r="L1059" i="2"/>
  <c r="L1060" i="2"/>
  <c r="L1061" i="2"/>
  <c r="M1052" i="2"/>
  <c r="M1053" i="2"/>
  <c r="M1054" i="2"/>
  <c r="M1055" i="2"/>
  <c r="M1056" i="2"/>
  <c r="M1057" i="2"/>
  <c r="M1058" i="2"/>
  <c r="M1059" i="2"/>
  <c r="M1060" i="2"/>
  <c r="M1061" i="2"/>
  <c r="L1052" i="1"/>
  <c r="L1053" i="1"/>
  <c r="L1054" i="1"/>
  <c r="L1055" i="1"/>
  <c r="L1056" i="1"/>
  <c r="L1057" i="1"/>
  <c r="L1058" i="1"/>
  <c r="L1059" i="1"/>
  <c r="L1060" i="1"/>
  <c r="L1061" i="1"/>
  <c r="M1052" i="1"/>
  <c r="M1053" i="1"/>
  <c r="M1054" i="1"/>
  <c r="M1055" i="1"/>
  <c r="M1056" i="1"/>
  <c r="M1057" i="1"/>
  <c r="M1058" i="1"/>
  <c r="M1059" i="1"/>
  <c r="M1060" i="1"/>
  <c r="M1061" i="1"/>
  <c r="L1042" i="2"/>
  <c r="L1043" i="2"/>
  <c r="L1044" i="2"/>
  <c r="L1045" i="2"/>
  <c r="L1046" i="2"/>
  <c r="L1047" i="2"/>
  <c r="L1048" i="2"/>
  <c r="L1049" i="2"/>
  <c r="L1050" i="2"/>
  <c r="L1051" i="2"/>
  <c r="M1042" i="2"/>
  <c r="M1043" i="2"/>
  <c r="M1044" i="2"/>
  <c r="M1045" i="2"/>
  <c r="M1046" i="2"/>
  <c r="M1047" i="2"/>
  <c r="M1048" i="2"/>
  <c r="M1049" i="2"/>
  <c r="M1050" i="2"/>
  <c r="M1051" i="2"/>
  <c r="L1042" i="1"/>
  <c r="L1043" i="1"/>
  <c r="L1044" i="1"/>
  <c r="L1045" i="1"/>
  <c r="L1046" i="1"/>
  <c r="L1047" i="1"/>
  <c r="L1048" i="1"/>
  <c r="L1049" i="1"/>
  <c r="L1050" i="1"/>
  <c r="L1051" i="1"/>
  <c r="M1042" i="1"/>
  <c r="M1043" i="1"/>
  <c r="M1044" i="1"/>
  <c r="M1045" i="1"/>
  <c r="M1046" i="1"/>
  <c r="M1047" i="1"/>
  <c r="M1048" i="1"/>
  <c r="M1049" i="1"/>
  <c r="M1050" i="1"/>
  <c r="M1051" i="1"/>
  <c r="L1032" i="2"/>
  <c r="L1033" i="2"/>
  <c r="L1034" i="2"/>
  <c r="L1035" i="2"/>
  <c r="L1036" i="2"/>
  <c r="L1037" i="2"/>
  <c r="L1038" i="2"/>
  <c r="L1039" i="2"/>
  <c r="L1040" i="2"/>
  <c r="L1041" i="2"/>
  <c r="M1032" i="2"/>
  <c r="M1033" i="2"/>
  <c r="M1034" i="2"/>
  <c r="M1035" i="2"/>
  <c r="M1036" i="2"/>
  <c r="M1037" i="2"/>
  <c r="M1038" i="2"/>
  <c r="M1039" i="2"/>
  <c r="M1040" i="2"/>
  <c r="M1041" i="2"/>
  <c r="L1032" i="1"/>
  <c r="L1033" i="1"/>
  <c r="L1034" i="1"/>
  <c r="L1035" i="1"/>
  <c r="L1036" i="1"/>
  <c r="L1037" i="1"/>
  <c r="L1038" i="1"/>
  <c r="L1039" i="1"/>
  <c r="L1040" i="1"/>
  <c r="L1041" i="1"/>
  <c r="M1032" i="1"/>
  <c r="M1033" i="1"/>
  <c r="M1034" i="1"/>
  <c r="M1035" i="1"/>
  <c r="M1036" i="1"/>
  <c r="M1037" i="1"/>
  <c r="M1038" i="1"/>
  <c r="M1039" i="1"/>
  <c r="M1040" i="1"/>
  <c r="M1041" i="1"/>
  <c r="L1022" i="2"/>
  <c r="L1023" i="2"/>
  <c r="L1024" i="2"/>
  <c r="L1025" i="2"/>
  <c r="L1026" i="2"/>
  <c r="L1027" i="2"/>
  <c r="L1028" i="2"/>
  <c r="L1029" i="2"/>
  <c r="L1030" i="2"/>
  <c r="L1031" i="2"/>
  <c r="M1022" i="2"/>
  <c r="M1023" i="2"/>
  <c r="M1024" i="2"/>
  <c r="M1025" i="2"/>
  <c r="M1026" i="2"/>
  <c r="M1027" i="2"/>
  <c r="M1028" i="2"/>
  <c r="M1029" i="2"/>
  <c r="M1030" i="2"/>
  <c r="M1031" i="2"/>
  <c r="L1022" i="1"/>
  <c r="L1023" i="1"/>
  <c r="L1024" i="1"/>
  <c r="L1025" i="1"/>
  <c r="L1026" i="1"/>
  <c r="L1027" i="1"/>
  <c r="L1028" i="1"/>
  <c r="L1029" i="1"/>
  <c r="L1030" i="1"/>
  <c r="L1031" i="1"/>
  <c r="M1022" i="1"/>
  <c r="M1023" i="1"/>
  <c r="M1024" i="1"/>
  <c r="M1025" i="1"/>
  <c r="M1026" i="1"/>
  <c r="M1027" i="1"/>
  <c r="M1028" i="1"/>
  <c r="M1029" i="1"/>
  <c r="M1030" i="1"/>
  <c r="M1031" i="1"/>
  <c r="L1012" i="2"/>
  <c r="L1013" i="2"/>
  <c r="L1014" i="2"/>
  <c r="L1015" i="2"/>
  <c r="L1016" i="2"/>
  <c r="L1017" i="2"/>
  <c r="L1018" i="2"/>
  <c r="L1019" i="2"/>
  <c r="L1020" i="2"/>
  <c r="L1021" i="2"/>
  <c r="M1012" i="2"/>
  <c r="M1013" i="2"/>
  <c r="M1014" i="2"/>
  <c r="M1015" i="2"/>
  <c r="M1016" i="2"/>
  <c r="M1017" i="2"/>
  <c r="M1018" i="2"/>
  <c r="M1019" i="2"/>
  <c r="M1020" i="2"/>
  <c r="M1021" i="2"/>
  <c r="L1012" i="1"/>
  <c r="L1013" i="1"/>
  <c r="L1014" i="1"/>
  <c r="L1015" i="1"/>
  <c r="L1016" i="1"/>
  <c r="L1017" i="1"/>
  <c r="L1018" i="1"/>
  <c r="L1019" i="1"/>
  <c r="L1020" i="1"/>
  <c r="L1021" i="1"/>
  <c r="M1012" i="1"/>
  <c r="M1013" i="1"/>
  <c r="M1014" i="1"/>
  <c r="M1015" i="1"/>
  <c r="M1016" i="1"/>
  <c r="M1017" i="1"/>
  <c r="M1018" i="1"/>
  <c r="M1019" i="1"/>
  <c r="M1020" i="1"/>
  <c r="M1021" i="1"/>
  <c r="L1002" i="2"/>
  <c r="L1003" i="2"/>
  <c r="L1004" i="2"/>
  <c r="L1005" i="2"/>
  <c r="L1006" i="2"/>
  <c r="L1007" i="2"/>
  <c r="L1008" i="2"/>
  <c r="L1009" i="2"/>
  <c r="L1010" i="2"/>
  <c r="L1011" i="2"/>
  <c r="M1002" i="2"/>
  <c r="M1003" i="2"/>
  <c r="M1004" i="2"/>
  <c r="M1005" i="2"/>
  <c r="M1006" i="2"/>
  <c r="M1007" i="2"/>
  <c r="M1008" i="2"/>
  <c r="M1009" i="2"/>
  <c r="M1010" i="2"/>
  <c r="M1011" i="2"/>
  <c r="L1002" i="1"/>
  <c r="L1003" i="1"/>
  <c r="L1004" i="1"/>
  <c r="L1005" i="1"/>
  <c r="L1006" i="1"/>
  <c r="L1007" i="1"/>
  <c r="L1008" i="1"/>
  <c r="L1009" i="1"/>
  <c r="L1010" i="1"/>
  <c r="L1011" i="1"/>
  <c r="M1002" i="1"/>
  <c r="M1003" i="1"/>
  <c r="M1004" i="1"/>
  <c r="M1005" i="1"/>
  <c r="M1006" i="1"/>
  <c r="M1007" i="1"/>
  <c r="M1008" i="1"/>
  <c r="M1009" i="1"/>
  <c r="M1010" i="1"/>
  <c r="M1011" i="1"/>
  <c r="L992" i="2"/>
  <c r="L993" i="2"/>
  <c r="L994" i="2"/>
  <c r="L995" i="2"/>
  <c r="L996" i="2"/>
  <c r="L997" i="2"/>
  <c r="L998" i="2"/>
  <c r="L999" i="2"/>
  <c r="L1000" i="2"/>
  <c r="L1001" i="2"/>
  <c r="M992" i="2"/>
  <c r="M993" i="2"/>
  <c r="M994" i="2"/>
  <c r="M995" i="2"/>
  <c r="M996" i="2"/>
  <c r="M997" i="2"/>
  <c r="M998" i="2"/>
  <c r="M999" i="2"/>
  <c r="M1000" i="2"/>
  <c r="M1001" i="2"/>
  <c r="L992" i="1"/>
  <c r="L993" i="1"/>
  <c r="L994" i="1"/>
  <c r="L995" i="1"/>
  <c r="L996" i="1"/>
  <c r="L997" i="1"/>
  <c r="L998" i="1"/>
  <c r="L999" i="1"/>
  <c r="L1000" i="1"/>
  <c r="L1001" i="1"/>
  <c r="M992" i="1"/>
  <c r="M993" i="1"/>
  <c r="M994" i="1"/>
  <c r="M995" i="1"/>
  <c r="M996" i="1"/>
  <c r="M997" i="1"/>
  <c r="M998" i="1"/>
  <c r="M999" i="1"/>
  <c r="M1000" i="1"/>
  <c r="M1001" i="1"/>
  <c r="L982" i="2"/>
  <c r="L983" i="2"/>
  <c r="L984" i="2"/>
  <c r="L985" i="2"/>
  <c r="L986" i="2"/>
  <c r="L987" i="2"/>
  <c r="L988" i="2"/>
  <c r="L989" i="2"/>
  <c r="L990" i="2"/>
  <c r="L991" i="2"/>
  <c r="M982" i="2"/>
  <c r="M983" i="2"/>
  <c r="M984" i="2"/>
  <c r="M985" i="2"/>
  <c r="M986" i="2"/>
  <c r="M987" i="2"/>
  <c r="M988" i="2"/>
  <c r="M989" i="2"/>
  <c r="M990" i="2"/>
  <c r="M991" i="2"/>
  <c r="L982" i="1"/>
  <c r="L983" i="1"/>
  <c r="L984" i="1"/>
  <c r="L985" i="1"/>
  <c r="L986" i="1"/>
  <c r="L987" i="1"/>
  <c r="L988" i="1"/>
  <c r="L989" i="1"/>
  <c r="L990" i="1"/>
  <c r="L991" i="1"/>
  <c r="M982" i="1"/>
  <c r="M983" i="1"/>
  <c r="M984" i="1"/>
  <c r="M985" i="1"/>
  <c r="M986" i="1"/>
  <c r="M987" i="1"/>
  <c r="M988" i="1"/>
  <c r="M989" i="1"/>
  <c r="M990" i="1"/>
  <c r="M991" i="1"/>
  <c r="L972" i="2"/>
  <c r="L973" i="2"/>
  <c r="L974" i="2"/>
  <c r="L975" i="2"/>
  <c r="L976" i="2"/>
  <c r="L977" i="2"/>
  <c r="L978" i="2"/>
  <c r="L979" i="2"/>
  <c r="L980" i="2"/>
  <c r="L981" i="2"/>
  <c r="M972" i="2"/>
  <c r="M973" i="2"/>
  <c r="M974" i="2"/>
  <c r="M975" i="2"/>
  <c r="M976" i="2"/>
  <c r="M977" i="2"/>
  <c r="M978" i="2"/>
  <c r="M979" i="2"/>
  <c r="M980" i="2"/>
  <c r="M981" i="2"/>
  <c r="L972" i="1"/>
  <c r="L973" i="1"/>
  <c r="L974" i="1"/>
  <c r="L975" i="1"/>
  <c r="L976" i="1"/>
  <c r="L977" i="1"/>
  <c r="L978" i="1"/>
  <c r="L979" i="1"/>
  <c r="L980" i="1"/>
  <c r="L981" i="1"/>
  <c r="M972" i="1"/>
  <c r="M973" i="1"/>
  <c r="M974" i="1"/>
  <c r="M975" i="1"/>
  <c r="M976" i="1"/>
  <c r="M977" i="1"/>
  <c r="M978" i="1"/>
  <c r="M979" i="1"/>
  <c r="M980" i="1"/>
  <c r="M981" i="1"/>
  <c r="L962" i="2"/>
  <c r="L963" i="2"/>
  <c r="L964" i="2"/>
  <c r="L965" i="2"/>
  <c r="L966" i="2"/>
  <c r="L967" i="2"/>
  <c r="L968" i="2"/>
  <c r="L969" i="2"/>
  <c r="L970" i="2"/>
  <c r="L971" i="2"/>
  <c r="M962" i="2"/>
  <c r="M963" i="2"/>
  <c r="M964" i="2"/>
  <c r="M965" i="2"/>
  <c r="M966" i="2"/>
  <c r="M967" i="2"/>
  <c r="M968" i="2"/>
  <c r="M969" i="2"/>
  <c r="M970" i="2"/>
  <c r="M971" i="2"/>
  <c r="L962" i="1"/>
  <c r="L963" i="1"/>
  <c r="L964" i="1"/>
  <c r="L965" i="1"/>
  <c r="L966" i="1"/>
  <c r="L967" i="1"/>
  <c r="L968" i="1"/>
  <c r="L969" i="1"/>
  <c r="L970" i="1"/>
  <c r="L971" i="1"/>
  <c r="M962" i="1"/>
  <c r="M963" i="1"/>
  <c r="M964" i="1"/>
  <c r="M965" i="1"/>
  <c r="M966" i="1"/>
  <c r="M967" i="1"/>
  <c r="M968" i="1"/>
  <c r="M969" i="1"/>
  <c r="M970" i="1"/>
  <c r="M971" i="1"/>
  <c r="L952" i="2"/>
  <c r="L953" i="2"/>
  <c r="L954" i="2"/>
  <c r="L955" i="2"/>
  <c r="L956" i="2"/>
  <c r="L957" i="2"/>
  <c r="L958" i="2"/>
  <c r="L959" i="2"/>
  <c r="L960" i="2"/>
  <c r="L961" i="2"/>
  <c r="M952" i="2"/>
  <c r="M953" i="2"/>
  <c r="M954" i="2"/>
  <c r="M955" i="2"/>
  <c r="M956" i="2"/>
  <c r="M957" i="2"/>
  <c r="M958" i="2"/>
  <c r="M959" i="2"/>
  <c r="M960" i="2"/>
  <c r="M961" i="2"/>
  <c r="L952" i="1"/>
  <c r="L953" i="1"/>
  <c r="L954" i="1"/>
  <c r="L955" i="1"/>
  <c r="L956" i="1"/>
  <c r="L957" i="1"/>
  <c r="L958" i="1"/>
  <c r="L959" i="1"/>
  <c r="L960" i="1"/>
  <c r="L961" i="1"/>
  <c r="M952" i="1"/>
  <c r="M953" i="1"/>
  <c r="M954" i="1"/>
  <c r="M955" i="1"/>
  <c r="M956" i="1"/>
  <c r="M957" i="1"/>
  <c r="M958" i="1"/>
  <c r="M959" i="1"/>
  <c r="M960" i="1"/>
  <c r="M961" i="1"/>
  <c r="L942" i="2"/>
  <c r="L943" i="2"/>
  <c r="L944" i="2"/>
  <c r="L945" i="2"/>
  <c r="L946" i="2"/>
  <c r="L947" i="2"/>
  <c r="L948" i="2"/>
  <c r="L949" i="2"/>
  <c r="L950" i="2"/>
  <c r="L951" i="2"/>
  <c r="M942" i="2"/>
  <c r="M943" i="2"/>
  <c r="M944" i="2"/>
  <c r="M945" i="2"/>
  <c r="M946" i="2"/>
  <c r="M947" i="2"/>
  <c r="M948" i="2"/>
  <c r="M949" i="2"/>
  <c r="M950" i="2"/>
  <c r="M951" i="2"/>
  <c r="L942" i="1"/>
  <c r="L943" i="1"/>
  <c r="L944" i="1"/>
  <c r="L945" i="1"/>
  <c r="L946" i="1"/>
  <c r="L947" i="1"/>
  <c r="L948" i="1"/>
  <c r="L949" i="1"/>
  <c r="L950" i="1"/>
  <c r="L951" i="1"/>
  <c r="M942" i="1"/>
  <c r="M943" i="1"/>
  <c r="M944" i="1"/>
  <c r="M945" i="1"/>
  <c r="M946" i="1"/>
  <c r="M947" i="1"/>
  <c r="M948" i="1"/>
  <c r="M949" i="1"/>
  <c r="M950" i="1"/>
  <c r="M951" i="1"/>
  <c r="L932" i="2"/>
  <c r="L933" i="2"/>
  <c r="L934" i="2"/>
  <c r="L935" i="2"/>
  <c r="L936" i="2"/>
  <c r="L937" i="2"/>
  <c r="L938" i="2"/>
  <c r="L939" i="2"/>
  <c r="L940" i="2"/>
  <c r="L941" i="2"/>
  <c r="M932" i="2"/>
  <c r="M933" i="2"/>
  <c r="M934" i="2"/>
  <c r="M935" i="2"/>
  <c r="M936" i="2"/>
  <c r="M937" i="2"/>
  <c r="M938" i="2"/>
  <c r="M939" i="2"/>
  <c r="M940" i="2"/>
  <c r="M941" i="2"/>
  <c r="L932" i="1"/>
  <c r="L933" i="1"/>
  <c r="L934" i="1"/>
  <c r="L935" i="1"/>
  <c r="L936" i="1"/>
  <c r="L937" i="1"/>
  <c r="L938" i="1"/>
  <c r="L939" i="1"/>
  <c r="L940" i="1"/>
  <c r="L941" i="1"/>
  <c r="M932" i="1"/>
  <c r="M933" i="1"/>
  <c r="M934" i="1"/>
  <c r="M935" i="1"/>
  <c r="M936" i="1"/>
  <c r="M937" i="1"/>
  <c r="M938" i="1"/>
  <c r="M939" i="1"/>
  <c r="M940" i="1"/>
  <c r="M941" i="1"/>
  <c r="L922" i="2"/>
  <c r="L923" i="2"/>
  <c r="L924" i="2"/>
  <c r="L925" i="2"/>
  <c r="L926" i="2"/>
  <c r="L927" i="2"/>
  <c r="L928" i="2"/>
  <c r="L929" i="2"/>
  <c r="L930" i="2"/>
  <c r="L931" i="2"/>
  <c r="M922" i="2"/>
  <c r="M923" i="2"/>
  <c r="M924" i="2"/>
  <c r="M925" i="2"/>
  <c r="M926" i="2"/>
  <c r="M927" i="2"/>
  <c r="M928" i="2"/>
  <c r="M929" i="2"/>
  <c r="M930" i="2"/>
  <c r="M931" i="2"/>
  <c r="L922" i="1"/>
  <c r="L923" i="1"/>
  <c r="L924" i="1"/>
  <c r="L925" i="1"/>
  <c r="L926" i="1"/>
  <c r="L927" i="1"/>
  <c r="L928" i="1"/>
  <c r="L929" i="1"/>
  <c r="L930" i="1"/>
  <c r="L931" i="1"/>
  <c r="M922" i="1"/>
  <c r="M923" i="1"/>
  <c r="M924" i="1"/>
  <c r="M925" i="1"/>
  <c r="M926" i="1"/>
  <c r="M927" i="1"/>
  <c r="M928" i="1"/>
  <c r="M929" i="1"/>
  <c r="M930" i="1"/>
  <c r="M931" i="1"/>
  <c r="L912" i="2"/>
  <c r="L913" i="2"/>
  <c r="L914" i="2"/>
  <c r="L915" i="2"/>
  <c r="L916" i="2"/>
  <c r="L917" i="2"/>
  <c r="L918" i="2"/>
  <c r="L919" i="2"/>
  <c r="L920" i="2"/>
  <c r="L921" i="2"/>
  <c r="M912" i="2"/>
  <c r="M913" i="2"/>
  <c r="M914" i="2"/>
  <c r="M915" i="2"/>
  <c r="M916" i="2"/>
  <c r="M917" i="2"/>
  <c r="M918" i="2"/>
  <c r="M919" i="2"/>
  <c r="M920" i="2"/>
  <c r="M921" i="2"/>
  <c r="L912" i="1"/>
  <c r="L913" i="1"/>
  <c r="L914" i="1"/>
  <c r="L915" i="1"/>
  <c r="L916" i="1"/>
  <c r="L917" i="1"/>
  <c r="L918" i="1"/>
  <c r="L919" i="1"/>
  <c r="L920" i="1"/>
  <c r="L921" i="1"/>
  <c r="M912" i="1"/>
  <c r="M913" i="1"/>
  <c r="M914" i="1"/>
  <c r="M915" i="1"/>
  <c r="M916" i="1"/>
  <c r="M917" i="1"/>
  <c r="M918" i="1"/>
  <c r="M919" i="1"/>
  <c r="M920" i="1"/>
  <c r="M921" i="1"/>
  <c r="L902" i="2"/>
  <c r="L903" i="2"/>
  <c r="L904" i="2"/>
  <c r="L905" i="2"/>
  <c r="L906" i="2"/>
  <c r="L907" i="2"/>
  <c r="L908" i="2"/>
  <c r="L909" i="2"/>
  <c r="L910" i="2"/>
  <c r="L911" i="2"/>
  <c r="M902" i="2"/>
  <c r="M903" i="2"/>
  <c r="M904" i="2"/>
  <c r="M905" i="2"/>
  <c r="M906" i="2"/>
  <c r="M907" i="2"/>
  <c r="M908" i="2"/>
  <c r="M909" i="2"/>
  <c r="M910" i="2"/>
  <c r="M911" i="2"/>
  <c r="L902" i="1"/>
  <c r="L903" i="1"/>
  <c r="L904" i="1"/>
  <c r="L905" i="1"/>
  <c r="L906" i="1"/>
  <c r="L907" i="1"/>
  <c r="L908" i="1"/>
  <c r="L909" i="1"/>
  <c r="L910" i="1"/>
  <c r="L911" i="1"/>
  <c r="M902" i="1"/>
  <c r="M903" i="1"/>
  <c r="M904" i="1"/>
  <c r="M905" i="1"/>
  <c r="M906" i="1"/>
  <c r="M907" i="1"/>
  <c r="M908" i="1"/>
  <c r="M909" i="1"/>
  <c r="M910" i="1"/>
  <c r="M911" i="1"/>
  <c r="L892" i="2"/>
  <c r="L893" i="2"/>
  <c r="L894" i="2"/>
  <c r="L895" i="2"/>
  <c r="L896" i="2"/>
  <c r="L897" i="2"/>
  <c r="L898" i="2"/>
  <c r="L899" i="2"/>
  <c r="L900" i="2"/>
  <c r="L901" i="2"/>
  <c r="M892" i="2"/>
  <c r="M893" i="2"/>
  <c r="M894" i="2"/>
  <c r="M895" i="2"/>
  <c r="M896" i="2"/>
  <c r="M897" i="2"/>
  <c r="M898" i="2"/>
  <c r="M899" i="2"/>
  <c r="M900" i="2"/>
  <c r="M901" i="2"/>
  <c r="L892" i="1"/>
  <c r="L893" i="1"/>
  <c r="L894" i="1"/>
  <c r="L895" i="1"/>
  <c r="L896" i="1"/>
  <c r="L897" i="1"/>
  <c r="L898" i="1"/>
  <c r="L899" i="1"/>
  <c r="L900" i="1"/>
  <c r="L901" i="1"/>
  <c r="M892" i="1"/>
  <c r="M893" i="1"/>
  <c r="M894" i="1"/>
  <c r="M895" i="1"/>
  <c r="M896" i="1"/>
  <c r="M897" i="1"/>
  <c r="M898" i="1"/>
  <c r="M899" i="1"/>
  <c r="M900" i="1"/>
  <c r="M901" i="1"/>
  <c r="L882" i="2"/>
  <c r="L883" i="2"/>
  <c r="L884" i="2"/>
  <c r="L885" i="2"/>
  <c r="L886" i="2"/>
  <c r="L887" i="2"/>
  <c r="L888" i="2"/>
  <c r="L889" i="2"/>
  <c r="L890" i="2"/>
  <c r="L891" i="2"/>
  <c r="M882" i="2"/>
  <c r="M883" i="2"/>
  <c r="M884" i="2"/>
  <c r="M885" i="2"/>
  <c r="M886" i="2"/>
  <c r="M887" i="2"/>
  <c r="M888" i="2"/>
  <c r="M889" i="2"/>
  <c r="M890" i="2"/>
  <c r="M891" i="2"/>
  <c r="L882" i="1"/>
  <c r="L883" i="1"/>
  <c r="L884" i="1"/>
  <c r="L885" i="1"/>
  <c r="L886" i="1"/>
  <c r="L887" i="1"/>
  <c r="L888" i="1"/>
  <c r="L889" i="1"/>
  <c r="L890" i="1"/>
  <c r="L891" i="1"/>
  <c r="M882" i="1"/>
  <c r="M883" i="1"/>
  <c r="M884" i="1"/>
  <c r="M885" i="1"/>
  <c r="M886" i="1"/>
  <c r="M887" i="1"/>
  <c r="M888" i="1"/>
  <c r="M889" i="1"/>
  <c r="M890" i="1"/>
  <c r="M891" i="1"/>
  <c r="L872" i="2"/>
  <c r="L873" i="2"/>
  <c r="L874" i="2"/>
  <c r="L875" i="2"/>
  <c r="L876" i="2"/>
  <c r="L877" i="2"/>
  <c r="L878" i="2"/>
  <c r="L879" i="2"/>
  <c r="L880" i="2"/>
  <c r="L881" i="2"/>
  <c r="M872" i="2"/>
  <c r="M873" i="2"/>
  <c r="M874" i="2"/>
  <c r="M875" i="2"/>
  <c r="M876" i="2"/>
  <c r="M877" i="2"/>
  <c r="M878" i="2"/>
  <c r="M879" i="2"/>
  <c r="M880" i="2"/>
  <c r="M881" i="2"/>
  <c r="L872" i="1"/>
  <c r="L873" i="1"/>
  <c r="L874" i="1"/>
  <c r="L875" i="1"/>
  <c r="L876" i="1"/>
  <c r="L877" i="1"/>
  <c r="L878" i="1"/>
  <c r="L879" i="1"/>
  <c r="L880" i="1"/>
  <c r="L881" i="1"/>
  <c r="M872" i="1"/>
  <c r="M873" i="1"/>
  <c r="M874" i="1"/>
  <c r="M875" i="1"/>
  <c r="M876" i="1"/>
  <c r="M877" i="1"/>
  <c r="M878" i="1"/>
  <c r="M879" i="1"/>
  <c r="M880" i="1"/>
  <c r="M881" i="1"/>
  <c r="L862" i="2"/>
  <c r="L863" i="2"/>
  <c r="L864" i="2"/>
  <c r="L865" i="2"/>
  <c r="L866" i="2"/>
  <c r="L867" i="2"/>
  <c r="L868" i="2"/>
  <c r="L869" i="2"/>
  <c r="L870" i="2"/>
  <c r="L871" i="2"/>
  <c r="M862" i="2"/>
  <c r="M863" i="2"/>
  <c r="M864" i="2"/>
  <c r="M865" i="2"/>
  <c r="M866" i="2"/>
  <c r="M867" i="2"/>
  <c r="M868" i="2"/>
  <c r="M869" i="2"/>
  <c r="M870" i="2"/>
  <c r="M871" i="2"/>
  <c r="L862" i="1"/>
  <c r="L863" i="1"/>
  <c r="L864" i="1"/>
  <c r="L865" i="1"/>
  <c r="L866" i="1"/>
  <c r="L867" i="1"/>
  <c r="L868" i="1"/>
  <c r="L869" i="1"/>
  <c r="L870" i="1"/>
  <c r="L871" i="1"/>
  <c r="M862" i="1"/>
  <c r="M863" i="1"/>
  <c r="M864" i="1"/>
  <c r="M865" i="1"/>
  <c r="M866" i="1"/>
  <c r="M867" i="1"/>
  <c r="M868" i="1"/>
  <c r="M869" i="1"/>
  <c r="M870" i="1"/>
  <c r="M871" i="1"/>
  <c r="L852" i="2"/>
  <c r="L853" i="2"/>
  <c r="L854" i="2"/>
  <c r="L855" i="2"/>
  <c r="L856" i="2"/>
  <c r="L857" i="2"/>
  <c r="L858" i="2"/>
  <c r="L859" i="2"/>
  <c r="L860" i="2"/>
  <c r="L861" i="2"/>
  <c r="M852" i="2"/>
  <c r="M853" i="2"/>
  <c r="M854" i="2"/>
  <c r="M855" i="2"/>
  <c r="M856" i="2"/>
  <c r="M857" i="2"/>
  <c r="M858" i="2"/>
  <c r="M859" i="2"/>
  <c r="M860" i="2"/>
  <c r="M861" i="2"/>
  <c r="L852" i="1"/>
  <c r="L853" i="1"/>
  <c r="L854" i="1"/>
  <c r="L855" i="1"/>
  <c r="L856" i="1"/>
  <c r="L857" i="1"/>
  <c r="L858" i="1"/>
  <c r="L859" i="1"/>
  <c r="L860" i="1"/>
  <c r="L861" i="1"/>
  <c r="M852" i="1"/>
  <c r="M853" i="1"/>
  <c r="M854" i="1"/>
  <c r="M855" i="1"/>
  <c r="M856" i="1"/>
  <c r="M857" i="1"/>
  <c r="M858" i="1"/>
  <c r="M859" i="1"/>
  <c r="M860" i="1"/>
  <c r="M861" i="1"/>
  <c r="L842" i="2"/>
  <c r="L843" i="2"/>
  <c r="L844" i="2"/>
  <c r="L845" i="2"/>
  <c r="L846" i="2"/>
  <c r="L847" i="2"/>
  <c r="L848" i="2"/>
  <c r="L849" i="2"/>
  <c r="L850" i="2"/>
  <c r="L851" i="2"/>
  <c r="M842" i="2"/>
  <c r="M843" i="2"/>
  <c r="M844" i="2"/>
  <c r="M845" i="2"/>
  <c r="M846" i="2"/>
  <c r="M847" i="2"/>
  <c r="M848" i="2"/>
  <c r="M849" i="2"/>
  <c r="M850" i="2"/>
  <c r="M851" i="2"/>
  <c r="L842" i="1"/>
  <c r="L843" i="1"/>
  <c r="L844" i="1"/>
  <c r="L845" i="1"/>
  <c r="L846" i="1"/>
  <c r="L847" i="1"/>
  <c r="L848" i="1"/>
  <c r="L849" i="1"/>
  <c r="L850" i="1"/>
  <c r="L851" i="1"/>
  <c r="M842" i="1"/>
  <c r="M843" i="1"/>
  <c r="M844" i="1"/>
  <c r="M845" i="1"/>
  <c r="M846" i="1"/>
  <c r="M847" i="1"/>
  <c r="M848" i="1"/>
  <c r="M849" i="1"/>
  <c r="M850" i="1"/>
  <c r="M851" i="1"/>
  <c r="L832" i="2"/>
  <c r="L833" i="2"/>
  <c r="L834" i="2"/>
  <c r="L835" i="2"/>
  <c r="L836" i="2"/>
  <c r="L837" i="2"/>
  <c r="L838" i="2"/>
  <c r="L839" i="2"/>
  <c r="L840" i="2"/>
  <c r="L841" i="2"/>
  <c r="M832" i="2"/>
  <c r="M833" i="2"/>
  <c r="M834" i="2"/>
  <c r="M835" i="2"/>
  <c r="M836" i="2"/>
  <c r="M837" i="2"/>
  <c r="M838" i="2"/>
  <c r="M839" i="2"/>
  <c r="M840" i="2"/>
  <c r="M841" i="2"/>
  <c r="L832" i="1"/>
  <c r="L833" i="1"/>
  <c r="L834" i="1"/>
  <c r="L835" i="1"/>
  <c r="L836" i="1"/>
  <c r="L837" i="1"/>
  <c r="L838" i="1"/>
  <c r="L839" i="1"/>
  <c r="L840" i="1"/>
  <c r="L841" i="1"/>
  <c r="M832" i="1"/>
  <c r="M833" i="1"/>
  <c r="M834" i="1"/>
  <c r="M835" i="1"/>
  <c r="M836" i="1"/>
  <c r="M837" i="1"/>
  <c r="M838" i="1"/>
  <c r="M839" i="1"/>
  <c r="M840" i="1"/>
  <c r="M841" i="1"/>
  <c r="L822" i="2"/>
  <c r="L823" i="2"/>
  <c r="L824" i="2"/>
  <c r="L825" i="2"/>
  <c r="L826" i="2"/>
  <c r="L827" i="2"/>
  <c r="L828" i="2"/>
  <c r="L829" i="2"/>
  <c r="L830" i="2"/>
  <c r="L831" i="2"/>
  <c r="M822" i="2"/>
  <c r="M823" i="2"/>
  <c r="M824" i="2"/>
  <c r="M825" i="2"/>
  <c r="M826" i="2"/>
  <c r="M827" i="2"/>
  <c r="M828" i="2"/>
  <c r="M829" i="2"/>
  <c r="M830" i="2"/>
  <c r="M831" i="2"/>
  <c r="L822" i="1"/>
  <c r="L823" i="1"/>
  <c r="L824" i="1"/>
  <c r="L825" i="1"/>
  <c r="L826" i="1"/>
  <c r="L827" i="1"/>
  <c r="L828" i="1"/>
  <c r="L829" i="1"/>
  <c r="L830" i="1"/>
  <c r="L831" i="1"/>
  <c r="M822" i="1"/>
  <c r="M823" i="1"/>
  <c r="M824" i="1"/>
  <c r="M825" i="1"/>
  <c r="M826" i="1"/>
  <c r="M827" i="1"/>
  <c r="M828" i="1"/>
  <c r="M829" i="1"/>
  <c r="M830" i="1"/>
  <c r="M831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L812" i="1"/>
  <c r="L813" i="1"/>
  <c r="L814" i="1"/>
  <c r="L815" i="1"/>
  <c r="L816" i="1"/>
  <c r="L817" i="1"/>
  <c r="L818" i="1"/>
  <c r="L819" i="1"/>
  <c r="L820" i="1"/>
  <c r="L821" i="1"/>
  <c r="M812" i="1"/>
  <c r="M813" i="1"/>
  <c r="M814" i="1"/>
  <c r="M815" i="1"/>
  <c r="M816" i="1"/>
  <c r="M817" i="1"/>
  <c r="M818" i="1"/>
  <c r="M819" i="1"/>
  <c r="M820" i="1"/>
  <c r="M821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M807" i="2"/>
  <c r="M808" i="2"/>
  <c r="M809" i="2"/>
  <c r="M810" i="2"/>
  <c r="M811" i="2"/>
  <c r="M802" i="2"/>
  <c r="L802" i="1"/>
  <c r="L803" i="1"/>
  <c r="L804" i="1"/>
  <c r="L805" i="1"/>
  <c r="L806" i="1"/>
  <c r="L807" i="1"/>
  <c r="L808" i="1"/>
  <c r="L809" i="1"/>
  <c r="L810" i="1"/>
  <c r="L811" i="1"/>
  <c r="M803" i="1"/>
  <c r="M804" i="1"/>
  <c r="M805" i="1"/>
  <c r="M806" i="1"/>
  <c r="M807" i="1"/>
  <c r="M808" i="1"/>
  <c r="M809" i="1"/>
  <c r="M810" i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L21" i="2"/>
  <c r="L19" i="2"/>
  <c r="L15" i="2"/>
  <c r="L12" i="2"/>
  <c r="L20" i="2"/>
  <c r="L13" i="2"/>
  <c r="L14" i="2"/>
  <c r="L16" i="2"/>
  <c r="L17" i="2"/>
  <c r="N1209" i="2" l="1"/>
  <c r="N1205" i="2"/>
  <c r="N1208" i="2"/>
  <c r="N1204" i="2"/>
  <c r="N1186" i="2"/>
  <c r="N1182" i="2"/>
  <c r="N1146" i="2"/>
  <c r="N1162" i="2"/>
  <c r="N1181" i="2"/>
  <c r="N1177" i="2"/>
  <c r="N1173" i="2"/>
  <c r="N1191" i="2"/>
  <c r="N1179" i="1"/>
  <c r="N1175" i="1"/>
  <c r="N1046" i="1"/>
  <c r="N1130" i="1"/>
  <c r="N1122" i="1"/>
  <c r="N1133" i="1"/>
  <c r="N1168" i="1"/>
  <c r="N1178" i="1"/>
  <c r="N1174" i="1"/>
  <c r="N1184" i="1"/>
  <c r="N1199" i="2"/>
  <c r="N1195" i="2"/>
  <c r="N1198" i="2"/>
  <c r="N1194" i="2"/>
  <c r="N1141" i="2"/>
  <c r="N1161" i="2"/>
  <c r="N1157" i="2"/>
  <c r="N1153" i="2"/>
  <c r="N1170" i="2"/>
  <c r="N1166" i="2"/>
  <c r="N1183" i="2"/>
  <c r="N1163" i="2"/>
  <c r="N1199" i="1"/>
  <c r="N1195" i="1"/>
  <c r="N1164" i="1"/>
  <c r="N1166" i="1"/>
  <c r="N1183" i="1"/>
  <c r="N1144" i="1"/>
  <c r="N1171" i="1"/>
  <c r="N1163" i="1"/>
  <c r="N1180" i="1"/>
  <c r="N1176" i="1"/>
  <c r="N1172" i="1"/>
  <c r="N1185" i="1"/>
  <c r="N1189" i="2"/>
  <c r="N1185" i="2"/>
  <c r="N1188" i="2"/>
  <c r="N1184" i="2"/>
  <c r="N1100" i="2"/>
  <c r="N1112" i="2"/>
  <c r="N1130" i="2"/>
  <c r="N1122" i="2"/>
  <c r="N1160" i="2"/>
  <c r="N1156" i="2"/>
  <c r="N1152" i="2"/>
  <c r="N1167" i="2"/>
  <c r="N1178" i="2"/>
  <c r="N1174" i="2"/>
  <c r="N1189" i="1"/>
  <c r="N1161" i="1"/>
  <c r="N1153" i="1"/>
  <c r="N1179" i="2"/>
  <c r="N1175" i="2"/>
  <c r="N1131" i="2"/>
  <c r="N1062" i="2"/>
  <c r="N1118" i="2"/>
  <c r="N1114" i="2"/>
  <c r="N1120" i="2"/>
  <c r="N1116" i="2"/>
  <c r="N1092" i="1"/>
  <c r="N1121" i="1"/>
  <c r="N1117" i="1"/>
  <c r="N1113" i="1"/>
  <c r="N1150" i="1"/>
  <c r="N1141" i="1"/>
  <c r="N1137" i="1"/>
  <c r="N1140" i="1"/>
  <c r="N1136" i="1"/>
  <c r="N1169" i="2"/>
  <c r="N1165" i="2"/>
  <c r="N1168" i="2"/>
  <c r="N1164" i="2"/>
  <c r="N1113" i="2"/>
  <c r="N1137" i="2"/>
  <c r="N1133" i="2"/>
  <c r="N1151" i="2"/>
  <c r="N1147" i="2"/>
  <c r="N1143" i="2"/>
  <c r="N1101" i="2"/>
  <c r="N1140" i="2"/>
  <c r="N1136" i="2"/>
  <c r="N1132" i="2"/>
  <c r="N1150" i="2"/>
  <c r="N1142" i="2"/>
  <c r="N1148" i="2"/>
  <c r="N1169" i="1"/>
  <c r="N1165" i="1"/>
  <c r="N1102" i="1"/>
  <c r="N1116" i="1"/>
  <c r="N1143" i="1"/>
  <c r="N1149" i="1"/>
  <c r="N1145" i="1"/>
  <c r="N1098" i="1"/>
  <c r="N1094" i="1"/>
  <c r="N1100" i="1"/>
  <c r="N1096" i="1"/>
  <c r="N1131" i="1"/>
  <c r="N1127" i="1"/>
  <c r="N1123" i="1"/>
  <c r="N1142" i="1"/>
  <c r="N1148" i="1"/>
  <c r="N1158" i="1"/>
  <c r="N1154" i="1"/>
  <c r="N1159" i="1"/>
  <c r="N1155" i="1"/>
  <c r="N1082" i="1"/>
  <c r="N1093" i="1"/>
  <c r="N1128" i="1"/>
  <c r="N1124" i="1"/>
  <c r="N1126" i="1"/>
  <c r="N1159" i="2"/>
  <c r="N1155" i="2"/>
  <c r="N1158" i="2"/>
  <c r="N1154" i="2"/>
  <c r="N1128" i="2"/>
  <c r="N1124" i="2"/>
  <c r="N1096" i="2"/>
  <c r="N1102" i="2"/>
  <c r="N1121" i="2"/>
  <c r="N1117" i="2"/>
  <c r="N1123" i="2"/>
  <c r="N1149" i="2"/>
  <c r="N1145" i="2"/>
  <c r="N1083" i="2"/>
  <c r="N1103" i="2"/>
  <c r="N1127" i="2"/>
  <c r="N1126" i="2"/>
  <c r="N1089" i="1"/>
  <c r="N1091" i="1"/>
  <c r="N1087" i="1"/>
  <c r="N1120" i="1"/>
  <c r="N1112" i="1"/>
  <c r="N1111" i="1"/>
  <c r="N1107" i="1"/>
  <c r="N1103" i="1"/>
  <c r="N1129" i="1"/>
  <c r="N1125" i="1"/>
  <c r="N1139" i="2"/>
  <c r="N1135" i="2"/>
  <c r="N1138" i="2"/>
  <c r="N1134" i="2"/>
  <c r="N1070" i="2"/>
  <c r="N1076" i="2"/>
  <c r="N1111" i="2"/>
  <c r="N1107" i="2"/>
  <c r="N1031" i="2"/>
  <c r="N1067" i="2"/>
  <c r="N1104" i="2"/>
  <c r="N1110" i="2"/>
  <c r="N1106" i="2"/>
  <c r="N1139" i="1"/>
  <c r="N1135" i="1"/>
  <c r="N1032" i="1"/>
  <c r="N1095" i="1"/>
  <c r="N1101" i="1"/>
  <c r="N1110" i="1"/>
  <c r="N1106" i="1"/>
  <c r="N1129" i="2"/>
  <c r="N1125" i="2"/>
  <c r="N1091" i="2"/>
  <c r="N1093" i="2"/>
  <c r="N1032" i="2"/>
  <c r="N1081" i="2"/>
  <c r="N1077" i="2"/>
  <c r="N1073" i="2"/>
  <c r="N1092" i="2"/>
  <c r="N1071" i="1"/>
  <c r="N1097" i="1"/>
  <c r="N1119" i="2"/>
  <c r="N1115" i="2"/>
  <c r="N1038" i="2"/>
  <c r="N1034" i="2"/>
  <c r="N1040" i="2"/>
  <c r="N1043" i="2"/>
  <c r="N1053" i="2"/>
  <c r="N1090" i="2"/>
  <c r="N1086" i="2"/>
  <c r="N1082" i="2"/>
  <c r="N1097" i="2"/>
  <c r="N1087" i="2"/>
  <c r="N1098" i="2"/>
  <c r="N1094" i="2"/>
  <c r="N1108" i="2"/>
  <c r="N1119" i="1"/>
  <c r="N1115" i="1"/>
  <c r="N1118" i="1"/>
  <c r="N1114" i="1"/>
  <c r="N1060" i="1"/>
  <c r="N1056" i="1"/>
  <c r="N1067" i="1"/>
  <c r="N1063" i="1"/>
  <c r="N1073" i="1"/>
  <c r="N1088" i="1"/>
  <c r="N1090" i="1"/>
  <c r="N1086" i="1"/>
  <c r="N1051" i="1"/>
  <c r="N1047" i="1"/>
  <c r="N1043" i="1"/>
  <c r="N1109" i="2"/>
  <c r="N1105" i="2"/>
  <c r="N1109" i="1"/>
  <c r="N1105" i="1"/>
  <c r="N1108" i="1"/>
  <c r="N1104" i="1"/>
  <c r="N1069" i="1"/>
  <c r="N1065" i="1"/>
  <c r="N1081" i="1"/>
  <c r="N1077" i="1"/>
  <c r="N1083" i="1"/>
  <c r="N1085" i="1"/>
  <c r="N1099" i="1"/>
  <c r="N1068" i="1"/>
  <c r="N1080" i="1"/>
  <c r="N1076" i="1"/>
  <c r="N1072" i="1"/>
  <c r="N1078" i="1"/>
  <c r="N1084" i="1"/>
  <c r="N1099" i="2"/>
  <c r="N1095" i="2"/>
  <c r="N1051" i="2"/>
  <c r="N1088" i="2"/>
  <c r="N1084" i="2"/>
  <c r="N1052" i="2"/>
  <c r="N1061" i="2"/>
  <c r="N1057" i="2"/>
  <c r="N1080" i="2"/>
  <c r="N1072" i="2"/>
  <c r="N1089" i="2"/>
  <c r="N1085" i="2"/>
  <c r="N1050" i="1"/>
  <c r="N1070" i="1"/>
  <c r="N1066" i="1"/>
  <c r="N1062" i="1"/>
  <c r="N1064" i="1"/>
  <c r="N1075" i="1"/>
  <c r="N1074" i="1"/>
  <c r="N1041" i="2"/>
  <c r="N1047" i="2"/>
  <c r="N1066" i="2"/>
  <c r="N1046" i="2"/>
  <c r="N1054" i="2"/>
  <c r="N1060" i="2"/>
  <c r="N1056" i="2"/>
  <c r="N1071" i="2"/>
  <c r="N1063" i="2"/>
  <c r="N1078" i="2"/>
  <c r="N1074" i="2"/>
  <c r="N1033" i="1"/>
  <c r="N1061" i="1"/>
  <c r="N1057" i="1"/>
  <c r="N1079" i="2"/>
  <c r="N1075" i="2"/>
  <c r="N952" i="2"/>
  <c r="N990" i="2"/>
  <c r="N986" i="2"/>
  <c r="N982" i="2"/>
  <c r="N1000" i="2"/>
  <c r="N992" i="2"/>
  <c r="N1020" i="2"/>
  <c r="N1016" i="2"/>
  <c r="N1012" i="2"/>
  <c r="N1079" i="1"/>
  <c r="N1053" i="1"/>
  <c r="N1059" i="1"/>
  <c r="N1041" i="1"/>
  <c r="N1037" i="1"/>
  <c r="N1042" i="1"/>
  <c r="N1052" i="1"/>
  <c r="N1058" i="1"/>
  <c r="N1069" i="2"/>
  <c r="N1065" i="2"/>
  <c r="N1068" i="2"/>
  <c r="N1064" i="2"/>
  <c r="N1030" i="2"/>
  <c r="N1022" i="2"/>
  <c r="N1033" i="2"/>
  <c r="N1050" i="2"/>
  <c r="N1042" i="2"/>
  <c r="N1058" i="2"/>
  <c r="N1055" i="1"/>
  <c r="N1054" i="1"/>
  <c r="N1040" i="1"/>
  <c r="N1048" i="1"/>
  <c r="N1044" i="1"/>
  <c r="N1059" i="2"/>
  <c r="N1055" i="2"/>
  <c r="N1021" i="2"/>
  <c r="N1023" i="2"/>
  <c r="N1037" i="2"/>
  <c r="N1036" i="2"/>
  <c r="N1024" i="1"/>
  <c r="N1036" i="1"/>
  <c r="N1049" i="2"/>
  <c r="N1045" i="2"/>
  <c r="N1048" i="2"/>
  <c r="N1044" i="2"/>
  <c r="N1017" i="2"/>
  <c r="N1013" i="2"/>
  <c r="N1027" i="2"/>
  <c r="N1003" i="2"/>
  <c r="N1028" i="2"/>
  <c r="N1024" i="2"/>
  <c r="N1026" i="2"/>
  <c r="N1049" i="1"/>
  <c r="N1045" i="1"/>
  <c r="N1031" i="1"/>
  <c r="N1027" i="1"/>
  <c r="N1023" i="1"/>
  <c r="N1028" i="1"/>
  <c r="N1039" i="2"/>
  <c r="N1035" i="2"/>
  <c r="N1006" i="2"/>
  <c r="N1039" i="1"/>
  <c r="N1035" i="1"/>
  <c r="N1038" i="1"/>
  <c r="N1034" i="1"/>
  <c r="N1021" i="1"/>
  <c r="N1017" i="1"/>
  <c r="N1013" i="1"/>
  <c r="N1029" i="1"/>
  <c r="N1025" i="1"/>
  <c r="N1020" i="1"/>
  <c r="N1016" i="1"/>
  <c r="N1012" i="1"/>
  <c r="N1030" i="1"/>
  <c r="N1026" i="1"/>
  <c r="N1022" i="1"/>
  <c r="N1029" i="2"/>
  <c r="N1025" i="2"/>
  <c r="N1010" i="2"/>
  <c r="N1002" i="2"/>
  <c r="N1008" i="2"/>
  <c r="N1004" i="2"/>
  <c r="N1018" i="2"/>
  <c r="N1014" i="2"/>
  <c r="N18" i="2"/>
  <c r="N1011" i="2"/>
  <c r="N1007" i="2"/>
  <c r="N1019" i="2"/>
  <c r="N1015" i="2"/>
  <c r="N1001" i="2"/>
  <c r="N997" i="2"/>
  <c r="N993" i="2"/>
  <c r="N1011" i="1"/>
  <c r="N1007" i="1"/>
  <c r="N1003" i="1"/>
  <c r="N990" i="1"/>
  <c r="N986" i="1"/>
  <c r="N982" i="1"/>
  <c r="N1000" i="1"/>
  <c r="N994" i="1"/>
  <c r="N1010" i="1"/>
  <c r="N1006" i="1"/>
  <c r="N1002" i="1"/>
  <c r="N1018" i="1"/>
  <c r="N1014" i="1"/>
  <c r="N1019" i="1"/>
  <c r="N1015" i="1"/>
  <c r="N963" i="1"/>
  <c r="N1009" i="2"/>
  <c r="N1005" i="2"/>
  <c r="N971" i="2"/>
  <c r="N967" i="2"/>
  <c r="N963" i="2"/>
  <c r="N991" i="2"/>
  <c r="N987" i="2"/>
  <c r="N983" i="2"/>
  <c r="N960" i="2"/>
  <c r="N956" i="2"/>
  <c r="N981" i="2"/>
  <c r="N973" i="2"/>
  <c r="N980" i="2"/>
  <c r="N972" i="2"/>
  <c r="N942" i="2"/>
  <c r="N953" i="2"/>
  <c r="N943" i="2"/>
  <c r="N970" i="2"/>
  <c r="N962" i="2"/>
  <c r="N998" i="2"/>
  <c r="N994" i="2"/>
  <c r="N996" i="2"/>
  <c r="N993" i="1"/>
  <c r="N999" i="1"/>
  <c r="N962" i="1"/>
  <c r="N976" i="1"/>
  <c r="N972" i="1"/>
  <c r="N989" i="1"/>
  <c r="N985" i="1"/>
  <c r="N996" i="1"/>
  <c r="N992" i="1"/>
  <c r="N998" i="1"/>
  <c r="N977" i="1"/>
  <c r="N1001" i="1"/>
  <c r="N997" i="1"/>
  <c r="N1009" i="1"/>
  <c r="N1005" i="1"/>
  <c r="N1008" i="1"/>
  <c r="N1004" i="1"/>
  <c r="N981" i="1"/>
  <c r="N988" i="1"/>
  <c r="N984" i="1"/>
  <c r="N980" i="1"/>
  <c r="N991" i="1"/>
  <c r="N987" i="1"/>
  <c r="N983" i="1"/>
  <c r="N995" i="1"/>
  <c r="N999" i="2"/>
  <c r="N995" i="2"/>
  <c r="N951" i="2"/>
  <c r="N947" i="2"/>
  <c r="N977" i="2"/>
  <c r="N937" i="2"/>
  <c r="N976" i="2"/>
  <c r="N968" i="1"/>
  <c r="N964" i="1"/>
  <c r="N970" i="1"/>
  <c r="N973" i="1"/>
  <c r="N971" i="1"/>
  <c r="N989" i="2"/>
  <c r="N985" i="2"/>
  <c r="N988" i="2"/>
  <c r="N984" i="2"/>
  <c r="N936" i="2"/>
  <c r="N948" i="2"/>
  <c r="N944" i="2"/>
  <c r="N950" i="2"/>
  <c r="N946" i="2"/>
  <c r="N968" i="2"/>
  <c r="N964" i="2"/>
  <c r="N966" i="2"/>
  <c r="N961" i="2"/>
  <c r="N957" i="2"/>
  <c r="N957" i="1"/>
  <c r="N956" i="1"/>
  <c r="N967" i="1"/>
  <c r="N966" i="1"/>
  <c r="N979" i="2"/>
  <c r="N975" i="2"/>
  <c r="N978" i="2"/>
  <c r="N974" i="2"/>
  <c r="N912" i="2"/>
  <c r="N979" i="1"/>
  <c r="N975" i="1"/>
  <c r="N978" i="1"/>
  <c r="N974" i="1"/>
  <c r="N921" i="1"/>
  <c r="N917" i="1"/>
  <c r="N913" i="1"/>
  <c r="N919" i="1"/>
  <c r="N906" i="1"/>
  <c r="N902" i="1"/>
  <c r="N914" i="1"/>
  <c r="N937" i="1"/>
  <c r="N961" i="1"/>
  <c r="N953" i="1"/>
  <c r="N918" i="1"/>
  <c r="N950" i="1"/>
  <c r="N946" i="1"/>
  <c r="N942" i="1"/>
  <c r="N960" i="1"/>
  <c r="N952" i="1"/>
  <c r="N941" i="1"/>
  <c r="N933" i="1"/>
  <c r="N939" i="1"/>
  <c r="N959" i="1"/>
  <c r="N955" i="1"/>
  <c r="N907" i="1"/>
  <c r="N940" i="1"/>
  <c r="N936" i="1"/>
  <c r="N932" i="1"/>
  <c r="N938" i="1"/>
  <c r="N934" i="1"/>
  <c r="N958" i="1"/>
  <c r="N954" i="1"/>
  <c r="N969" i="2"/>
  <c r="N965" i="2"/>
  <c r="N902" i="2"/>
  <c r="N920" i="2"/>
  <c r="N916" i="2"/>
  <c r="N969" i="1"/>
  <c r="N965" i="1"/>
  <c r="N911" i="1"/>
  <c r="N951" i="1"/>
  <c r="N947" i="1"/>
  <c r="N943" i="1"/>
  <c r="N959" i="2"/>
  <c r="N955" i="2"/>
  <c r="N958" i="2"/>
  <c r="N954" i="2"/>
  <c r="N931" i="2"/>
  <c r="N927" i="2"/>
  <c r="N923" i="2"/>
  <c r="N941" i="2"/>
  <c r="N933" i="2"/>
  <c r="N930" i="2"/>
  <c r="N926" i="2"/>
  <c r="N922" i="2"/>
  <c r="N940" i="2"/>
  <c r="N932" i="2"/>
  <c r="N929" i="1"/>
  <c r="N945" i="1"/>
  <c r="N893" i="1"/>
  <c r="N948" i="1"/>
  <c r="N949" i="2"/>
  <c r="N945" i="2"/>
  <c r="N910" i="2"/>
  <c r="N921" i="2"/>
  <c r="N917" i="2"/>
  <c r="N913" i="2"/>
  <c r="N891" i="2"/>
  <c r="N903" i="2"/>
  <c r="N938" i="2"/>
  <c r="N934" i="2"/>
  <c r="N949" i="1"/>
  <c r="N944" i="1"/>
  <c r="N892" i="1"/>
  <c r="N898" i="1"/>
  <c r="N930" i="1"/>
  <c r="N926" i="1"/>
  <c r="N922" i="1"/>
  <c r="N928" i="1"/>
  <c r="N924" i="1"/>
  <c r="N915" i="1"/>
  <c r="N935" i="1"/>
  <c r="N939" i="2"/>
  <c r="N935" i="2"/>
  <c r="N900" i="2"/>
  <c r="N892" i="2"/>
  <c r="N911" i="2"/>
  <c r="N907" i="2"/>
  <c r="N893" i="2"/>
  <c r="N928" i="2"/>
  <c r="N924" i="2"/>
  <c r="N901" i="1"/>
  <c r="N910" i="1"/>
  <c r="N920" i="1"/>
  <c r="N916" i="1"/>
  <c r="N912" i="1"/>
  <c r="N931" i="1"/>
  <c r="N927" i="1"/>
  <c r="N923" i="1"/>
  <c r="N925" i="1"/>
  <c r="N929" i="2"/>
  <c r="N925" i="2"/>
  <c r="N861" i="2"/>
  <c r="N863" i="2"/>
  <c r="N883" i="2"/>
  <c r="N901" i="2"/>
  <c r="N897" i="2"/>
  <c r="N908" i="2"/>
  <c r="N904" i="2"/>
  <c r="N906" i="2"/>
  <c r="N891" i="1"/>
  <c r="N887" i="1"/>
  <c r="N883" i="1"/>
  <c r="N894" i="1"/>
  <c r="N900" i="1"/>
  <c r="N896" i="1"/>
  <c r="N903" i="1"/>
  <c r="N809" i="1"/>
  <c r="N805" i="1"/>
  <c r="N919" i="2"/>
  <c r="N915" i="2"/>
  <c r="N918" i="2"/>
  <c r="N914" i="2"/>
  <c r="N870" i="2"/>
  <c r="N898" i="2"/>
  <c r="N894" i="2"/>
  <c r="N896" i="2"/>
  <c r="N886" i="2"/>
  <c r="N848" i="1"/>
  <c r="N852" i="1"/>
  <c r="N899" i="1"/>
  <c r="N897" i="1"/>
  <c r="N909" i="2"/>
  <c r="N905" i="2"/>
  <c r="N852" i="2"/>
  <c r="N881" i="2"/>
  <c r="N877" i="2"/>
  <c r="N873" i="2"/>
  <c r="N890" i="2"/>
  <c r="N882" i="2"/>
  <c r="N880" i="2"/>
  <c r="N872" i="2"/>
  <c r="N887" i="2"/>
  <c r="N909" i="1"/>
  <c r="N905" i="1"/>
  <c r="N908" i="1"/>
  <c r="N904" i="1"/>
  <c r="N863" i="1"/>
  <c r="N895" i="1"/>
  <c r="N861" i="1"/>
  <c r="N857" i="1"/>
  <c r="N853" i="1"/>
  <c r="N859" i="1"/>
  <c r="N855" i="1"/>
  <c r="N890" i="1"/>
  <c r="N886" i="1"/>
  <c r="N882" i="1"/>
  <c r="N888" i="1"/>
  <c r="N884" i="1"/>
  <c r="N899" i="2"/>
  <c r="N895" i="2"/>
  <c r="N850" i="2"/>
  <c r="N846" i="2"/>
  <c r="N842" i="2"/>
  <c r="N848" i="2"/>
  <c r="N858" i="2"/>
  <c r="N854" i="2"/>
  <c r="N860" i="2"/>
  <c r="N856" i="2"/>
  <c r="N862" i="2"/>
  <c r="N810" i="2"/>
  <c r="N806" i="2"/>
  <c r="N871" i="2"/>
  <c r="N867" i="2"/>
  <c r="N878" i="2"/>
  <c r="N874" i="2"/>
  <c r="N876" i="2"/>
  <c r="N866" i="1"/>
  <c r="N880" i="1"/>
  <c r="N876" i="1"/>
  <c r="N872" i="1"/>
  <c r="N878" i="1"/>
  <c r="N874" i="1"/>
  <c r="N837" i="1"/>
  <c r="N871" i="1"/>
  <c r="N881" i="1"/>
  <c r="N877" i="1"/>
  <c r="N873" i="1"/>
  <c r="N889" i="1"/>
  <c r="N885" i="1"/>
  <c r="N889" i="2"/>
  <c r="N885" i="2"/>
  <c r="N888" i="2"/>
  <c r="N884" i="2"/>
  <c r="N853" i="2"/>
  <c r="N868" i="2"/>
  <c r="N864" i="2"/>
  <c r="N866" i="2"/>
  <c r="N812" i="1"/>
  <c r="N824" i="1"/>
  <c r="N832" i="1"/>
  <c r="N870" i="1"/>
  <c r="N862" i="1"/>
  <c r="N829" i="1"/>
  <c r="N825" i="1"/>
  <c r="N858" i="1"/>
  <c r="N854" i="1"/>
  <c r="N860" i="1"/>
  <c r="N856" i="1"/>
  <c r="N867" i="1"/>
  <c r="N879" i="2"/>
  <c r="N875" i="2"/>
  <c r="N840" i="2"/>
  <c r="N836" i="2"/>
  <c r="N832" i="2"/>
  <c r="N834" i="2"/>
  <c r="N851" i="2"/>
  <c r="N843" i="2"/>
  <c r="N857" i="2"/>
  <c r="N879" i="1"/>
  <c r="N875" i="1"/>
  <c r="N840" i="1"/>
  <c r="N836" i="1"/>
  <c r="N869" i="1"/>
  <c r="N865" i="1"/>
  <c r="N869" i="2"/>
  <c r="N865" i="2"/>
  <c r="N847" i="2"/>
  <c r="N808" i="2"/>
  <c r="N821" i="2"/>
  <c r="N868" i="1"/>
  <c r="N864" i="1"/>
  <c r="N818" i="1"/>
  <c r="N814" i="1"/>
  <c r="N820" i="1"/>
  <c r="N816" i="1"/>
  <c r="N851" i="1"/>
  <c r="N847" i="1"/>
  <c r="N843" i="1"/>
  <c r="N849" i="1"/>
  <c r="N845" i="1"/>
  <c r="N859" i="2"/>
  <c r="N855" i="2"/>
  <c r="N830" i="2"/>
  <c r="N826" i="2"/>
  <c r="N822" i="2"/>
  <c r="N838" i="2"/>
  <c r="N808" i="1"/>
  <c r="N804" i="1"/>
  <c r="N813" i="1"/>
  <c r="N819" i="1"/>
  <c r="N841" i="1"/>
  <c r="N833" i="1"/>
  <c r="N850" i="1"/>
  <c r="N846" i="1"/>
  <c r="N842" i="1"/>
  <c r="N844" i="1"/>
  <c r="N810" i="1"/>
  <c r="N806" i="1"/>
  <c r="N849" i="2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83" i="2"/>
  <c r="N731" i="2"/>
  <c r="N723" i="2"/>
  <c r="N771" i="2"/>
  <c r="N767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61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4" i="1"/>
  <c r="N620" i="1"/>
  <c r="N616" i="1"/>
  <c r="N612" i="1"/>
  <c r="N618" i="1"/>
  <c r="N614" i="1"/>
  <c r="N623" i="1"/>
  <c r="N649" i="2"/>
  <c r="N645" i="2"/>
  <c r="N593" i="2"/>
  <c r="N617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78" i="2"/>
  <c r="N574" i="2"/>
  <c r="N611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9" i="2"/>
  <c r="N555" i="2"/>
  <c r="N541" i="2"/>
  <c r="N537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501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509" i="2"/>
  <c r="N468" i="2"/>
  <c r="N460" i="2"/>
  <c r="N471" i="2"/>
  <c r="N481" i="2"/>
  <c r="N477" i="2"/>
  <c r="N473" i="2"/>
  <c r="N488" i="2"/>
  <c r="N484" i="2"/>
  <c r="N490" i="2"/>
  <c r="N486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89" i="1"/>
  <c r="N485" i="1"/>
  <c r="N488" i="1"/>
  <c r="N484" i="1"/>
  <c r="N423" i="1"/>
  <c r="N470" i="1"/>
  <c r="N462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449" i="1"/>
  <c r="N445" i="1"/>
  <c r="N444" i="1"/>
  <c r="N424" i="1"/>
  <c r="N438" i="1"/>
  <c r="N434" i="1"/>
  <c r="N439" i="2"/>
  <c r="N435" i="2"/>
  <c r="N381" i="2"/>
  <c r="N377" i="2"/>
  <c r="N411" i="2"/>
  <c r="N407" i="2"/>
  <c r="N370" i="2"/>
  <c r="N372" i="2"/>
  <c r="N400" i="2"/>
  <c r="N396" i="2"/>
  <c r="N392" i="2"/>
  <c r="N417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47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5" i="2"/>
  <c r="N192" i="2"/>
  <c r="N230" i="2"/>
  <c r="N222" i="2"/>
  <c r="N228" i="2"/>
  <c r="N240" i="2"/>
  <c r="N236" i="2"/>
  <c r="N232" i="2"/>
  <c r="N234" i="2"/>
  <c r="N181" i="2"/>
  <c r="N198" i="2"/>
  <c r="N194" i="2"/>
  <c r="N196" i="2"/>
  <c r="N207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7" i="2"/>
  <c r="N61" i="2"/>
  <c r="N73" i="2"/>
  <c r="N97" i="2"/>
  <c r="N101" i="2"/>
  <c r="N103" i="2"/>
  <c r="N107" i="2"/>
  <c r="N113" i="2"/>
  <c r="N117" i="2"/>
  <c r="N171" i="2"/>
  <c r="N167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5" i="2"/>
  <c r="N67" i="2"/>
  <c r="N69" i="2"/>
  <c r="N71" i="2"/>
  <c r="N129" i="2"/>
  <c r="N125" i="2"/>
  <c r="N131" i="2"/>
  <c r="N127" i="2"/>
  <c r="N141" i="2"/>
  <c r="N137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44" i="2"/>
  <c r="N48" i="2"/>
  <c r="N84" i="2"/>
  <c r="N88" i="2"/>
  <c r="N104" i="2"/>
  <c r="N108" i="2"/>
  <c r="N139" i="2"/>
  <c r="N135" i="2"/>
  <c r="N159" i="2"/>
  <c r="N155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<sst xmlns="http://schemas.openxmlformats.org/spreadsheetml/2006/main" count="8816" uniqueCount="38">
  <si>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</si>
  <si>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</si>
  <si>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</si>
  <si>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</si>
  <si>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</si>
  <si>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</si>
  <si>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</si>
  <si>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</si>
  <si>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</si>
  <si>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</si>
  <si>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</si>
  <si>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</si>
  <si>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</si>
  <si>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</si>
  <si>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</si>
  <si>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</si>
  <si>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</si>
  <si>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</si>
  <si>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</si>
  <si>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</si>
  <si>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</si>
  <si>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</si>
  <si>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</si>
  <si>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</si>
  <si>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</si>
  <si>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</si>
  <si>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</si>
  <si>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</si>
  <si>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</si>
  <si>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</si>
  <si>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</si>
  <si>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</si>
  <si>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</si>
  <si>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</si>
  <si>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</si>
  <si>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</si>
  <si>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</si>
  <si>
    <t>T\SPECDATA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</si>
</sst>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/>
    <xf numFmtId="1" fontId="0" fillId="0" borderId="1" xfId="0" applyNumberFormat="1" applyBorder="1"/>
    <xf numFmtId="0" fontId="0" fillId="0" borderId="0" xfId="0" applyNumberFormat="1"/>
  </cellXfs>
  <cellStyles count="1">
    <cellStyle name="Standaard" xfId="0" builtinId="0"/>
  </cellStyles>
  <dxfs count="41"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UNILAB!$AN$2:$AN$122</c:f>
              <c:numCache>
                <c:formatCode>General</c:formatCode>
                <c:ptCount val="121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  <c:pt idx="84">
                  <c:v>287154</c:v>
                </c:pt>
                <c:pt idx="85">
                  <c:v>287589</c:v>
                </c:pt>
                <c:pt idx="86">
                  <c:v>287765</c:v>
                </c:pt>
                <c:pt idx="87">
                  <c:v>288013</c:v>
                </c:pt>
                <c:pt idx="88">
                  <c:v>288234</c:v>
                </c:pt>
                <c:pt idx="89">
                  <c:v>288623</c:v>
                </c:pt>
                <c:pt idx="90">
                  <c:v>288808</c:v>
                </c:pt>
                <c:pt idx="91">
                  <c:v>289591</c:v>
                </c:pt>
                <c:pt idx="92">
                  <c:v>290360</c:v>
                </c:pt>
                <c:pt idx="93">
                  <c:v>290747</c:v>
                </c:pt>
                <c:pt idx="94">
                  <c:v>291180</c:v>
                </c:pt>
                <c:pt idx="95">
                  <c:v>291648</c:v>
                </c:pt>
                <c:pt idx="96">
                  <c:v>292227</c:v>
                </c:pt>
                <c:pt idx="97">
                  <c:v>292566</c:v>
                </c:pt>
                <c:pt idx="98">
                  <c:v>293192</c:v>
                </c:pt>
                <c:pt idx="99">
                  <c:v>293491</c:v>
                </c:pt>
                <c:pt idx="100">
                  <c:v>293883</c:v>
                </c:pt>
                <c:pt idx="101">
                  <c:v>294233</c:v>
                </c:pt>
                <c:pt idx="102">
                  <c:v>294773</c:v>
                </c:pt>
                <c:pt idx="103">
                  <c:v>295495</c:v>
                </c:pt>
                <c:pt idx="104">
                  <c:v>295928</c:v>
                </c:pt>
                <c:pt idx="105">
                  <c:v>296776</c:v>
                </c:pt>
                <c:pt idx="106">
                  <c:v>297121</c:v>
                </c:pt>
                <c:pt idx="107">
                  <c:v>298238</c:v>
                </c:pt>
                <c:pt idx="108">
                  <c:v>298869</c:v>
                </c:pt>
                <c:pt idx="109">
                  <c:v>299252</c:v>
                </c:pt>
                <c:pt idx="110">
                  <c:v>299686</c:v>
                </c:pt>
                <c:pt idx="111">
                  <c:v>300268</c:v>
                </c:pt>
                <c:pt idx="112">
                  <c:v>300807</c:v>
                </c:pt>
                <c:pt idx="113">
                  <c:v>301363</c:v>
                </c:pt>
                <c:pt idx="114">
                  <c:v>302330</c:v>
                </c:pt>
                <c:pt idx="115">
                  <c:v>302956</c:v>
                </c:pt>
                <c:pt idx="116">
                  <c:v>303438</c:v>
                </c:pt>
                <c:pt idx="117">
                  <c:v>304033</c:v>
                </c:pt>
                <c:pt idx="118">
                  <c:v>304917</c:v>
                </c:pt>
                <c:pt idx="119">
                  <c:v>305150</c:v>
                </c:pt>
                <c:pt idx="120">
                  <c:v>305744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UNILAB!$AP$2:$AP$122</c:f>
              <c:numCache>
                <c:formatCode>General</c:formatCode>
                <c:ptCount val="121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  <c:pt idx="84">
                  <c:v>327680</c:v>
                </c:pt>
                <c:pt idx="85">
                  <c:v>327680</c:v>
                </c:pt>
                <c:pt idx="86">
                  <c:v>327680</c:v>
                </c:pt>
                <c:pt idx="87">
                  <c:v>327680</c:v>
                </c:pt>
                <c:pt idx="88">
                  <c:v>327680</c:v>
                </c:pt>
                <c:pt idx="89">
                  <c:v>327680</c:v>
                </c:pt>
                <c:pt idx="90">
                  <c:v>327680</c:v>
                </c:pt>
                <c:pt idx="91">
                  <c:v>327680</c:v>
                </c:pt>
                <c:pt idx="92">
                  <c:v>327680</c:v>
                </c:pt>
                <c:pt idx="93">
                  <c:v>327680</c:v>
                </c:pt>
                <c:pt idx="94">
                  <c:v>327680</c:v>
                </c:pt>
                <c:pt idx="95">
                  <c:v>327680</c:v>
                </c:pt>
                <c:pt idx="96">
                  <c:v>327680</c:v>
                </c:pt>
                <c:pt idx="97">
                  <c:v>327680</c:v>
                </c:pt>
                <c:pt idx="98">
                  <c:v>327680</c:v>
                </c:pt>
                <c:pt idx="99">
                  <c:v>327680</c:v>
                </c:pt>
                <c:pt idx="100">
                  <c:v>327680</c:v>
                </c:pt>
                <c:pt idx="101">
                  <c:v>327680</c:v>
                </c:pt>
                <c:pt idx="102">
                  <c:v>327680</c:v>
                </c:pt>
                <c:pt idx="103">
                  <c:v>327680</c:v>
                </c:pt>
                <c:pt idx="104">
                  <c:v>327680</c:v>
                </c:pt>
                <c:pt idx="105">
                  <c:v>327680</c:v>
                </c:pt>
                <c:pt idx="106">
                  <c:v>327680</c:v>
                </c:pt>
                <c:pt idx="107">
                  <c:v>327680</c:v>
                </c:pt>
                <c:pt idx="108">
                  <c:v>327680</c:v>
                </c:pt>
                <c:pt idx="109">
                  <c:v>327680</c:v>
                </c:pt>
                <c:pt idx="110">
                  <c:v>327680</c:v>
                </c:pt>
                <c:pt idx="111">
                  <c:v>327680</c:v>
                </c:pt>
                <c:pt idx="112">
                  <c:v>327680</c:v>
                </c:pt>
                <c:pt idx="113">
                  <c:v>327680</c:v>
                </c:pt>
                <c:pt idx="114">
                  <c:v>327680</c:v>
                </c:pt>
                <c:pt idx="115">
                  <c:v>327680</c:v>
                </c:pt>
                <c:pt idx="116">
                  <c:v>327680</c:v>
                </c:pt>
                <c:pt idx="117">
                  <c:v>327680</c:v>
                </c:pt>
                <c:pt idx="118">
                  <c:v>327680</c:v>
                </c:pt>
                <c:pt idx="119">
                  <c:v>327680</c:v>
                </c:pt>
                <c:pt idx="120">
                  <c:v>327680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UNILAB!$W$2:$W$122</c:f>
              <c:numCache>
                <c:formatCode>General</c:formatCode>
                <c:ptCount val="121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  <c:pt idx="84">
                  <c:v>439270</c:v>
                </c:pt>
                <c:pt idx="85">
                  <c:v>439744</c:v>
                </c:pt>
                <c:pt idx="86">
                  <c:v>440024</c:v>
                </c:pt>
                <c:pt idx="87">
                  <c:v>440472</c:v>
                </c:pt>
                <c:pt idx="88">
                  <c:v>440704</c:v>
                </c:pt>
                <c:pt idx="89">
                  <c:v>441033</c:v>
                </c:pt>
                <c:pt idx="90">
                  <c:v>441252</c:v>
                </c:pt>
                <c:pt idx="91">
                  <c:v>442303</c:v>
                </c:pt>
                <c:pt idx="92">
                  <c:v>442874</c:v>
                </c:pt>
                <c:pt idx="93">
                  <c:v>443395</c:v>
                </c:pt>
                <c:pt idx="94">
                  <c:v>443862</c:v>
                </c:pt>
                <c:pt idx="95">
                  <c:v>444782</c:v>
                </c:pt>
                <c:pt idx="96">
                  <c:v>445312</c:v>
                </c:pt>
                <c:pt idx="97">
                  <c:v>445881</c:v>
                </c:pt>
                <c:pt idx="98">
                  <c:v>446682</c:v>
                </c:pt>
                <c:pt idx="99">
                  <c:v>447220</c:v>
                </c:pt>
                <c:pt idx="100">
                  <c:v>447765</c:v>
                </c:pt>
                <c:pt idx="101">
                  <c:v>448375</c:v>
                </c:pt>
                <c:pt idx="102">
                  <c:v>448984</c:v>
                </c:pt>
                <c:pt idx="103">
                  <c:v>449549</c:v>
                </c:pt>
                <c:pt idx="104">
                  <c:v>450207</c:v>
                </c:pt>
                <c:pt idx="105">
                  <c:v>451107</c:v>
                </c:pt>
                <c:pt idx="106">
                  <c:v>451813</c:v>
                </c:pt>
                <c:pt idx="107">
                  <c:v>452777</c:v>
                </c:pt>
                <c:pt idx="108">
                  <c:v>453554</c:v>
                </c:pt>
                <c:pt idx="109">
                  <c:v>453965</c:v>
                </c:pt>
                <c:pt idx="110">
                  <c:v>454430</c:v>
                </c:pt>
                <c:pt idx="111">
                  <c:v>455135</c:v>
                </c:pt>
                <c:pt idx="112">
                  <c:v>456001</c:v>
                </c:pt>
                <c:pt idx="113">
                  <c:v>456466</c:v>
                </c:pt>
                <c:pt idx="114">
                  <c:v>457558</c:v>
                </c:pt>
                <c:pt idx="115">
                  <c:v>458136</c:v>
                </c:pt>
                <c:pt idx="116">
                  <c:v>459037</c:v>
                </c:pt>
                <c:pt idx="117">
                  <c:v>459542</c:v>
                </c:pt>
                <c:pt idx="118">
                  <c:v>460688</c:v>
                </c:pt>
                <c:pt idx="119">
                  <c:v>461144</c:v>
                </c:pt>
                <c:pt idx="120">
                  <c:v>461490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UNILAB!$Y$2:$Y$122</c:f>
              <c:numCache>
                <c:formatCode>General</c:formatCode>
                <c:ptCount val="121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  <c:pt idx="84">
                  <c:v>491520</c:v>
                </c:pt>
                <c:pt idx="85">
                  <c:v>491520</c:v>
                </c:pt>
                <c:pt idx="86">
                  <c:v>491520</c:v>
                </c:pt>
                <c:pt idx="87">
                  <c:v>491520</c:v>
                </c:pt>
                <c:pt idx="88">
                  <c:v>491520</c:v>
                </c:pt>
                <c:pt idx="89">
                  <c:v>491520</c:v>
                </c:pt>
                <c:pt idx="90">
                  <c:v>491520</c:v>
                </c:pt>
                <c:pt idx="91">
                  <c:v>491520</c:v>
                </c:pt>
                <c:pt idx="92">
                  <c:v>491520</c:v>
                </c:pt>
                <c:pt idx="93">
                  <c:v>491520</c:v>
                </c:pt>
                <c:pt idx="94">
                  <c:v>491520</c:v>
                </c:pt>
                <c:pt idx="95">
                  <c:v>491520</c:v>
                </c:pt>
                <c:pt idx="96">
                  <c:v>491520</c:v>
                </c:pt>
                <c:pt idx="97">
                  <c:v>491520</c:v>
                </c:pt>
                <c:pt idx="98">
                  <c:v>491520</c:v>
                </c:pt>
                <c:pt idx="99">
                  <c:v>491520</c:v>
                </c:pt>
                <c:pt idx="100">
                  <c:v>491520</c:v>
                </c:pt>
                <c:pt idx="101">
                  <c:v>491520</c:v>
                </c:pt>
                <c:pt idx="102">
                  <c:v>491520</c:v>
                </c:pt>
                <c:pt idx="103">
                  <c:v>491520</c:v>
                </c:pt>
                <c:pt idx="104">
                  <c:v>491520</c:v>
                </c:pt>
                <c:pt idx="105">
                  <c:v>491520</c:v>
                </c:pt>
                <c:pt idx="106">
                  <c:v>491520</c:v>
                </c:pt>
                <c:pt idx="107">
                  <c:v>491520</c:v>
                </c:pt>
                <c:pt idx="108">
                  <c:v>491520</c:v>
                </c:pt>
                <c:pt idx="109">
                  <c:v>491520</c:v>
                </c:pt>
                <c:pt idx="110">
                  <c:v>491520</c:v>
                </c:pt>
                <c:pt idx="111">
                  <c:v>491520</c:v>
                </c:pt>
                <c:pt idx="112">
                  <c:v>491520</c:v>
                </c:pt>
                <c:pt idx="113">
                  <c:v>491520</c:v>
                </c:pt>
                <c:pt idx="114">
                  <c:v>491520</c:v>
                </c:pt>
                <c:pt idx="115">
                  <c:v>491520</c:v>
                </c:pt>
                <c:pt idx="116">
                  <c:v>491520</c:v>
                </c:pt>
                <c:pt idx="117">
                  <c:v>491520</c:v>
                </c:pt>
                <c:pt idx="118">
                  <c:v>491520</c:v>
                </c:pt>
                <c:pt idx="119">
                  <c:v>491520</c:v>
                </c:pt>
                <c:pt idx="120">
                  <c:v>491520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UNILAB!$AE$2:$AE$122</c:f>
              <c:numCache>
                <c:formatCode>0</c:formatCode>
                <c:ptCount val="121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99</c:v>
                </c:pt>
                <c:pt idx="48">
                  <c:v>1.477963803265008</c:v>
                </c:pt>
                <c:pt idx="49">
                  <c:v>99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  <c:pt idx="84">
                  <c:v>3.3547351524879616</c:v>
                </c:pt>
                <c:pt idx="85">
                  <c:v>109.23206751054852</c:v>
                </c:pt>
                <c:pt idx="86">
                  <c:v>183.91428571428571</c:v>
                </c:pt>
                <c:pt idx="87">
                  <c:v>113.94642857142857</c:v>
                </c:pt>
                <c:pt idx="88">
                  <c:v>219.0344827586207</c:v>
                </c:pt>
                <c:pt idx="89">
                  <c:v>153.45592705167172</c:v>
                </c:pt>
                <c:pt idx="90">
                  <c:v>229.53424657534248</c:v>
                </c:pt>
                <c:pt idx="91">
                  <c:v>46.828734538534732</c:v>
                </c:pt>
                <c:pt idx="92">
                  <c:v>85.19439579684763</c:v>
                </c:pt>
                <c:pt idx="93">
                  <c:v>92.370441458733211</c:v>
                </c:pt>
                <c:pt idx="94">
                  <c:v>102.05139186295503</c:v>
                </c:pt>
                <c:pt idx="95">
                  <c:v>50.802173913043475</c:v>
                </c:pt>
                <c:pt idx="96">
                  <c:v>87.184905660377353</c:v>
                </c:pt>
                <c:pt idx="97">
                  <c:v>80.209138840070295</c:v>
                </c:pt>
                <c:pt idx="98">
                  <c:v>55.977528089887642</c:v>
                </c:pt>
                <c:pt idx="99">
                  <c:v>82.342007434944236</c:v>
                </c:pt>
                <c:pt idx="100">
                  <c:v>80.284403669724767</c:v>
                </c:pt>
                <c:pt idx="101">
                  <c:v>70.729508196721312</c:v>
                </c:pt>
                <c:pt idx="102">
                  <c:v>69.8456486042693</c:v>
                </c:pt>
                <c:pt idx="103">
                  <c:v>74.284955752212383</c:v>
                </c:pt>
                <c:pt idx="104">
                  <c:v>62.785714285714285</c:v>
                </c:pt>
                <c:pt idx="105">
                  <c:v>44.903333333333336</c:v>
                </c:pt>
                <c:pt idx="106">
                  <c:v>56.242209631728045</c:v>
                </c:pt>
                <c:pt idx="107">
                  <c:v>40.189834024896264</c:v>
                </c:pt>
                <c:pt idx="108">
                  <c:v>48.862290862290862</c:v>
                </c:pt>
                <c:pt idx="109">
                  <c:v>91.374695863746965</c:v>
                </c:pt>
                <c:pt idx="110">
                  <c:v>79.763440860215056</c:v>
                </c:pt>
                <c:pt idx="111">
                  <c:v>51.609929078014183</c:v>
                </c:pt>
                <c:pt idx="112">
                  <c:v>41.015011547344109</c:v>
                </c:pt>
                <c:pt idx="113">
                  <c:v>75.384946236559145</c:v>
                </c:pt>
                <c:pt idx="114">
                  <c:v>31.100732600732602</c:v>
                </c:pt>
                <c:pt idx="115">
                  <c:v>57.757785467128031</c:v>
                </c:pt>
                <c:pt idx="116">
                  <c:v>36.052164261931189</c:v>
                </c:pt>
                <c:pt idx="117">
                  <c:v>63.32277227722772</c:v>
                </c:pt>
                <c:pt idx="118">
                  <c:v>26.904013961605585</c:v>
                </c:pt>
                <c:pt idx="119">
                  <c:v>66.614035087719301</c:v>
                </c:pt>
                <c:pt idx="120">
                  <c:v>86.79190751445087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UNILAB!$AV$2:$AV$122</c:f>
              <c:numCache>
                <c:formatCode>0</c:formatCode>
                <c:ptCount val="121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99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  <c:pt idx="84">
                  <c:v>3.1080604340823683</c:v>
                </c:pt>
                <c:pt idx="85">
                  <c:v>92.163218390804602</c:v>
                </c:pt>
                <c:pt idx="86">
                  <c:v>226.78977272727272</c:v>
                </c:pt>
                <c:pt idx="87">
                  <c:v>159.94758064516128</c:v>
                </c:pt>
                <c:pt idx="88">
                  <c:v>178.48868778280544</c:v>
                </c:pt>
                <c:pt idx="89">
                  <c:v>100.40359897172236</c:v>
                </c:pt>
                <c:pt idx="90">
                  <c:v>210.11891891891892</c:v>
                </c:pt>
                <c:pt idx="91">
                  <c:v>48.644955300127712</c:v>
                </c:pt>
                <c:pt idx="92">
                  <c:v>48.530559167750326</c:v>
                </c:pt>
                <c:pt idx="93">
                  <c:v>95.434108527131784</c:v>
                </c:pt>
                <c:pt idx="94">
                  <c:v>84.295612009237871</c:v>
                </c:pt>
                <c:pt idx="95">
                  <c:v>76.991452991452988</c:v>
                </c:pt>
                <c:pt idx="96">
                  <c:v>61.231433506044908</c:v>
                </c:pt>
                <c:pt idx="97">
                  <c:v>103.5811209439528</c:v>
                </c:pt>
                <c:pt idx="98">
                  <c:v>55.092651757188499</c:v>
                </c:pt>
                <c:pt idx="99">
                  <c:v>114.34448160535118</c:v>
                </c:pt>
                <c:pt idx="100">
                  <c:v>86.216836734693871</c:v>
                </c:pt>
                <c:pt idx="101">
                  <c:v>95.562857142857141</c:v>
                </c:pt>
                <c:pt idx="102">
                  <c:v>60.93888888888889</c:v>
                </c:pt>
                <c:pt idx="103">
                  <c:v>44.577562326869803</c:v>
                </c:pt>
                <c:pt idx="104">
                  <c:v>73.330254041570441</c:v>
                </c:pt>
                <c:pt idx="105">
                  <c:v>36.443396226415096</c:v>
                </c:pt>
                <c:pt idx="106">
                  <c:v>88.576811594202894</c:v>
                </c:pt>
                <c:pt idx="107">
                  <c:v>26.358102059086839</c:v>
                </c:pt>
                <c:pt idx="108">
                  <c:v>45.659270998415217</c:v>
                </c:pt>
                <c:pt idx="109">
                  <c:v>74.224543080939952</c:v>
                </c:pt>
                <c:pt idx="110">
                  <c:v>64.502304147465438</c:v>
                </c:pt>
                <c:pt idx="111">
                  <c:v>47.099656357388319</c:v>
                </c:pt>
                <c:pt idx="112">
                  <c:v>49.857142857142854</c:v>
                </c:pt>
                <c:pt idx="113">
                  <c:v>47.332733812949641</c:v>
                </c:pt>
                <c:pt idx="114">
                  <c:v>26.215098241985523</c:v>
                </c:pt>
                <c:pt idx="115">
                  <c:v>39.495207667731627</c:v>
                </c:pt>
                <c:pt idx="116">
                  <c:v>50.294605809128633</c:v>
                </c:pt>
                <c:pt idx="117">
                  <c:v>39.74285714285714</c:v>
                </c:pt>
                <c:pt idx="118">
                  <c:v>25.75</c:v>
                </c:pt>
                <c:pt idx="119">
                  <c:v>96.695278969957087</c:v>
                </c:pt>
                <c:pt idx="120">
                  <c:v>36.929292929292927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INTERSPC!$AN$2:$AN$122</c:f>
              <c:numCache>
                <c:formatCode>General</c:formatCode>
                <c:ptCount val="121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  <c:pt idx="84">
                  <c:v>136607</c:v>
                </c:pt>
                <c:pt idx="85">
                  <c:v>136681</c:v>
                </c:pt>
                <c:pt idx="86">
                  <c:v>136884</c:v>
                </c:pt>
                <c:pt idx="87">
                  <c:v>137073</c:v>
                </c:pt>
                <c:pt idx="88">
                  <c:v>137249</c:v>
                </c:pt>
                <c:pt idx="89">
                  <c:v>137775</c:v>
                </c:pt>
                <c:pt idx="90">
                  <c:v>137976</c:v>
                </c:pt>
                <c:pt idx="91">
                  <c:v>138757</c:v>
                </c:pt>
                <c:pt idx="92">
                  <c:v>139000</c:v>
                </c:pt>
                <c:pt idx="93">
                  <c:v>139258</c:v>
                </c:pt>
                <c:pt idx="94">
                  <c:v>139620</c:v>
                </c:pt>
                <c:pt idx="95">
                  <c:v>148285</c:v>
                </c:pt>
                <c:pt idx="96">
                  <c:v>148615</c:v>
                </c:pt>
                <c:pt idx="97">
                  <c:v>149011</c:v>
                </c:pt>
                <c:pt idx="98">
                  <c:v>149462</c:v>
                </c:pt>
                <c:pt idx="99">
                  <c:v>149854</c:v>
                </c:pt>
                <c:pt idx="100">
                  <c:v>150404</c:v>
                </c:pt>
                <c:pt idx="101">
                  <c:v>150995</c:v>
                </c:pt>
                <c:pt idx="102">
                  <c:v>151526</c:v>
                </c:pt>
                <c:pt idx="103">
                  <c:v>152648</c:v>
                </c:pt>
                <c:pt idx="104">
                  <c:v>153177</c:v>
                </c:pt>
                <c:pt idx="105">
                  <c:v>153820</c:v>
                </c:pt>
                <c:pt idx="106">
                  <c:v>154104</c:v>
                </c:pt>
                <c:pt idx="107">
                  <c:v>154726</c:v>
                </c:pt>
                <c:pt idx="108">
                  <c:v>155214</c:v>
                </c:pt>
                <c:pt idx="109">
                  <c:v>155589</c:v>
                </c:pt>
                <c:pt idx="110">
                  <c:v>155791</c:v>
                </c:pt>
                <c:pt idx="111">
                  <c:v>156382</c:v>
                </c:pt>
                <c:pt idx="112">
                  <c:v>156841</c:v>
                </c:pt>
                <c:pt idx="113">
                  <c:v>157193</c:v>
                </c:pt>
                <c:pt idx="114">
                  <c:v>157967</c:v>
                </c:pt>
                <c:pt idx="115">
                  <c:v>158213</c:v>
                </c:pt>
                <c:pt idx="116">
                  <c:v>158695</c:v>
                </c:pt>
                <c:pt idx="117">
                  <c:v>159061</c:v>
                </c:pt>
                <c:pt idx="118">
                  <c:v>159584</c:v>
                </c:pt>
                <c:pt idx="119">
                  <c:v>159777</c:v>
                </c:pt>
                <c:pt idx="120">
                  <c:v>160436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INTERSPC!$AP$2:$AP$122</c:f>
              <c:numCache>
                <c:formatCode>General</c:formatCode>
                <c:ptCount val="121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  <c:pt idx="84">
                  <c:v>163840</c:v>
                </c:pt>
                <c:pt idx="85">
                  <c:v>163840</c:v>
                </c:pt>
                <c:pt idx="86">
                  <c:v>163840</c:v>
                </c:pt>
                <c:pt idx="87">
                  <c:v>163840</c:v>
                </c:pt>
                <c:pt idx="88">
                  <c:v>163840</c:v>
                </c:pt>
                <c:pt idx="89">
                  <c:v>163840</c:v>
                </c:pt>
                <c:pt idx="90">
                  <c:v>163840</c:v>
                </c:pt>
                <c:pt idx="91">
                  <c:v>163840</c:v>
                </c:pt>
                <c:pt idx="92">
                  <c:v>163840</c:v>
                </c:pt>
                <c:pt idx="93">
                  <c:v>163840</c:v>
                </c:pt>
                <c:pt idx="94">
                  <c:v>163840</c:v>
                </c:pt>
                <c:pt idx="95">
                  <c:v>163840</c:v>
                </c:pt>
                <c:pt idx="96">
                  <c:v>163840</c:v>
                </c:pt>
                <c:pt idx="97">
                  <c:v>163840</c:v>
                </c:pt>
                <c:pt idx="98">
                  <c:v>163840</c:v>
                </c:pt>
                <c:pt idx="99">
                  <c:v>163840</c:v>
                </c:pt>
                <c:pt idx="100">
                  <c:v>163840</c:v>
                </c:pt>
                <c:pt idx="101">
                  <c:v>163840</c:v>
                </c:pt>
                <c:pt idx="102">
                  <c:v>163840</c:v>
                </c:pt>
                <c:pt idx="103">
                  <c:v>163840</c:v>
                </c:pt>
                <c:pt idx="104">
                  <c:v>163840</c:v>
                </c:pt>
                <c:pt idx="105">
                  <c:v>163840</c:v>
                </c:pt>
                <c:pt idx="106">
                  <c:v>163840</c:v>
                </c:pt>
                <c:pt idx="107">
                  <c:v>163840</c:v>
                </c:pt>
                <c:pt idx="108">
                  <c:v>163840</c:v>
                </c:pt>
                <c:pt idx="109">
                  <c:v>163840</c:v>
                </c:pt>
                <c:pt idx="110">
                  <c:v>163840</c:v>
                </c:pt>
                <c:pt idx="111">
                  <c:v>163840</c:v>
                </c:pt>
                <c:pt idx="112">
                  <c:v>163840</c:v>
                </c:pt>
                <c:pt idx="113">
                  <c:v>163840</c:v>
                </c:pt>
                <c:pt idx="114">
                  <c:v>163840</c:v>
                </c:pt>
                <c:pt idx="115">
                  <c:v>163840</c:v>
                </c:pt>
                <c:pt idx="116">
                  <c:v>163840</c:v>
                </c:pt>
                <c:pt idx="117">
                  <c:v>163840</c:v>
                </c:pt>
                <c:pt idx="118">
                  <c:v>163840</c:v>
                </c:pt>
                <c:pt idx="119">
                  <c:v>163840</c:v>
                </c:pt>
                <c:pt idx="120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INTERSPC!$W$2:$W$122</c:f>
              <c:numCache>
                <c:formatCode>General</c:formatCode>
                <c:ptCount val="121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  <c:pt idx="84">
                  <c:v>16348</c:v>
                </c:pt>
                <c:pt idx="85">
                  <c:v>16387</c:v>
                </c:pt>
                <c:pt idx="86">
                  <c:v>16484</c:v>
                </c:pt>
                <c:pt idx="87">
                  <c:v>16522</c:v>
                </c:pt>
                <c:pt idx="88">
                  <c:v>16555</c:v>
                </c:pt>
                <c:pt idx="89">
                  <c:v>16582</c:v>
                </c:pt>
                <c:pt idx="90">
                  <c:v>16634</c:v>
                </c:pt>
                <c:pt idx="91">
                  <c:v>16799</c:v>
                </c:pt>
                <c:pt idx="92">
                  <c:v>16833</c:v>
                </c:pt>
                <c:pt idx="93">
                  <c:v>16875</c:v>
                </c:pt>
                <c:pt idx="94">
                  <c:v>16997</c:v>
                </c:pt>
                <c:pt idx="95">
                  <c:v>52081</c:v>
                </c:pt>
                <c:pt idx="96">
                  <c:v>52244</c:v>
                </c:pt>
                <c:pt idx="97">
                  <c:v>52349</c:v>
                </c:pt>
                <c:pt idx="98">
                  <c:v>52592</c:v>
                </c:pt>
                <c:pt idx="99">
                  <c:v>52774</c:v>
                </c:pt>
                <c:pt idx="100">
                  <c:v>52979</c:v>
                </c:pt>
                <c:pt idx="101">
                  <c:v>53260</c:v>
                </c:pt>
                <c:pt idx="102">
                  <c:v>53496</c:v>
                </c:pt>
                <c:pt idx="103">
                  <c:v>53879</c:v>
                </c:pt>
                <c:pt idx="104">
                  <c:v>54058</c:v>
                </c:pt>
                <c:pt idx="105">
                  <c:v>54277</c:v>
                </c:pt>
                <c:pt idx="106">
                  <c:v>54471</c:v>
                </c:pt>
                <c:pt idx="107">
                  <c:v>54700</c:v>
                </c:pt>
                <c:pt idx="108">
                  <c:v>54949</c:v>
                </c:pt>
                <c:pt idx="109">
                  <c:v>55096</c:v>
                </c:pt>
                <c:pt idx="110">
                  <c:v>55337</c:v>
                </c:pt>
                <c:pt idx="111">
                  <c:v>55450</c:v>
                </c:pt>
                <c:pt idx="112">
                  <c:v>55674</c:v>
                </c:pt>
                <c:pt idx="113">
                  <c:v>55802</c:v>
                </c:pt>
                <c:pt idx="114">
                  <c:v>56186</c:v>
                </c:pt>
                <c:pt idx="115">
                  <c:v>56298</c:v>
                </c:pt>
                <c:pt idx="116">
                  <c:v>56585</c:v>
                </c:pt>
                <c:pt idx="117">
                  <c:v>56721</c:v>
                </c:pt>
                <c:pt idx="118">
                  <c:v>56923</c:v>
                </c:pt>
                <c:pt idx="119">
                  <c:v>57093</c:v>
                </c:pt>
                <c:pt idx="120">
                  <c:v>57263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INTERSPC!$Y$2:$Y$122</c:f>
              <c:numCache>
                <c:formatCode>General</c:formatCode>
                <c:ptCount val="121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  <c:pt idx="84">
                  <c:v>32768</c:v>
                </c:pt>
                <c:pt idx="85">
                  <c:v>32768</c:v>
                </c:pt>
                <c:pt idx="86">
                  <c:v>32768</c:v>
                </c:pt>
                <c:pt idx="87">
                  <c:v>32768</c:v>
                </c:pt>
                <c:pt idx="88">
                  <c:v>32768</c:v>
                </c:pt>
                <c:pt idx="89">
                  <c:v>32768</c:v>
                </c:pt>
                <c:pt idx="90">
                  <c:v>32768</c:v>
                </c:pt>
                <c:pt idx="91">
                  <c:v>32768</c:v>
                </c:pt>
                <c:pt idx="92">
                  <c:v>32768</c:v>
                </c:pt>
                <c:pt idx="93">
                  <c:v>32768</c:v>
                </c:pt>
                <c:pt idx="94">
                  <c:v>32768</c:v>
                </c:pt>
                <c:pt idx="95">
                  <c:v>65536</c:v>
                </c:pt>
                <c:pt idx="96">
                  <c:v>65536</c:v>
                </c:pt>
                <c:pt idx="97">
                  <c:v>65536</c:v>
                </c:pt>
                <c:pt idx="98">
                  <c:v>65536</c:v>
                </c:pt>
                <c:pt idx="99">
                  <c:v>65536</c:v>
                </c:pt>
                <c:pt idx="100">
                  <c:v>65536</c:v>
                </c:pt>
                <c:pt idx="101">
                  <c:v>65536</c:v>
                </c:pt>
                <c:pt idx="102">
                  <c:v>65536</c:v>
                </c:pt>
                <c:pt idx="103">
                  <c:v>65536</c:v>
                </c:pt>
                <c:pt idx="104">
                  <c:v>65536</c:v>
                </c:pt>
                <c:pt idx="105">
                  <c:v>65536</c:v>
                </c:pt>
                <c:pt idx="106">
                  <c:v>65536</c:v>
                </c:pt>
                <c:pt idx="107">
                  <c:v>65536</c:v>
                </c:pt>
                <c:pt idx="108">
                  <c:v>65536</c:v>
                </c:pt>
                <c:pt idx="109">
                  <c:v>65536</c:v>
                </c:pt>
                <c:pt idx="110">
                  <c:v>65536</c:v>
                </c:pt>
                <c:pt idx="111">
                  <c:v>65536</c:v>
                </c:pt>
                <c:pt idx="112">
                  <c:v>65536</c:v>
                </c:pt>
                <c:pt idx="113">
                  <c:v>65536</c:v>
                </c:pt>
                <c:pt idx="114">
                  <c:v>65536</c:v>
                </c:pt>
                <c:pt idx="115">
                  <c:v>65536</c:v>
                </c:pt>
                <c:pt idx="116">
                  <c:v>65536</c:v>
                </c:pt>
                <c:pt idx="117">
                  <c:v>65536</c:v>
                </c:pt>
                <c:pt idx="118">
                  <c:v>65536</c:v>
                </c:pt>
                <c:pt idx="119">
                  <c:v>65536</c:v>
                </c:pt>
                <c:pt idx="120">
                  <c:v>65536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INTERSPC!$AV$2:$AV$122</c:f>
              <c:numCache>
                <c:formatCode>0</c:formatCode>
                <c:ptCount val="121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99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  <c:pt idx="84">
                  <c:v>3.233171079187938</c:v>
                </c:pt>
                <c:pt idx="85">
                  <c:v>367.01351351351349</c:v>
                </c:pt>
                <c:pt idx="86">
                  <c:v>132.78817733990147</c:v>
                </c:pt>
                <c:pt idx="87">
                  <c:v>141.62433862433863</c:v>
                </c:pt>
                <c:pt idx="88">
                  <c:v>151.08522727272728</c:v>
                </c:pt>
                <c:pt idx="89">
                  <c:v>49.553231939163496</c:v>
                </c:pt>
                <c:pt idx="90">
                  <c:v>128.6766169154229</c:v>
                </c:pt>
                <c:pt idx="91">
                  <c:v>32.116517285531373</c:v>
                </c:pt>
                <c:pt idx="92">
                  <c:v>102.22222222222223</c:v>
                </c:pt>
                <c:pt idx="93">
                  <c:v>95.279069767441854</c:v>
                </c:pt>
                <c:pt idx="94">
                  <c:v>66.906077348066304</c:v>
                </c:pt>
                <c:pt idx="95">
                  <c:v>1.7951529140219273</c:v>
                </c:pt>
                <c:pt idx="96">
                  <c:v>46.136363636363633</c:v>
                </c:pt>
                <c:pt idx="97">
                  <c:v>37.446969696969695</c:v>
                </c:pt>
                <c:pt idx="98">
                  <c:v>31.880266075388025</c:v>
                </c:pt>
                <c:pt idx="99">
                  <c:v>35.678571428571431</c:v>
                </c:pt>
                <c:pt idx="100">
                  <c:v>24.42909090909091</c:v>
                </c:pt>
                <c:pt idx="101">
                  <c:v>21.734348561759731</c:v>
                </c:pt>
                <c:pt idx="102">
                  <c:v>23.190207156308851</c:v>
                </c:pt>
                <c:pt idx="103">
                  <c:v>9.975044563279857</c:v>
                </c:pt>
                <c:pt idx="104">
                  <c:v>20.156899810964084</c:v>
                </c:pt>
                <c:pt idx="105">
                  <c:v>15.583203732503888</c:v>
                </c:pt>
                <c:pt idx="106">
                  <c:v>34.281690140845072</c:v>
                </c:pt>
                <c:pt idx="107">
                  <c:v>14.652733118971062</c:v>
                </c:pt>
                <c:pt idx="108">
                  <c:v>17.67622950819672</c:v>
                </c:pt>
                <c:pt idx="109">
                  <c:v>22.002666666666666</c:v>
                </c:pt>
                <c:pt idx="110">
                  <c:v>39.846534653465348</c:v>
                </c:pt>
                <c:pt idx="111">
                  <c:v>12.619289340101522</c:v>
                </c:pt>
                <c:pt idx="112">
                  <c:v>15.248366013071895</c:v>
                </c:pt>
                <c:pt idx="113">
                  <c:v>18.883522727272727</c:v>
                </c:pt>
                <c:pt idx="114">
                  <c:v>7.5878552971576223</c:v>
                </c:pt>
                <c:pt idx="115">
                  <c:v>22.873983739837399</c:v>
                </c:pt>
                <c:pt idx="116">
                  <c:v>10.674273858921161</c:v>
                </c:pt>
                <c:pt idx="117">
                  <c:v>13.057377049180328</c:v>
                </c:pt>
                <c:pt idx="118">
                  <c:v>8.1376673040152969</c:v>
                </c:pt>
                <c:pt idx="119">
                  <c:v>21.051813471502591</c:v>
                </c:pt>
                <c:pt idx="120">
                  <c:v>5.1654021244309556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INTERSPC!$AE$2:$AE$122</c:f>
              <c:numCache>
                <c:formatCode>0</c:formatCode>
                <c:ptCount val="121"/>
                <c:pt idx="0">
                  <c:v>99</c:v>
                </c:pt>
                <c:pt idx="1">
                  <c:v>99</c:v>
                </c:pt>
                <c:pt idx="2">
                  <c:v>18.962740384615383</c:v>
                </c:pt>
                <c:pt idx="3">
                  <c:v>99</c:v>
                </c:pt>
                <c:pt idx="4">
                  <c:v>241.6</c:v>
                </c:pt>
                <c:pt idx="5">
                  <c:v>99</c:v>
                </c:pt>
                <c:pt idx="6">
                  <c:v>99</c:v>
                </c:pt>
                <c:pt idx="7">
                  <c:v>244.234375</c:v>
                </c:pt>
                <c:pt idx="8">
                  <c:v>99</c:v>
                </c:pt>
                <c:pt idx="9">
                  <c:v>99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99</c:v>
                </c:pt>
                <c:pt idx="13">
                  <c:v>99</c:v>
                </c:pt>
                <c:pt idx="14">
                  <c:v>240.875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99</c:v>
                </c:pt>
                <c:pt idx="21">
                  <c:v>99</c:v>
                </c:pt>
                <c:pt idx="22">
                  <c:v>210.91666666666666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209.65277777777777</c:v>
                </c:pt>
                <c:pt idx="30">
                  <c:v>99</c:v>
                </c:pt>
                <c:pt idx="31">
                  <c:v>99</c:v>
                </c:pt>
                <c:pt idx="32">
                  <c:v>202.97297297297297</c:v>
                </c:pt>
                <c:pt idx="33">
                  <c:v>99</c:v>
                </c:pt>
                <c:pt idx="34">
                  <c:v>99</c:v>
                </c:pt>
                <c:pt idx="35">
                  <c:v>229.92307692307693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198.2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227.41538461538462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261.44444444444446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292.96875</c:v>
                </c:pt>
                <c:pt idx="60">
                  <c:v>99</c:v>
                </c:pt>
                <c:pt idx="61">
                  <c:v>99</c:v>
                </c:pt>
                <c:pt idx="62">
                  <c:v>134.85507246376812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99</c:v>
                </c:pt>
                <c:pt idx="69">
                  <c:v>99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311.39285714285717</c:v>
                </c:pt>
                <c:pt idx="79">
                  <c:v>99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  <c:pt idx="84">
                  <c:v>146.60714285714286</c:v>
                </c:pt>
                <c:pt idx="85">
                  <c:v>420.02564102564105</c:v>
                </c:pt>
                <c:pt idx="86">
                  <c:v>167.8762886597938</c:v>
                </c:pt>
                <c:pt idx="87">
                  <c:v>427.5263157894737</c:v>
                </c:pt>
                <c:pt idx="88">
                  <c:v>491.30303030303031</c:v>
                </c:pt>
                <c:pt idx="89">
                  <c:v>599.48148148148152</c:v>
                </c:pt>
                <c:pt idx="90">
                  <c:v>310.26923076923077</c:v>
                </c:pt>
                <c:pt idx="91">
                  <c:v>96.781818181818181</c:v>
                </c:pt>
                <c:pt idx="92">
                  <c:v>468.6764705882353</c:v>
                </c:pt>
                <c:pt idx="93">
                  <c:v>378.40476190476193</c:v>
                </c:pt>
                <c:pt idx="94">
                  <c:v>129.2704918032787</c:v>
                </c:pt>
                <c:pt idx="95">
                  <c:v>0.38350815186409759</c:v>
                </c:pt>
                <c:pt idx="96">
                  <c:v>81.546012269938657</c:v>
                </c:pt>
                <c:pt idx="97">
                  <c:v>125.5904761904762</c:v>
                </c:pt>
                <c:pt idx="98">
                  <c:v>53.267489711934154</c:v>
                </c:pt>
                <c:pt idx="99">
                  <c:v>70.120879120879124</c:v>
                </c:pt>
                <c:pt idx="100">
                  <c:v>61.253658536585363</c:v>
                </c:pt>
                <c:pt idx="101">
                  <c:v>43.686832740213525</c:v>
                </c:pt>
                <c:pt idx="102">
                  <c:v>51.016949152542374</c:v>
                </c:pt>
                <c:pt idx="103">
                  <c:v>30.436031331592691</c:v>
                </c:pt>
                <c:pt idx="104">
                  <c:v>64.122905027932958</c:v>
                </c:pt>
                <c:pt idx="105">
                  <c:v>51.410958904109592</c:v>
                </c:pt>
                <c:pt idx="106">
                  <c:v>57.036082474226802</c:v>
                </c:pt>
                <c:pt idx="107">
                  <c:v>47.318777292576421</c:v>
                </c:pt>
                <c:pt idx="108">
                  <c:v>42.518072289156628</c:v>
                </c:pt>
                <c:pt idx="109">
                  <c:v>71.020408163265301</c:v>
                </c:pt>
                <c:pt idx="110">
                  <c:v>42.319502074688799</c:v>
                </c:pt>
                <c:pt idx="111">
                  <c:v>89.256637168141594</c:v>
                </c:pt>
                <c:pt idx="112">
                  <c:v>44.026785714285715</c:v>
                </c:pt>
                <c:pt idx="113">
                  <c:v>76.046875</c:v>
                </c:pt>
                <c:pt idx="114">
                  <c:v>24.348958333333332</c:v>
                </c:pt>
                <c:pt idx="115">
                  <c:v>82.482142857142861</c:v>
                </c:pt>
                <c:pt idx="116">
                  <c:v>31.188153310104529</c:v>
                </c:pt>
                <c:pt idx="117">
                  <c:v>64.816176470588232</c:v>
                </c:pt>
                <c:pt idx="118">
                  <c:v>42.638613861386141</c:v>
                </c:pt>
                <c:pt idx="119">
                  <c:v>49.664705882352941</c:v>
                </c:pt>
                <c:pt idx="120">
                  <c:v>48.664705882352941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26</xdr:col>
      <xdr:colOff>414617</xdr:colOff>
      <xdr:row>49</xdr:row>
      <xdr:rowOff>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361949</xdr:colOff>
      <xdr:row>0</xdr:row>
      <xdr:rowOff>152400</xdr:rowOff>
    </xdr:from>
    <xdr:to>
      <xdr:col>21</xdr:col>
      <xdr:colOff>238124</xdr:colOff>
      <xdr:row>16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390525</xdr:colOff>
      <xdr:row>17</xdr:row>
      <xdr:rowOff>57149</xdr:rowOff>
    </xdr:from>
    <xdr:to>
      <xdr:col>25</xdr:col>
      <xdr:colOff>219075</xdr:colOff>
      <xdr:row>45</xdr:row>
      <xdr:rowOff>9524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1211" totalsRowShown="0" headerRowDxfId="34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33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32"/>
    <tableColumn id="13" xr3:uid="{0CEBD44F-FBF6-49E8-81ED-F5726985BED3}" name="Free-of-Max" dataDxfId="31">
      <calculatedColumnFormula>UnilabUsage[[#This Row],[Max]]-UnilabUsage[[#This Row],[Used-MB]]</calculatedColumnFormula>
    </tableColumn>
    <tableColumn id="14" xr3:uid="{AAC6B1F7-003C-4163-82B8-C42E8D73EB5C}" name="#wk-FULL" dataDxfId="30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122" totalsRowShown="0" headerRowDxfId="29">
  <autoFilter ref="R1:AE122" xr:uid="{BC712C72-1583-4FDC-8263-1703798DDFB5}"/>
  <tableColumns count="14">
    <tableColumn id="1" xr3:uid="{2D23C763-2312-4F0B-AB02-B90CB707B51F}" name="Datum" dataDxfId="28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27"/>
    <tableColumn id="14" xr3:uid="{82E1EA8C-7445-4CF0-9134-D5D4C6F08706}" name="#wk-FULL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122" totalsRowShown="0" headerRowDxfId="25">
  <autoFilter ref="AI1:AV122" xr:uid="{C66531A2-B9AB-45BB-A6E7-D3F3AEBF7388}"/>
  <tableColumns count="14">
    <tableColumn id="1" xr3:uid="{F5336525-07D5-43DE-BB09-F0AA29E9FB08}" name="Datum" dataDxfId="24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23"/>
    <tableColumn id="14" xr3:uid="{5DEDE6D8-9694-4017-AEDC-73B4CEA96E73}" name="#wk-FULL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1211" totalsRowShown="0" headerRowDxfId="14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13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2"/>
    <tableColumn id="13" xr3:uid="{6A56EEF8-3010-44B4-AB78-B7ED01CA70E8}" name="Free-of-Max" dataDxfId="11">
      <calculatedColumnFormula>InterspecUsage[[#This Row],[Max]]-InterspecUsage[[#This Row],[Used-MB]]</calculatedColumnFormula>
    </tableColumn>
    <tableColumn id="14" xr3:uid="{FE54647E-0C29-488E-866F-92D20951A0DE}" name="#wk-FULL" dataDxfId="10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122" totalsRowShown="0" headerRowDxfId="9">
  <autoFilter ref="R1:AE122" xr:uid="{2793290B-50BA-4D77-81FE-EE4A66BEE83F}"/>
  <tableColumns count="14">
    <tableColumn id="1" xr3:uid="{A98A44E9-79AF-4FA0-ABF6-EAAFD0FC5FA8}" name="Datum" dataDxfId="8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7"/>
    <tableColumn id="13" xr3:uid="{4CC440D0-ED92-4A2D-92B1-8657A8DFBF51}" name="Free-of-Max" dataDxfId="6"/>
    <tableColumn id="14" xr3:uid="{F9B1EB25-C25B-4652-847C-CB03336CA28E}" name="#wk-FUL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122" totalsRowShown="0" headerRowDxfId="4">
  <autoFilter ref="AI1:AV122" xr:uid="{F1328298-E51B-4DC4-A21F-E68D89F0CD7E}"/>
  <tableColumns count="14">
    <tableColumn id="1" xr3:uid="{783AAE0D-603F-49E6-8D16-72D404962E4F}" name="Datum" dataDxfId="3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2"/>
    <tableColumn id="13" xr3:uid="{E3445D2C-C26B-4C93-BEDE-155C641121F5}" name="Free-of-Max" dataDxfId="1"/>
    <tableColumn id="14" xr3:uid="{18FBE98E-29AB-433E-BFDA-E0C6351CEA9C}" name="#wk-FUL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1211"/>
  <sheetViews>
    <sheetView topLeftCell="M1" zoomScale="85" zoomScaleNormal="85" workbookViewId="0">
      <pane ySplit="1" topLeftCell="A94" activePane="bottomLeft" state="frozen"/>
      <selection pane="bottomLeft" activeCell="AU125" sqref="AU125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10">
        <v>99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10">
        <v>99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10">
        <v>99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  <c r="R86" s="3">
        <v>45131</v>
      </c>
      <c r="S86" s="15" t="s">
        <v>3</v>
      </c>
      <c r="T86" s="16">
        <v>89</v>
      </c>
      <c r="U86" s="16">
        <v>491518</v>
      </c>
      <c r="V86" s="16">
        <v>52248</v>
      </c>
      <c r="W86" s="16">
        <v>439270</v>
      </c>
      <c r="X86" s="16">
        <v>11</v>
      </c>
      <c r="Y86" s="16">
        <v>491520</v>
      </c>
      <c r="Z86" s="16">
        <v>89</v>
      </c>
      <c r="AA86" s="15" t="s">
        <v>1</v>
      </c>
      <c r="AB86" s="15" t="s">
        <v>2</v>
      </c>
      <c r="AC86" s="8">
        <v>15575</v>
      </c>
      <c r="AD86">
        <v>52250</v>
      </c>
      <c r="AE86" s="5">
        <v>3.3547351524879616</v>
      </c>
      <c r="AI86" s="3">
        <v>45131</v>
      </c>
      <c r="AJ86" s="15" t="s">
        <v>8</v>
      </c>
      <c r="AK86" s="16">
        <v>88</v>
      </c>
      <c r="AL86" s="16">
        <v>327680</v>
      </c>
      <c r="AM86" s="16">
        <v>40526</v>
      </c>
      <c r="AN86" s="16">
        <v>287154</v>
      </c>
      <c r="AO86" s="16">
        <v>12</v>
      </c>
      <c r="AP86" s="16">
        <v>327680</v>
      </c>
      <c r="AQ86" s="16">
        <v>88</v>
      </c>
      <c r="AR86" s="15" t="s">
        <v>1</v>
      </c>
      <c r="AS86" s="15" t="s">
        <v>2</v>
      </c>
      <c r="AT86" s="8">
        <v>13039</v>
      </c>
      <c r="AU86">
        <v>40526</v>
      </c>
      <c r="AV86" s="5">
        <v>3.1080604340823683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  <c r="R87" s="3">
        <v>45138</v>
      </c>
      <c r="S87" s="15" t="s">
        <v>3</v>
      </c>
      <c r="T87" s="16">
        <v>89</v>
      </c>
      <c r="U87" s="16">
        <v>491518</v>
      </c>
      <c r="V87" s="16">
        <v>51773</v>
      </c>
      <c r="W87" s="16">
        <v>439744</v>
      </c>
      <c r="X87" s="16">
        <v>11</v>
      </c>
      <c r="Y87" s="16">
        <v>491520</v>
      </c>
      <c r="Z87" s="16">
        <v>89</v>
      </c>
      <c r="AA87" s="15" t="s">
        <v>1</v>
      </c>
      <c r="AB87" s="15" t="s">
        <v>2</v>
      </c>
      <c r="AC87" s="8">
        <v>474</v>
      </c>
      <c r="AD87">
        <v>51776</v>
      </c>
      <c r="AE87" s="5">
        <v>109.23206751054852</v>
      </c>
      <c r="AI87" s="3">
        <v>45138</v>
      </c>
      <c r="AJ87" s="15" t="s">
        <v>8</v>
      </c>
      <c r="AK87" s="16">
        <v>88</v>
      </c>
      <c r="AL87" s="16">
        <v>327680</v>
      </c>
      <c r="AM87" s="16">
        <v>40091</v>
      </c>
      <c r="AN87" s="16">
        <v>287589</v>
      </c>
      <c r="AO87" s="16">
        <v>12</v>
      </c>
      <c r="AP87" s="16">
        <v>327680</v>
      </c>
      <c r="AQ87" s="16">
        <v>88</v>
      </c>
      <c r="AR87" s="15" t="s">
        <v>1</v>
      </c>
      <c r="AS87" s="15" t="s">
        <v>2</v>
      </c>
      <c r="AT87" s="8">
        <v>435</v>
      </c>
      <c r="AU87">
        <v>40091</v>
      </c>
      <c r="AV87" s="5">
        <v>92.163218390804602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  <c r="R88" s="3">
        <v>45145</v>
      </c>
      <c r="S88" s="15" t="s">
        <v>3</v>
      </c>
      <c r="T88" s="16">
        <v>90</v>
      </c>
      <c r="U88" s="16">
        <v>491518</v>
      </c>
      <c r="V88" s="16">
        <v>51493</v>
      </c>
      <c r="W88" s="16">
        <v>440024</v>
      </c>
      <c r="X88" s="16">
        <v>10</v>
      </c>
      <c r="Y88" s="16">
        <v>491520</v>
      </c>
      <c r="Z88" s="16">
        <v>90</v>
      </c>
      <c r="AA88" s="15" t="s">
        <v>1</v>
      </c>
      <c r="AB88" s="15" t="s">
        <v>2</v>
      </c>
      <c r="AC88" s="8">
        <v>280</v>
      </c>
      <c r="AD88">
        <v>51496</v>
      </c>
      <c r="AE88" s="5">
        <v>183.91428571428571</v>
      </c>
      <c r="AI88" s="3">
        <v>45145</v>
      </c>
      <c r="AJ88" s="15" t="s">
        <v>8</v>
      </c>
      <c r="AK88" s="16">
        <v>88</v>
      </c>
      <c r="AL88" s="16">
        <v>327680</v>
      </c>
      <c r="AM88" s="16">
        <v>39915</v>
      </c>
      <c r="AN88" s="16">
        <v>287765</v>
      </c>
      <c r="AO88" s="16">
        <v>12</v>
      </c>
      <c r="AP88" s="16">
        <v>327680</v>
      </c>
      <c r="AQ88" s="16">
        <v>88</v>
      </c>
      <c r="AR88" s="15" t="s">
        <v>1</v>
      </c>
      <c r="AS88" s="15" t="s">
        <v>2</v>
      </c>
      <c r="AT88" s="8">
        <v>176</v>
      </c>
      <c r="AU88">
        <v>39915</v>
      </c>
      <c r="AV88" s="5">
        <v>226.78977272727272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  <c r="R89" s="3">
        <v>45152</v>
      </c>
      <c r="S89" s="15" t="s">
        <v>3</v>
      </c>
      <c r="T89" s="16">
        <v>90</v>
      </c>
      <c r="U89" s="16">
        <v>491518</v>
      </c>
      <c r="V89" s="16">
        <v>51045</v>
      </c>
      <c r="W89" s="16">
        <v>440472</v>
      </c>
      <c r="X89" s="16">
        <v>10</v>
      </c>
      <c r="Y89" s="16">
        <v>491520</v>
      </c>
      <c r="Z89" s="16">
        <v>90</v>
      </c>
      <c r="AA89" s="15" t="s">
        <v>1</v>
      </c>
      <c r="AB89" s="15" t="s">
        <v>2</v>
      </c>
      <c r="AC89" s="8">
        <v>448</v>
      </c>
      <c r="AD89">
        <v>51048</v>
      </c>
      <c r="AE89" s="5">
        <v>113.94642857142857</v>
      </c>
      <c r="AI89" s="3">
        <v>45152</v>
      </c>
      <c r="AJ89" s="15" t="s">
        <v>8</v>
      </c>
      <c r="AK89" s="16">
        <v>88</v>
      </c>
      <c r="AL89" s="16">
        <v>327680</v>
      </c>
      <c r="AM89" s="16">
        <v>39667</v>
      </c>
      <c r="AN89" s="16">
        <v>288013</v>
      </c>
      <c r="AO89" s="16">
        <v>12</v>
      </c>
      <c r="AP89" s="16">
        <v>327680</v>
      </c>
      <c r="AQ89" s="16">
        <v>88</v>
      </c>
      <c r="AR89" s="15" t="s">
        <v>1</v>
      </c>
      <c r="AS89" s="15" t="s">
        <v>2</v>
      </c>
      <c r="AT89" s="8">
        <v>248</v>
      </c>
      <c r="AU89">
        <v>39667</v>
      </c>
      <c r="AV89" s="5">
        <v>159.94758064516128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  <c r="R90" s="3">
        <v>45159</v>
      </c>
      <c r="S90" s="15" t="s">
        <v>3</v>
      </c>
      <c r="T90" s="16">
        <v>90</v>
      </c>
      <c r="U90" s="16">
        <v>491518</v>
      </c>
      <c r="V90" s="16">
        <v>50813</v>
      </c>
      <c r="W90" s="16">
        <v>440704</v>
      </c>
      <c r="X90" s="16">
        <v>10</v>
      </c>
      <c r="Y90" s="16">
        <v>491520</v>
      </c>
      <c r="Z90" s="16">
        <v>90</v>
      </c>
      <c r="AA90" s="15" t="s">
        <v>1</v>
      </c>
      <c r="AB90" s="15" t="s">
        <v>2</v>
      </c>
      <c r="AC90" s="8">
        <v>232</v>
      </c>
      <c r="AD90">
        <v>50816</v>
      </c>
      <c r="AE90" s="5">
        <v>219.0344827586207</v>
      </c>
      <c r="AI90" s="3">
        <v>45159</v>
      </c>
      <c r="AJ90" s="15" t="s">
        <v>8</v>
      </c>
      <c r="AK90" s="16">
        <v>88</v>
      </c>
      <c r="AL90" s="16">
        <v>327680</v>
      </c>
      <c r="AM90" s="16">
        <v>39446</v>
      </c>
      <c r="AN90" s="16">
        <v>288234</v>
      </c>
      <c r="AO90" s="16">
        <v>12</v>
      </c>
      <c r="AP90" s="16">
        <v>327680</v>
      </c>
      <c r="AQ90" s="16">
        <v>88</v>
      </c>
      <c r="AR90" s="15" t="s">
        <v>1</v>
      </c>
      <c r="AS90" s="15" t="s">
        <v>2</v>
      </c>
      <c r="AT90" s="8">
        <v>221</v>
      </c>
      <c r="AU90">
        <v>39446</v>
      </c>
      <c r="AV90" s="5">
        <v>178.48868778280544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  <c r="R91" s="3">
        <v>45166</v>
      </c>
      <c r="S91" s="15" t="s">
        <v>3</v>
      </c>
      <c r="T91" s="16">
        <v>90</v>
      </c>
      <c r="U91" s="16">
        <v>491518</v>
      </c>
      <c r="V91" s="16">
        <v>50484</v>
      </c>
      <c r="W91" s="16">
        <v>441033</v>
      </c>
      <c r="X91" s="16">
        <v>10</v>
      </c>
      <c r="Y91" s="16">
        <v>491520</v>
      </c>
      <c r="Z91" s="16">
        <v>90</v>
      </c>
      <c r="AA91" s="15" t="s">
        <v>1</v>
      </c>
      <c r="AB91" s="15" t="s">
        <v>2</v>
      </c>
      <c r="AC91" s="8">
        <v>329</v>
      </c>
      <c r="AD91">
        <v>50487</v>
      </c>
      <c r="AE91" s="5">
        <v>153.45592705167172</v>
      </c>
      <c r="AI91" s="3">
        <v>45166</v>
      </c>
      <c r="AJ91" s="15" t="s">
        <v>8</v>
      </c>
      <c r="AK91" s="16">
        <v>88</v>
      </c>
      <c r="AL91" s="16">
        <v>327680</v>
      </c>
      <c r="AM91" s="16">
        <v>39057</v>
      </c>
      <c r="AN91" s="16">
        <v>288623</v>
      </c>
      <c r="AO91" s="16">
        <v>12</v>
      </c>
      <c r="AP91" s="16">
        <v>327680</v>
      </c>
      <c r="AQ91" s="16">
        <v>88</v>
      </c>
      <c r="AR91" s="15" t="s">
        <v>1</v>
      </c>
      <c r="AS91" s="15" t="s">
        <v>2</v>
      </c>
      <c r="AT91" s="8">
        <v>389</v>
      </c>
      <c r="AU91">
        <v>39057</v>
      </c>
      <c r="AV91" s="5">
        <v>100.40359897172236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  <c r="R92" s="3">
        <v>45173</v>
      </c>
      <c r="S92" s="15" t="s">
        <v>3</v>
      </c>
      <c r="T92" s="16">
        <v>90</v>
      </c>
      <c r="U92" s="16">
        <v>491518</v>
      </c>
      <c r="V92" s="16">
        <v>50266</v>
      </c>
      <c r="W92" s="16">
        <v>441252</v>
      </c>
      <c r="X92" s="16">
        <v>10</v>
      </c>
      <c r="Y92" s="16">
        <v>491520</v>
      </c>
      <c r="Z92" s="16">
        <v>90</v>
      </c>
      <c r="AA92" s="15" t="s">
        <v>1</v>
      </c>
      <c r="AB92" s="15" t="s">
        <v>2</v>
      </c>
      <c r="AC92" s="8">
        <v>219</v>
      </c>
      <c r="AD92">
        <v>50268</v>
      </c>
      <c r="AE92" s="5">
        <v>229.53424657534248</v>
      </c>
      <c r="AI92" s="3">
        <v>45173</v>
      </c>
      <c r="AJ92" s="15" t="s">
        <v>8</v>
      </c>
      <c r="AK92" s="16">
        <v>88</v>
      </c>
      <c r="AL92" s="16">
        <v>327680</v>
      </c>
      <c r="AM92" s="16">
        <v>38872</v>
      </c>
      <c r="AN92" s="16">
        <v>288808</v>
      </c>
      <c r="AO92" s="16">
        <v>12</v>
      </c>
      <c r="AP92" s="16">
        <v>327680</v>
      </c>
      <c r="AQ92" s="16">
        <v>88</v>
      </c>
      <c r="AR92" s="15" t="s">
        <v>1</v>
      </c>
      <c r="AS92" s="15" t="s">
        <v>2</v>
      </c>
      <c r="AT92" s="8">
        <v>185</v>
      </c>
      <c r="AU92">
        <v>38872</v>
      </c>
      <c r="AV92" s="5">
        <v>210.11891891891892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  <c r="R93" s="3">
        <v>45187</v>
      </c>
      <c r="S93" s="15" t="s">
        <v>3</v>
      </c>
      <c r="T93" s="16">
        <v>90</v>
      </c>
      <c r="U93" s="16">
        <v>491518</v>
      </c>
      <c r="V93" s="16">
        <v>49215</v>
      </c>
      <c r="W93" s="16">
        <v>442303</v>
      </c>
      <c r="X93" s="16">
        <v>10</v>
      </c>
      <c r="Y93" s="16">
        <v>491520</v>
      </c>
      <c r="Z93" s="16">
        <v>90</v>
      </c>
      <c r="AA93" s="15" t="s">
        <v>1</v>
      </c>
      <c r="AB93" s="15" t="s">
        <v>2</v>
      </c>
      <c r="AC93" s="8">
        <v>1051</v>
      </c>
      <c r="AD93">
        <v>49217</v>
      </c>
      <c r="AE93" s="5">
        <v>46.828734538534732</v>
      </c>
      <c r="AI93" s="3">
        <v>45187</v>
      </c>
      <c r="AJ93" s="15" t="s">
        <v>8</v>
      </c>
      <c r="AK93" s="16">
        <v>88</v>
      </c>
      <c r="AL93" s="16">
        <v>327680</v>
      </c>
      <c r="AM93" s="16">
        <v>38089</v>
      </c>
      <c r="AN93" s="16">
        <v>289591</v>
      </c>
      <c r="AO93" s="16">
        <v>12</v>
      </c>
      <c r="AP93" s="16">
        <v>327680</v>
      </c>
      <c r="AQ93" s="16">
        <v>88</v>
      </c>
      <c r="AR93" s="15" t="s">
        <v>1</v>
      </c>
      <c r="AS93" s="15" t="s">
        <v>2</v>
      </c>
      <c r="AT93" s="8">
        <v>783</v>
      </c>
      <c r="AU93">
        <v>38089</v>
      </c>
      <c r="AV93" s="5">
        <v>48.644955300127712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  <c r="R94" s="3">
        <v>45194</v>
      </c>
      <c r="S94" s="15" t="s">
        <v>3</v>
      </c>
      <c r="T94" s="16">
        <v>90</v>
      </c>
      <c r="U94" s="16">
        <v>491518</v>
      </c>
      <c r="V94" s="16">
        <v>48644</v>
      </c>
      <c r="W94" s="16">
        <v>442874</v>
      </c>
      <c r="X94" s="16">
        <v>10</v>
      </c>
      <c r="Y94" s="16">
        <v>491520</v>
      </c>
      <c r="Z94" s="16">
        <v>90</v>
      </c>
      <c r="AA94" s="15" t="s">
        <v>1</v>
      </c>
      <c r="AB94" s="15" t="s">
        <v>2</v>
      </c>
      <c r="AC94" s="8">
        <v>571</v>
      </c>
      <c r="AD94">
        <v>48646</v>
      </c>
      <c r="AE94" s="5">
        <v>85.19439579684763</v>
      </c>
      <c r="AI94" s="3">
        <v>45194</v>
      </c>
      <c r="AJ94" s="15" t="s">
        <v>8</v>
      </c>
      <c r="AK94" s="16">
        <v>89</v>
      </c>
      <c r="AL94" s="16">
        <v>327680</v>
      </c>
      <c r="AM94" s="16">
        <v>37320</v>
      </c>
      <c r="AN94" s="16">
        <v>290360</v>
      </c>
      <c r="AO94" s="16">
        <v>11</v>
      </c>
      <c r="AP94" s="16">
        <v>327680</v>
      </c>
      <c r="AQ94" s="16">
        <v>89</v>
      </c>
      <c r="AR94" s="15" t="s">
        <v>1</v>
      </c>
      <c r="AS94" s="15" t="s">
        <v>2</v>
      </c>
      <c r="AT94" s="8">
        <v>769</v>
      </c>
      <c r="AU94">
        <v>37320</v>
      </c>
      <c r="AV94" s="5">
        <v>48.530559167750326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  <c r="R95" s="3">
        <v>45201</v>
      </c>
      <c r="S95" s="15" t="s">
        <v>3</v>
      </c>
      <c r="T95" s="16">
        <v>90</v>
      </c>
      <c r="U95" s="16">
        <v>491518</v>
      </c>
      <c r="V95" s="16">
        <v>48123</v>
      </c>
      <c r="W95" s="16">
        <v>443395</v>
      </c>
      <c r="X95" s="16">
        <v>10</v>
      </c>
      <c r="Y95" s="16">
        <v>491520</v>
      </c>
      <c r="Z95" s="16">
        <v>90</v>
      </c>
      <c r="AA95" s="15" t="s">
        <v>1</v>
      </c>
      <c r="AB95" s="15" t="s">
        <v>2</v>
      </c>
      <c r="AC95" s="8">
        <v>521</v>
      </c>
      <c r="AD95">
        <v>48125</v>
      </c>
      <c r="AE95" s="5">
        <v>92.370441458733211</v>
      </c>
      <c r="AI95" s="3">
        <v>45201</v>
      </c>
      <c r="AJ95" s="15" t="s">
        <v>8</v>
      </c>
      <c r="AK95" s="16">
        <v>89</v>
      </c>
      <c r="AL95" s="16">
        <v>327680</v>
      </c>
      <c r="AM95" s="16">
        <v>36933</v>
      </c>
      <c r="AN95" s="16">
        <v>290747</v>
      </c>
      <c r="AO95" s="16">
        <v>11</v>
      </c>
      <c r="AP95" s="16">
        <v>327680</v>
      </c>
      <c r="AQ95" s="16">
        <v>89</v>
      </c>
      <c r="AR95" s="15" t="s">
        <v>1</v>
      </c>
      <c r="AS95" s="15" t="s">
        <v>2</v>
      </c>
      <c r="AT95" s="8">
        <v>387</v>
      </c>
      <c r="AU95">
        <v>36933</v>
      </c>
      <c r="AV95" s="5">
        <v>95.434108527131784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  <c r="R96" s="3">
        <v>45208</v>
      </c>
      <c r="S96" s="15" t="s">
        <v>3</v>
      </c>
      <c r="T96" s="16">
        <v>90</v>
      </c>
      <c r="U96" s="16">
        <v>491518</v>
      </c>
      <c r="V96" s="16">
        <v>47656</v>
      </c>
      <c r="W96" s="16">
        <v>443862</v>
      </c>
      <c r="X96" s="16">
        <v>10</v>
      </c>
      <c r="Y96" s="16">
        <v>491520</v>
      </c>
      <c r="Z96" s="16">
        <v>90</v>
      </c>
      <c r="AA96" s="15" t="s">
        <v>1</v>
      </c>
      <c r="AB96" s="15" t="s">
        <v>2</v>
      </c>
      <c r="AC96" s="8">
        <v>467</v>
      </c>
      <c r="AD96">
        <v>47658</v>
      </c>
      <c r="AE96" s="5">
        <v>102.05139186295503</v>
      </c>
      <c r="AI96" s="3">
        <v>45208</v>
      </c>
      <c r="AJ96" s="15" t="s">
        <v>8</v>
      </c>
      <c r="AK96" s="16">
        <v>89</v>
      </c>
      <c r="AL96" s="16">
        <v>327680</v>
      </c>
      <c r="AM96" s="16">
        <v>36500</v>
      </c>
      <c r="AN96" s="16">
        <v>291180</v>
      </c>
      <c r="AO96" s="16">
        <v>11</v>
      </c>
      <c r="AP96" s="16">
        <v>327680</v>
      </c>
      <c r="AQ96" s="16">
        <v>89</v>
      </c>
      <c r="AR96" s="15" t="s">
        <v>1</v>
      </c>
      <c r="AS96" s="15" t="s">
        <v>2</v>
      </c>
      <c r="AT96" s="8">
        <v>433</v>
      </c>
      <c r="AU96">
        <v>36500</v>
      </c>
      <c r="AV96" s="5">
        <v>84.295612009237871</v>
      </c>
    </row>
    <row r="97" spans="1:48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  <c r="R97" s="3">
        <v>45215</v>
      </c>
      <c r="S97" s="15" t="s">
        <v>3</v>
      </c>
      <c r="T97" s="16">
        <v>90</v>
      </c>
      <c r="U97" s="16">
        <v>491518</v>
      </c>
      <c r="V97" s="16">
        <v>46736</v>
      </c>
      <c r="W97" s="16">
        <v>444782</v>
      </c>
      <c r="X97" s="16">
        <v>10</v>
      </c>
      <c r="Y97" s="16">
        <v>491520</v>
      </c>
      <c r="Z97" s="16">
        <v>90</v>
      </c>
      <c r="AA97" s="15" t="s">
        <v>1</v>
      </c>
      <c r="AB97" s="15" t="s">
        <v>2</v>
      </c>
      <c r="AC97" s="8">
        <v>920</v>
      </c>
      <c r="AD97">
        <v>46738</v>
      </c>
      <c r="AE97" s="5">
        <v>50.802173913043475</v>
      </c>
      <c r="AI97" s="3">
        <v>45215</v>
      </c>
      <c r="AJ97" s="15" t="s">
        <v>8</v>
      </c>
      <c r="AK97" s="16">
        <v>89</v>
      </c>
      <c r="AL97" s="16">
        <v>327680</v>
      </c>
      <c r="AM97" s="16">
        <v>36032</v>
      </c>
      <c r="AN97" s="16">
        <v>291648</v>
      </c>
      <c r="AO97" s="16">
        <v>11</v>
      </c>
      <c r="AP97" s="16">
        <v>327680</v>
      </c>
      <c r="AQ97" s="16">
        <v>89</v>
      </c>
      <c r="AR97" s="15" t="s">
        <v>1</v>
      </c>
      <c r="AS97" s="15" t="s">
        <v>2</v>
      </c>
      <c r="AT97" s="8">
        <v>468</v>
      </c>
      <c r="AU97">
        <v>36032</v>
      </c>
      <c r="AV97" s="5">
        <v>76.991452991452988</v>
      </c>
    </row>
    <row r="98" spans="1:48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  <c r="R98" s="3">
        <v>45222</v>
      </c>
      <c r="S98" s="15" t="s">
        <v>3</v>
      </c>
      <c r="T98" s="16">
        <v>91</v>
      </c>
      <c r="U98" s="16">
        <v>491518</v>
      </c>
      <c r="V98" s="16">
        <v>46206</v>
      </c>
      <c r="W98" s="16">
        <v>445312</v>
      </c>
      <c r="X98" s="16">
        <v>9</v>
      </c>
      <c r="Y98" s="16">
        <v>491520</v>
      </c>
      <c r="Z98" s="16">
        <v>91</v>
      </c>
      <c r="AA98" s="15" t="s">
        <v>1</v>
      </c>
      <c r="AB98" s="15" t="s">
        <v>2</v>
      </c>
      <c r="AC98" s="8">
        <v>530</v>
      </c>
      <c r="AD98">
        <v>46208</v>
      </c>
      <c r="AE98" s="5">
        <v>87.184905660377353</v>
      </c>
      <c r="AI98" s="3">
        <v>45222</v>
      </c>
      <c r="AJ98" s="15" t="s">
        <v>8</v>
      </c>
      <c r="AK98" s="16">
        <v>89</v>
      </c>
      <c r="AL98" s="16">
        <v>327680</v>
      </c>
      <c r="AM98" s="16">
        <v>35453</v>
      </c>
      <c r="AN98" s="16">
        <v>292227</v>
      </c>
      <c r="AO98" s="16">
        <v>11</v>
      </c>
      <c r="AP98" s="16">
        <v>327680</v>
      </c>
      <c r="AQ98" s="16">
        <v>89</v>
      </c>
      <c r="AR98" s="15" t="s">
        <v>1</v>
      </c>
      <c r="AS98" s="15" t="s">
        <v>2</v>
      </c>
      <c r="AT98" s="8">
        <v>579</v>
      </c>
      <c r="AU98">
        <v>35453</v>
      </c>
      <c r="AV98" s="5">
        <v>61.231433506044908</v>
      </c>
    </row>
    <row r="99" spans="1:48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  <c r="R99" s="3">
        <v>45229</v>
      </c>
      <c r="S99" s="15" t="s">
        <v>3</v>
      </c>
      <c r="T99" s="16">
        <v>91</v>
      </c>
      <c r="U99" s="16">
        <v>491518</v>
      </c>
      <c r="V99" s="16">
        <v>45637</v>
      </c>
      <c r="W99" s="16">
        <v>445881</v>
      </c>
      <c r="X99" s="16">
        <v>9</v>
      </c>
      <c r="Y99" s="16">
        <v>491520</v>
      </c>
      <c r="Z99" s="16">
        <v>91</v>
      </c>
      <c r="AA99" s="15" t="s">
        <v>1</v>
      </c>
      <c r="AB99" s="15" t="s">
        <v>2</v>
      </c>
      <c r="AC99" s="8">
        <v>569</v>
      </c>
      <c r="AD99">
        <v>45639</v>
      </c>
      <c r="AE99" s="5">
        <v>80.209138840070295</v>
      </c>
      <c r="AI99" s="3">
        <v>45229</v>
      </c>
      <c r="AJ99" s="15" t="s">
        <v>8</v>
      </c>
      <c r="AK99" s="16">
        <v>89</v>
      </c>
      <c r="AL99" s="16">
        <v>327680</v>
      </c>
      <c r="AM99" s="16">
        <v>35113</v>
      </c>
      <c r="AN99" s="16">
        <v>292566</v>
      </c>
      <c r="AO99" s="16">
        <v>11</v>
      </c>
      <c r="AP99" s="16">
        <v>327680</v>
      </c>
      <c r="AQ99" s="16">
        <v>89</v>
      </c>
      <c r="AR99" s="15" t="s">
        <v>1</v>
      </c>
      <c r="AS99" s="15" t="s">
        <v>2</v>
      </c>
      <c r="AT99" s="8">
        <v>339</v>
      </c>
      <c r="AU99">
        <v>35114</v>
      </c>
      <c r="AV99" s="5">
        <v>103.5811209439528</v>
      </c>
    </row>
    <row r="100" spans="1:48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  <c r="R100" s="3">
        <v>45236</v>
      </c>
      <c r="S100" s="15" t="s">
        <v>3</v>
      </c>
      <c r="T100" s="16">
        <v>91</v>
      </c>
      <c r="U100" s="16">
        <v>491518</v>
      </c>
      <c r="V100" s="16">
        <v>44835</v>
      </c>
      <c r="W100" s="16">
        <v>446682</v>
      </c>
      <c r="X100" s="16">
        <v>9</v>
      </c>
      <c r="Y100" s="16">
        <v>491520</v>
      </c>
      <c r="Z100" s="16">
        <v>91</v>
      </c>
      <c r="AA100" s="15" t="s">
        <v>1</v>
      </c>
      <c r="AB100" s="15" t="s">
        <v>2</v>
      </c>
      <c r="AC100" s="8">
        <v>801</v>
      </c>
      <c r="AD100">
        <v>44838</v>
      </c>
      <c r="AE100" s="5">
        <v>55.977528089887642</v>
      </c>
      <c r="AI100" s="3">
        <v>45236</v>
      </c>
      <c r="AJ100" s="15" t="s">
        <v>8</v>
      </c>
      <c r="AK100" s="16">
        <v>89</v>
      </c>
      <c r="AL100" s="16">
        <v>327680</v>
      </c>
      <c r="AM100" s="16">
        <v>34488</v>
      </c>
      <c r="AN100" s="16">
        <v>293192</v>
      </c>
      <c r="AO100" s="16">
        <v>11</v>
      </c>
      <c r="AP100" s="16">
        <v>327680</v>
      </c>
      <c r="AQ100" s="16">
        <v>89</v>
      </c>
      <c r="AR100" s="15" t="s">
        <v>1</v>
      </c>
      <c r="AS100" s="15" t="s">
        <v>2</v>
      </c>
      <c r="AT100" s="8">
        <v>626</v>
      </c>
      <c r="AU100">
        <v>34488</v>
      </c>
      <c r="AV100" s="5">
        <v>55.092651757188499</v>
      </c>
    </row>
    <row r="101" spans="1:48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  <c r="R101" s="3">
        <v>45243</v>
      </c>
      <c r="S101" s="15" t="s">
        <v>3</v>
      </c>
      <c r="T101" s="16">
        <v>91</v>
      </c>
      <c r="U101" s="16">
        <v>491518</v>
      </c>
      <c r="V101" s="16">
        <v>44297</v>
      </c>
      <c r="W101" s="16">
        <v>447220</v>
      </c>
      <c r="X101" s="16">
        <v>9</v>
      </c>
      <c r="Y101" s="16">
        <v>491520</v>
      </c>
      <c r="Z101" s="16">
        <v>91</v>
      </c>
      <c r="AA101" s="15" t="s">
        <v>1</v>
      </c>
      <c r="AB101" s="15" t="s">
        <v>2</v>
      </c>
      <c r="AC101" s="8">
        <v>538</v>
      </c>
      <c r="AD101">
        <v>44300</v>
      </c>
      <c r="AE101" s="5">
        <v>82.342007434944236</v>
      </c>
      <c r="AI101" s="3">
        <v>45243</v>
      </c>
      <c r="AJ101" s="15" t="s">
        <v>8</v>
      </c>
      <c r="AK101" s="16">
        <v>90</v>
      </c>
      <c r="AL101" s="16">
        <v>327680</v>
      </c>
      <c r="AM101" s="16">
        <v>34189</v>
      </c>
      <c r="AN101" s="16">
        <v>293491</v>
      </c>
      <c r="AO101" s="16">
        <v>10</v>
      </c>
      <c r="AP101" s="16">
        <v>327680</v>
      </c>
      <c r="AQ101" s="16">
        <v>90</v>
      </c>
      <c r="AR101" s="15" t="s">
        <v>1</v>
      </c>
      <c r="AS101" s="15" t="s">
        <v>2</v>
      </c>
      <c r="AT101" s="8">
        <v>299</v>
      </c>
      <c r="AU101">
        <v>34189</v>
      </c>
      <c r="AV101" s="5">
        <v>114.34448160535118</v>
      </c>
    </row>
    <row r="102" spans="1:48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  <c r="R102" s="3">
        <v>45250</v>
      </c>
      <c r="S102" s="15" t="s">
        <v>3</v>
      </c>
      <c r="T102" s="16">
        <v>91</v>
      </c>
      <c r="U102" s="16">
        <v>491518</v>
      </c>
      <c r="V102" s="16">
        <v>43752</v>
      </c>
      <c r="W102" s="16">
        <v>447765</v>
      </c>
      <c r="X102" s="16">
        <v>9</v>
      </c>
      <c r="Y102" s="16">
        <v>491520</v>
      </c>
      <c r="Z102" s="16">
        <v>91</v>
      </c>
      <c r="AA102" s="15" t="s">
        <v>1</v>
      </c>
      <c r="AB102" s="15" t="s">
        <v>2</v>
      </c>
      <c r="AC102" s="8">
        <v>545</v>
      </c>
      <c r="AD102">
        <v>43755</v>
      </c>
      <c r="AE102" s="5">
        <v>80.284403669724767</v>
      </c>
      <c r="AI102" s="3">
        <v>45250</v>
      </c>
      <c r="AJ102" s="15" t="s">
        <v>8</v>
      </c>
      <c r="AK102" s="16">
        <v>90</v>
      </c>
      <c r="AL102" s="16">
        <v>327680</v>
      </c>
      <c r="AM102" s="16">
        <v>33797</v>
      </c>
      <c r="AN102" s="16">
        <v>293883</v>
      </c>
      <c r="AO102" s="16">
        <v>10</v>
      </c>
      <c r="AP102" s="16">
        <v>327680</v>
      </c>
      <c r="AQ102" s="16">
        <v>90</v>
      </c>
      <c r="AR102" s="15" t="s">
        <v>1</v>
      </c>
      <c r="AS102" s="15" t="s">
        <v>2</v>
      </c>
      <c r="AT102" s="8">
        <v>392</v>
      </c>
      <c r="AU102">
        <v>33797</v>
      </c>
      <c r="AV102" s="5">
        <v>86.216836734693871</v>
      </c>
    </row>
    <row r="103" spans="1:48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  <c r="R103" s="3">
        <v>45257</v>
      </c>
      <c r="S103" s="15" t="s">
        <v>3</v>
      </c>
      <c r="T103" s="16">
        <v>91</v>
      </c>
      <c r="U103" s="16">
        <v>491518</v>
      </c>
      <c r="V103" s="16">
        <v>43143</v>
      </c>
      <c r="W103" s="16">
        <v>448375</v>
      </c>
      <c r="X103" s="16">
        <v>9</v>
      </c>
      <c r="Y103" s="16">
        <v>491520</v>
      </c>
      <c r="Z103" s="16">
        <v>91</v>
      </c>
      <c r="AA103" s="15" t="s">
        <v>1</v>
      </c>
      <c r="AB103" s="15" t="s">
        <v>2</v>
      </c>
      <c r="AC103" s="8">
        <v>610</v>
      </c>
      <c r="AD103">
        <v>43145</v>
      </c>
      <c r="AE103" s="5">
        <v>70.729508196721312</v>
      </c>
      <c r="AI103" s="3">
        <v>45257</v>
      </c>
      <c r="AJ103" s="15" t="s">
        <v>8</v>
      </c>
      <c r="AK103" s="16">
        <v>90</v>
      </c>
      <c r="AL103" s="16">
        <v>327680</v>
      </c>
      <c r="AM103" s="16">
        <v>33447</v>
      </c>
      <c r="AN103" s="16">
        <v>294233</v>
      </c>
      <c r="AO103" s="16">
        <v>10</v>
      </c>
      <c r="AP103" s="16">
        <v>327680</v>
      </c>
      <c r="AQ103" s="16">
        <v>90</v>
      </c>
      <c r="AR103" s="15" t="s">
        <v>1</v>
      </c>
      <c r="AS103" s="15" t="s">
        <v>2</v>
      </c>
      <c r="AT103" s="8">
        <v>350</v>
      </c>
      <c r="AU103">
        <v>33447</v>
      </c>
      <c r="AV103" s="5">
        <v>95.562857142857141</v>
      </c>
    </row>
    <row r="104" spans="1:48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  <c r="R104" s="3">
        <v>45264</v>
      </c>
      <c r="S104" s="15" t="s">
        <v>3</v>
      </c>
      <c r="T104" s="16">
        <v>91</v>
      </c>
      <c r="U104" s="16">
        <v>491518</v>
      </c>
      <c r="V104" s="16">
        <v>42534</v>
      </c>
      <c r="W104" s="16">
        <v>448984</v>
      </c>
      <c r="X104" s="16">
        <v>9</v>
      </c>
      <c r="Y104" s="16">
        <v>491520</v>
      </c>
      <c r="Z104" s="16">
        <v>91</v>
      </c>
      <c r="AA104" s="15" t="s">
        <v>1</v>
      </c>
      <c r="AB104" s="15" t="s">
        <v>2</v>
      </c>
      <c r="AC104" s="8">
        <v>609</v>
      </c>
      <c r="AD104">
        <v>42536</v>
      </c>
      <c r="AE104" s="5">
        <v>69.8456486042693</v>
      </c>
      <c r="AI104" s="3">
        <v>45264</v>
      </c>
      <c r="AJ104" s="15" t="s">
        <v>8</v>
      </c>
      <c r="AK104" s="16">
        <v>90</v>
      </c>
      <c r="AL104" s="16">
        <v>327680</v>
      </c>
      <c r="AM104" s="16">
        <v>32907</v>
      </c>
      <c r="AN104" s="16">
        <v>294773</v>
      </c>
      <c r="AO104" s="16">
        <v>10</v>
      </c>
      <c r="AP104" s="16">
        <v>327680</v>
      </c>
      <c r="AQ104" s="16">
        <v>90</v>
      </c>
      <c r="AR104" s="15" t="s">
        <v>1</v>
      </c>
      <c r="AS104" s="15" t="s">
        <v>2</v>
      </c>
      <c r="AT104" s="8">
        <v>540</v>
      </c>
      <c r="AU104">
        <v>32907</v>
      </c>
      <c r="AV104" s="5">
        <v>60.93888888888889</v>
      </c>
    </row>
    <row r="105" spans="1:48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  <c r="R105" s="3">
        <v>45271</v>
      </c>
      <c r="S105" s="15" t="s">
        <v>3</v>
      </c>
      <c r="T105" s="16">
        <v>91</v>
      </c>
      <c r="U105" s="16">
        <v>491518</v>
      </c>
      <c r="V105" s="16">
        <v>41969</v>
      </c>
      <c r="W105" s="16">
        <v>449549</v>
      </c>
      <c r="X105" s="16">
        <v>9</v>
      </c>
      <c r="Y105" s="16">
        <v>491520</v>
      </c>
      <c r="Z105" s="16">
        <v>91</v>
      </c>
      <c r="AA105" s="15" t="s">
        <v>1</v>
      </c>
      <c r="AB105" s="15" t="s">
        <v>2</v>
      </c>
      <c r="AC105" s="8">
        <v>565</v>
      </c>
      <c r="AD105">
        <v>41971</v>
      </c>
      <c r="AE105" s="5">
        <v>74.284955752212383</v>
      </c>
      <c r="AI105" s="3">
        <v>45271</v>
      </c>
      <c r="AJ105" s="15" t="s">
        <v>8</v>
      </c>
      <c r="AK105" s="16">
        <v>90</v>
      </c>
      <c r="AL105" s="16">
        <v>327680</v>
      </c>
      <c r="AM105" s="16">
        <v>32184</v>
      </c>
      <c r="AN105" s="16">
        <v>295495</v>
      </c>
      <c r="AO105" s="16">
        <v>10</v>
      </c>
      <c r="AP105" s="16">
        <v>327680</v>
      </c>
      <c r="AQ105" s="16">
        <v>90</v>
      </c>
      <c r="AR105" s="15" t="s">
        <v>1</v>
      </c>
      <c r="AS105" s="15" t="s">
        <v>2</v>
      </c>
      <c r="AT105" s="8">
        <v>722</v>
      </c>
      <c r="AU105">
        <v>32185</v>
      </c>
      <c r="AV105" s="5">
        <v>44.577562326869803</v>
      </c>
    </row>
    <row r="106" spans="1:48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  <c r="R106" s="3">
        <v>45278</v>
      </c>
      <c r="S106" s="15" t="s">
        <v>3</v>
      </c>
      <c r="T106" s="16">
        <v>92</v>
      </c>
      <c r="U106" s="16">
        <v>491518</v>
      </c>
      <c r="V106" s="16">
        <v>41311</v>
      </c>
      <c r="W106" s="16">
        <v>450207</v>
      </c>
      <c r="X106" s="16">
        <v>8</v>
      </c>
      <c r="Y106" s="16">
        <v>491520</v>
      </c>
      <c r="Z106" s="16">
        <v>92</v>
      </c>
      <c r="AA106" s="15" t="s">
        <v>1</v>
      </c>
      <c r="AB106" s="15" t="s">
        <v>2</v>
      </c>
      <c r="AC106" s="8">
        <v>658</v>
      </c>
      <c r="AD106">
        <v>41313</v>
      </c>
      <c r="AE106" s="5">
        <v>62.785714285714285</v>
      </c>
      <c r="AI106" s="3">
        <v>45278</v>
      </c>
      <c r="AJ106" s="15" t="s">
        <v>8</v>
      </c>
      <c r="AK106" s="16">
        <v>90</v>
      </c>
      <c r="AL106" s="16">
        <v>327680</v>
      </c>
      <c r="AM106" s="16">
        <v>31751</v>
      </c>
      <c r="AN106" s="16">
        <v>295928</v>
      </c>
      <c r="AO106" s="16">
        <v>10</v>
      </c>
      <c r="AP106" s="16">
        <v>327680</v>
      </c>
      <c r="AQ106" s="16">
        <v>90</v>
      </c>
      <c r="AR106" s="15" t="s">
        <v>1</v>
      </c>
      <c r="AS106" s="15" t="s">
        <v>2</v>
      </c>
      <c r="AT106" s="8">
        <v>433</v>
      </c>
      <c r="AU106">
        <v>31752</v>
      </c>
      <c r="AV106" s="5">
        <v>73.330254041570441</v>
      </c>
    </row>
    <row r="107" spans="1:48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  <c r="R107" s="3">
        <v>45299</v>
      </c>
      <c r="S107" s="15" t="s">
        <v>3</v>
      </c>
      <c r="T107" s="16">
        <v>92</v>
      </c>
      <c r="U107" s="16">
        <v>491518</v>
      </c>
      <c r="V107" s="16">
        <v>40411</v>
      </c>
      <c r="W107" s="16">
        <v>451107</v>
      </c>
      <c r="X107" s="16">
        <v>8</v>
      </c>
      <c r="Y107" s="16">
        <v>491520</v>
      </c>
      <c r="Z107" s="16">
        <v>92</v>
      </c>
      <c r="AA107" s="15" t="s">
        <v>1</v>
      </c>
      <c r="AB107" s="15" t="s">
        <v>2</v>
      </c>
      <c r="AC107" s="8">
        <v>900</v>
      </c>
      <c r="AD107">
        <v>40413</v>
      </c>
      <c r="AE107" s="5">
        <v>44.903333333333336</v>
      </c>
      <c r="AI107" s="3">
        <v>45299</v>
      </c>
      <c r="AJ107" s="15" t="s">
        <v>8</v>
      </c>
      <c r="AK107" s="16">
        <v>91</v>
      </c>
      <c r="AL107" s="16">
        <v>327680</v>
      </c>
      <c r="AM107" s="16">
        <v>30904</v>
      </c>
      <c r="AN107" s="16">
        <v>296776</v>
      </c>
      <c r="AO107" s="16">
        <v>9</v>
      </c>
      <c r="AP107" s="16">
        <v>327680</v>
      </c>
      <c r="AQ107" s="16">
        <v>91</v>
      </c>
      <c r="AR107" s="15" t="s">
        <v>1</v>
      </c>
      <c r="AS107" s="15" t="s">
        <v>2</v>
      </c>
      <c r="AT107" s="8">
        <v>848</v>
      </c>
      <c r="AU107">
        <v>30904</v>
      </c>
      <c r="AV107" s="5">
        <v>36.443396226415096</v>
      </c>
    </row>
    <row r="108" spans="1:48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  <c r="R108" s="3">
        <v>45306</v>
      </c>
      <c r="S108" s="15" t="s">
        <v>3</v>
      </c>
      <c r="T108" s="16">
        <v>92</v>
      </c>
      <c r="U108" s="16">
        <v>491518</v>
      </c>
      <c r="V108" s="16">
        <v>39705</v>
      </c>
      <c r="W108" s="16">
        <v>451813</v>
      </c>
      <c r="X108" s="16">
        <v>8</v>
      </c>
      <c r="Y108" s="16">
        <v>491520</v>
      </c>
      <c r="Z108" s="16">
        <v>92</v>
      </c>
      <c r="AA108" s="15" t="s">
        <v>1</v>
      </c>
      <c r="AB108" s="15" t="s">
        <v>2</v>
      </c>
      <c r="AC108" s="8">
        <v>706</v>
      </c>
      <c r="AD108">
        <v>39707</v>
      </c>
      <c r="AE108" s="5">
        <v>56.242209631728045</v>
      </c>
      <c r="AI108" s="3">
        <v>45306</v>
      </c>
      <c r="AJ108" s="15" t="s">
        <v>8</v>
      </c>
      <c r="AK108" s="16">
        <v>91</v>
      </c>
      <c r="AL108" s="16">
        <v>327680</v>
      </c>
      <c r="AM108" s="16">
        <v>30559</v>
      </c>
      <c r="AN108" s="16">
        <v>297121</v>
      </c>
      <c r="AO108" s="16">
        <v>9</v>
      </c>
      <c r="AP108" s="16">
        <v>327680</v>
      </c>
      <c r="AQ108" s="16">
        <v>91</v>
      </c>
      <c r="AR108" s="15" t="s">
        <v>1</v>
      </c>
      <c r="AS108" s="15" t="s">
        <v>2</v>
      </c>
      <c r="AT108" s="8">
        <v>345</v>
      </c>
      <c r="AU108">
        <v>30559</v>
      </c>
      <c r="AV108" s="5">
        <v>88.576811594202894</v>
      </c>
    </row>
    <row r="109" spans="1:48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  <c r="R109" s="3">
        <v>45320</v>
      </c>
      <c r="S109" s="15" t="s">
        <v>3</v>
      </c>
      <c r="T109" s="16">
        <v>92</v>
      </c>
      <c r="U109" s="16">
        <v>491518</v>
      </c>
      <c r="V109" s="16">
        <v>38741</v>
      </c>
      <c r="W109" s="16">
        <v>452777</v>
      </c>
      <c r="X109" s="16">
        <v>8</v>
      </c>
      <c r="Y109" s="16">
        <v>491520</v>
      </c>
      <c r="Z109" s="16">
        <v>92</v>
      </c>
      <c r="AA109" s="15" t="s">
        <v>1</v>
      </c>
      <c r="AB109" s="15" t="s">
        <v>2</v>
      </c>
      <c r="AC109" s="8">
        <v>964</v>
      </c>
      <c r="AD109">
        <v>38743</v>
      </c>
      <c r="AE109" s="5">
        <v>40.189834024896264</v>
      </c>
      <c r="AI109" s="3">
        <v>45320</v>
      </c>
      <c r="AJ109" s="15" t="s">
        <v>8</v>
      </c>
      <c r="AK109" s="16">
        <v>91</v>
      </c>
      <c r="AL109" s="16">
        <v>327680</v>
      </c>
      <c r="AM109" s="16">
        <v>29442</v>
      </c>
      <c r="AN109" s="16">
        <v>298238</v>
      </c>
      <c r="AO109" s="16">
        <v>9</v>
      </c>
      <c r="AP109" s="16">
        <v>327680</v>
      </c>
      <c r="AQ109" s="16">
        <v>91</v>
      </c>
      <c r="AR109" s="15" t="s">
        <v>1</v>
      </c>
      <c r="AS109" s="15" t="s">
        <v>2</v>
      </c>
      <c r="AT109" s="8">
        <v>1117</v>
      </c>
      <c r="AU109">
        <v>29442</v>
      </c>
      <c r="AV109" s="5">
        <v>26.358102059086839</v>
      </c>
    </row>
    <row r="110" spans="1:48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  <c r="R110" s="3">
        <v>45327</v>
      </c>
      <c r="S110" s="15" t="s">
        <v>3</v>
      </c>
      <c r="T110" s="16">
        <v>92</v>
      </c>
      <c r="U110" s="16">
        <v>491518</v>
      </c>
      <c r="V110" s="16">
        <v>37964</v>
      </c>
      <c r="W110" s="16">
        <v>453554</v>
      </c>
      <c r="X110" s="16">
        <v>8</v>
      </c>
      <c r="Y110" s="16">
        <v>491520</v>
      </c>
      <c r="Z110" s="16">
        <v>92</v>
      </c>
      <c r="AA110" s="15" t="s">
        <v>1</v>
      </c>
      <c r="AB110" s="15" t="s">
        <v>2</v>
      </c>
      <c r="AC110" s="8">
        <v>777</v>
      </c>
      <c r="AD110">
        <v>37966</v>
      </c>
      <c r="AE110" s="5">
        <v>48.862290862290862</v>
      </c>
      <c r="AI110" s="3">
        <v>45327</v>
      </c>
      <c r="AJ110" s="15" t="s">
        <v>8</v>
      </c>
      <c r="AK110" s="16">
        <v>91</v>
      </c>
      <c r="AL110" s="16">
        <v>327680</v>
      </c>
      <c r="AM110" s="16">
        <v>28811</v>
      </c>
      <c r="AN110" s="16">
        <v>298869</v>
      </c>
      <c r="AO110" s="16">
        <v>9</v>
      </c>
      <c r="AP110" s="16">
        <v>327680</v>
      </c>
      <c r="AQ110" s="16">
        <v>91</v>
      </c>
      <c r="AR110" s="15" t="s">
        <v>1</v>
      </c>
      <c r="AS110" s="15" t="s">
        <v>2</v>
      </c>
      <c r="AT110" s="8">
        <v>631</v>
      </c>
      <c r="AU110">
        <v>28811</v>
      </c>
      <c r="AV110" s="5">
        <v>45.659270998415217</v>
      </c>
    </row>
    <row r="111" spans="1:48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  <c r="R111" s="3">
        <v>45334</v>
      </c>
      <c r="S111" s="15" t="s">
        <v>3</v>
      </c>
      <c r="T111" s="16">
        <v>92</v>
      </c>
      <c r="U111" s="16">
        <v>491518</v>
      </c>
      <c r="V111" s="16">
        <v>37553</v>
      </c>
      <c r="W111" s="16">
        <v>453965</v>
      </c>
      <c r="X111" s="16">
        <v>8</v>
      </c>
      <c r="Y111" s="16">
        <v>491520</v>
      </c>
      <c r="Z111" s="16">
        <v>92</v>
      </c>
      <c r="AA111" s="15" t="s">
        <v>1</v>
      </c>
      <c r="AB111" s="15" t="s">
        <v>2</v>
      </c>
      <c r="AC111" s="8">
        <v>411</v>
      </c>
      <c r="AD111">
        <v>37555</v>
      </c>
      <c r="AE111" s="5">
        <v>91.374695863746965</v>
      </c>
      <c r="AI111" s="3">
        <v>45334</v>
      </c>
      <c r="AJ111" s="15" t="s">
        <v>8</v>
      </c>
      <c r="AK111" s="16">
        <v>91</v>
      </c>
      <c r="AL111" s="16">
        <v>327680</v>
      </c>
      <c r="AM111" s="16">
        <v>28428</v>
      </c>
      <c r="AN111" s="16">
        <v>299252</v>
      </c>
      <c r="AO111" s="16">
        <v>9</v>
      </c>
      <c r="AP111" s="16">
        <v>327680</v>
      </c>
      <c r="AQ111" s="16">
        <v>91</v>
      </c>
      <c r="AR111" s="15" t="s">
        <v>1</v>
      </c>
      <c r="AS111" s="15" t="s">
        <v>2</v>
      </c>
      <c r="AT111" s="8">
        <v>383</v>
      </c>
      <c r="AU111">
        <v>28428</v>
      </c>
      <c r="AV111" s="5">
        <v>74.224543080939952</v>
      </c>
    </row>
    <row r="112" spans="1:48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  <c r="R112" s="3">
        <v>45341</v>
      </c>
      <c r="S112" s="15" t="s">
        <v>3</v>
      </c>
      <c r="T112" s="16">
        <v>92</v>
      </c>
      <c r="U112" s="16">
        <v>491518</v>
      </c>
      <c r="V112" s="16">
        <v>37088</v>
      </c>
      <c r="W112" s="16">
        <v>454430</v>
      </c>
      <c r="X112" s="16">
        <v>8</v>
      </c>
      <c r="Y112" s="16">
        <v>491520</v>
      </c>
      <c r="Z112" s="16">
        <v>92</v>
      </c>
      <c r="AA112" s="15" t="s">
        <v>1</v>
      </c>
      <c r="AB112" s="15" t="s">
        <v>2</v>
      </c>
      <c r="AC112" s="8">
        <v>465</v>
      </c>
      <c r="AD112">
        <v>37090</v>
      </c>
      <c r="AE112" s="5">
        <v>79.763440860215056</v>
      </c>
      <c r="AI112" s="3">
        <v>45341</v>
      </c>
      <c r="AJ112" s="15" t="s">
        <v>8</v>
      </c>
      <c r="AK112" s="16">
        <v>91</v>
      </c>
      <c r="AL112" s="16">
        <v>327680</v>
      </c>
      <c r="AM112" s="16">
        <v>27993</v>
      </c>
      <c r="AN112" s="16">
        <v>299686</v>
      </c>
      <c r="AO112" s="16">
        <v>9</v>
      </c>
      <c r="AP112" s="16">
        <v>327680</v>
      </c>
      <c r="AQ112" s="16">
        <v>91</v>
      </c>
      <c r="AR112" s="15" t="s">
        <v>1</v>
      </c>
      <c r="AS112" s="15" t="s">
        <v>2</v>
      </c>
      <c r="AT112" s="8">
        <v>434</v>
      </c>
      <c r="AU112">
        <v>27994</v>
      </c>
      <c r="AV112" s="5">
        <v>64.502304147465438</v>
      </c>
    </row>
    <row r="113" spans="1:48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  <c r="R113" s="3">
        <v>45348</v>
      </c>
      <c r="S113" s="15" t="s">
        <v>3</v>
      </c>
      <c r="T113" s="16">
        <v>93</v>
      </c>
      <c r="U113" s="16">
        <v>491518</v>
      </c>
      <c r="V113" s="16">
        <v>36383</v>
      </c>
      <c r="W113" s="16">
        <v>455135</v>
      </c>
      <c r="X113" s="16">
        <v>7</v>
      </c>
      <c r="Y113" s="16">
        <v>491520</v>
      </c>
      <c r="Z113" s="16">
        <v>93</v>
      </c>
      <c r="AA113" s="15" t="s">
        <v>1</v>
      </c>
      <c r="AB113" s="15" t="s">
        <v>2</v>
      </c>
      <c r="AC113" s="8">
        <v>705</v>
      </c>
      <c r="AD113">
        <v>36385</v>
      </c>
      <c r="AE113" s="5">
        <v>51.609929078014183</v>
      </c>
      <c r="AI113" s="3">
        <v>45348</v>
      </c>
      <c r="AJ113" s="15" t="s">
        <v>8</v>
      </c>
      <c r="AK113" s="16">
        <v>92</v>
      </c>
      <c r="AL113" s="16">
        <v>327680</v>
      </c>
      <c r="AM113" s="16">
        <v>27412</v>
      </c>
      <c r="AN113" s="16">
        <v>300268</v>
      </c>
      <c r="AO113" s="16">
        <v>8</v>
      </c>
      <c r="AP113" s="16">
        <v>327680</v>
      </c>
      <c r="AQ113" s="16">
        <v>92</v>
      </c>
      <c r="AR113" s="15" t="s">
        <v>1</v>
      </c>
      <c r="AS113" s="15" t="s">
        <v>2</v>
      </c>
      <c r="AT113" s="8">
        <v>582</v>
      </c>
      <c r="AU113">
        <v>27412</v>
      </c>
      <c r="AV113" s="5">
        <v>47.099656357388319</v>
      </c>
    </row>
    <row r="114" spans="1:48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  <c r="R114" s="3">
        <v>45355</v>
      </c>
      <c r="S114" s="15" t="s">
        <v>3</v>
      </c>
      <c r="T114" s="16">
        <v>93</v>
      </c>
      <c r="U114" s="16">
        <v>491518</v>
      </c>
      <c r="V114" s="16">
        <v>35516</v>
      </c>
      <c r="W114" s="16">
        <v>456001</v>
      </c>
      <c r="X114" s="16">
        <v>7</v>
      </c>
      <c r="Y114" s="16">
        <v>491520</v>
      </c>
      <c r="Z114" s="16">
        <v>93</v>
      </c>
      <c r="AA114" s="15" t="s">
        <v>1</v>
      </c>
      <c r="AB114" s="15" t="s">
        <v>2</v>
      </c>
      <c r="AC114" s="8">
        <v>866</v>
      </c>
      <c r="AD114">
        <v>35519</v>
      </c>
      <c r="AE114" s="5">
        <v>41.015011547344109</v>
      </c>
      <c r="AI114" s="3">
        <v>45355</v>
      </c>
      <c r="AJ114" s="15" t="s">
        <v>8</v>
      </c>
      <c r="AK114" s="16">
        <v>92</v>
      </c>
      <c r="AL114" s="16">
        <v>327680</v>
      </c>
      <c r="AM114" s="16">
        <v>26873</v>
      </c>
      <c r="AN114" s="16">
        <v>300807</v>
      </c>
      <c r="AO114" s="16">
        <v>8</v>
      </c>
      <c r="AP114" s="16">
        <v>327680</v>
      </c>
      <c r="AQ114" s="16">
        <v>92</v>
      </c>
      <c r="AR114" s="15" t="s">
        <v>1</v>
      </c>
      <c r="AS114" s="15" t="s">
        <v>2</v>
      </c>
      <c r="AT114" s="8">
        <v>539</v>
      </c>
      <c r="AU114">
        <v>26873</v>
      </c>
      <c r="AV114" s="5">
        <v>49.857142857142854</v>
      </c>
    </row>
    <row r="115" spans="1:48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  <c r="R115" s="3">
        <v>45362</v>
      </c>
      <c r="S115" s="15" t="s">
        <v>3</v>
      </c>
      <c r="T115" s="16">
        <v>93</v>
      </c>
      <c r="U115" s="16">
        <v>491518</v>
      </c>
      <c r="V115" s="16">
        <v>35052</v>
      </c>
      <c r="W115" s="16">
        <v>456466</v>
      </c>
      <c r="X115" s="16">
        <v>7</v>
      </c>
      <c r="Y115" s="16">
        <v>491520</v>
      </c>
      <c r="Z115" s="16">
        <v>93</v>
      </c>
      <c r="AA115" s="15" t="s">
        <v>1</v>
      </c>
      <c r="AB115" s="15" t="s">
        <v>2</v>
      </c>
      <c r="AC115" s="8">
        <v>465</v>
      </c>
      <c r="AD115">
        <v>35054</v>
      </c>
      <c r="AE115" s="5">
        <v>75.384946236559145</v>
      </c>
      <c r="AI115" s="3">
        <v>45362</v>
      </c>
      <c r="AJ115" s="15" t="s">
        <v>8</v>
      </c>
      <c r="AK115" s="16">
        <v>92</v>
      </c>
      <c r="AL115" s="16">
        <v>327680</v>
      </c>
      <c r="AM115" s="16">
        <v>26317</v>
      </c>
      <c r="AN115" s="16">
        <v>301363</v>
      </c>
      <c r="AO115" s="16">
        <v>8</v>
      </c>
      <c r="AP115" s="16">
        <v>327680</v>
      </c>
      <c r="AQ115" s="16">
        <v>92</v>
      </c>
      <c r="AR115" s="15" t="s">
        <v>1</v>
      </c>
      <c r="AS115" s="15" t="s">
        <v>2</v>
      </c>
      <c r="AT115" s="8">
        <v>556</v>
      </c>
      <c r="AU115">
        <v>26317</v>
      </c>
      <c r="AV115" s="5">
        <v>47.332733812949641</v>
      </c>
    </row>
    <row r="116" spans="1:48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  <c r="R116" s="3">
        <v>45376</v>
      </c>
      <c r="S116" s="15" t="s">
        <v>3</v>
      </c>
      <c r="T116" s="16">
        <v>93</v>
      </c>
      <c r="U116" s="16">
        <v>491518</v>
      </c>
      <c r="V116" s="16">
        <v>33960</v>
      </c>
      <c r="W116" s="16">
        <v>457558</v>
      </c>
      <c r="X116" s="16">
        <v>7</v>
      </c>
      <c r="Y116" s="16">
        <v>491520</v>
      </c>
      <c r="Z116" s="16">
        <v>93</v>
      </c>
      <c r="AA116" s="15" t="s">
        <v>1</v>
      </c>
      <c r="AB116" s="15" t="s">
        <v>2</v>
      </c>
      <c r="AC116" s="8">
        <v>1092</v>
      </c>
      <c r="AD116">
        <v>33962</v>
      </c>
      <c r="AE116" s="5">
        <v>31.100732600732602</v>
      </c>
      <c r="AI116" s="3">
        <v>45376</v>
      </c>
      <c r="AJ116" s="15" t="s">
        <v>8</v>
      </c>
      <c r="AK116" s="16">
        <v>92</v>
      </c>
      <c r="AL116" s="16">
        <v>327680</v>
      </c>
      <c r="AM116" s="16">
        <v>25350</v>
      </c>
      <c r="AN116" s="16">
        <v>302330</v>
      </c>
      <c r="AO116" s="16">
        <v>8</v>
      </c>
      <c r="AP116" s="16">
        <v>327680</v>
      </c>
      <c r="AQ116" s="16">
        <v>92</v>
      </c>
      <c r="AR116" s="15" t="s">
        <v>1</v>
      </c>
      <c r="AS116" s="15" t="s">
        <v>2</v>
      </c>
      <c r="AT116" s="8">
        <v>967</v>
      </c>
      <c r="AU116">
        <v>25350</v>
      </c>
      <c r="AV116" s="5">
        <v>26.215098241985523</v>
      </c>
    </row>
    <row r="117" spans="1:48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  <c r="R117" s="3">
        <v>45386</v>
      </c>
      <c r="S117" s="15" t="s">
        <v>3</v>
      </c>
      <c r="T117" s="16">
        <v>93</v>
      </c>
      <c r="U117" s="16">
        <v>491518</v>
      </c>
      <c r="V117" s="16">
        <v>33382</v>
      </c>
      <c r="W117" s="16">
        <v>458136</v>
      </c>
      <c r="X117" s="16">
        <v>7</v>
      </c>
      <c r="Y117" s="16">
        <v>491520</v>
      </c>
      <c r="Z117" s="16">
        <v>93</v>
      </c>
      <c r="AA117" s="15" t="s">
        <v>1</v>
      </c>
      <c r="AB117" s="15" t="s">
        <v>2</v>
      </c>
      <c r="AC117" s="8">
        <v>578</v>
      </c>
      <c r="AD117">
        <v>33384</v>
      </c>
      <c r="AE117" s="5">
        <v>57.757785467128031</v>
      </c>
      <c r="AI117" s="3">
        <v>45386</v>
      </c>
      <c r="AJ117" s="15" t="s">
        <v>8</v>
      </c>
      <c r="AK117" s="16">
        <v>92</v>
      </c>
      <c r="AL117" s="16">
        <v>327680</v>
      </c>
      <c r="AM117" s="16">
        <v>24724</v>
      </c>
      <c r="AN117" s="16">
        <v>302956</v>
      </c>
      <c r="AO117" s="16">
        <v>8</v>
      </c>
      <c r="AP117" s="16">
        <v>327680</v>
      </c>
      <c r="AQ117" s="16">
        <v>92</v>
      </c>
      <c r="AR117" s="15" t="s">
        <v>1</v>
      </c>
      <c r="AS117" s="15" t="s">
        <v>2</v>
      </c>
      <c r="AT117" s="8">
        <v>626</v>
      </c>
      <c r="AU117">
        <v>24724</v>
      </c>
      <c r="AV117" s="5">
        <v>39.495207667731627</v>
      </c>
    </row>
    <row r="118" spans="1:48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  <c r="R118" s="3">
        <v>45397</v>
      </c>
      <c r="S118" s="15" t="s">
        <v>3</v>
      </c>
      <c r="T118" s="16">
        <v>93</v>
      </c>
      <c r="U118" s="16">
        <v>491518</v>
      </c>
      <c r="V118" s="16">
        <v>32481</v>
      </c>
      <c r="W118" s="16">
        <v>459037</v>
      </c>
      <c r="X118" s="16">
        <v>7</v>
      </c>
      <c r="Y118" s="16">
        <v>491520</v>
      </c>
      <c r="Z118" s="16">
        <v>93</v>
      </c>
      <c r="AA118" s="15" t="s">
        <v>1</v>
      </c>
      <c r="AB118" s="15" t="s">
        <v>2</v>
      </c>
      <c r="AC118" s="8">
        <v>901</v>
      </c>
      <c r="AD118">
        <v>32483</v>
      </c>
      <c r="AE118" s="5">
        <v>36.052164261931189</v>
      </c>
      <c r="AI118" s="3">
        <v>45397</v>
      </c>
      <c r="AJ118" s="15" t="s">
        <v>8</v>
      </c>
      <c r="AK118" s="16">
        <v>93</v>
      </c>
      <c r="AL118" s="16">
        <v>327680</v>
      </c>
      <c r="AM118" s="16">
        <v>24241</v>
      </c>
      <c r="AN118" s="16">
        <v>303438</v>
      </c>
      <c r="AO118" s="16">
        <v>7</v>
      </c>
      <c r="AP118" s="16">
        <v>327680</v>
      </c>
      <c r="AQ118" s="16">
        <v>93</v>
      </c>
      <c r="AR118" s="15" t="s">
        <v>1</v>
      </c>
      <c r="AS118" s="15" t="s">
        <v>2</v>
      </c>
      <c r="AT118" s="8">
        <v>482</v>
      </c>
      <c r="AU118">
        <v>24242</v>
      </c>
      <c r="AV118" s="5">
        <v>50.294605809128633</v>
      </c>
    </row>
    <row r="119" spans="1:48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  <c r="R119" s="3">
        <v>45404</v>
      </c>
      <c r="S119" s="15" t="s">
        <v>3</v>
      </c>
      <c r="T119" s="16">
        <v>93</v>
      </c>
      <c r="U119" s="16">
        <v>491518</v>
      </c>
      <c r="V119" s="16">
        <v>31976</v>
      </c>
      <c r="W119" s="16">
        <v>459542</v>
      </c>
      <c r="X119" s="16">
        <v>7</v>
      </c>
      <c r="Y119" s="16">
        <v>491520</v>
      </c>
      <c r="Z119" s="16">
        <v>93</v>
      </c>
      <c r="AA119" s="15" t="s">
        <v>1</v>
      </c>
      <c r="AB119" s="15" t="s">
        <v>2</v>
      </c>
      <c r="AC119" s="8">
        <v>505</v>
      </c>
      <c r="AD119">
        <v>31978</v>
      </c>
      <c r="AE119" s="5">
        <v>63.32277227722772</v>
      </c>
      <c r="AI119" s="3">
        <v>45404</v>
      </c>
      <c r="AJ119" s="15" t="s">
        <v>8</v>
      </c>
      <c r="AK119" s="16">
        <v>93</v>
      </c>
      <c r="AL119" s="16">
        <v>327680</v>
      </c>
      <c r="AM119" s="16">
        <v>23647</v>
      </c>
      <c r="AN119" s="16">
        <v>304033</v>
      </c>
      <c r="AO119" s="16">
        <v>7</v>
      </c>
      <c r="AP119" s="16">
        <v>327680</v>
      </c>
      <c r="AQ119" s="16">
        <v>93</v>
      </c>
      <c r="AR119" s="15" t="s">
        <v>1</v>
      </c>
      <c r="AS119" s="15" t="s">
        <v>2</v>
      </c>
      <c r="AT119" s="8">
        <v>595</v>
      </c>
      <c r="AU119">
        <v>23647</v>
      </c>
      <c r="AV119" s="5">
        <v>39.74285714285714</v>
      </c>
    </row>
    <row r="120" spans="1:48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  <c r="R120" s="3">
        <v>45418</v>
      </c>
      <c r="S120" s="15" t="s">
        <v>3</v>
      </c>
      <c r="T120" s="16">
        <v>94</v>
      </c>
      <c r="U120" s="16">
        <v>491518</v>
      </c>
      <c r="V120" s="16">
        <v>30830</v>
      </c>
      <c r="W120" s="16">
        <v>460688</v>
      </c>
      <c r="X120" s="16">
        <v>6</v>
      </c>
      <c r="Y120" s="16">
        <v>491520</v>
      </c>
      <c r="Z120" s="16">
        <v>94</v>
      </c>
      <c r="AA120" s="15" t="s">
        <v>1</v>
      </c>
      <c r="AB120" s="15" t="s">
        <v>2</v>
      </c>
      <c r="AC120" s="8">
        <v>1146</v>
      </c>
      <c r="AD120">
        <v>30832</v>
      </c>
      <c r="AE120" s="5">
        <v>26.904013961605585</v>
      </c>
      <c r="AI120" s="3">
        <v>45418</v>
      </c>
      <c r="AJ120" s="15" t="s">
        <v>8</v>
      </c>
      <c r="AK120" s="16">
        <v>93</v>
      </c>
      <c r="AL120" s="16">
        <v>327680</v>
      </c>
      <c r="AM120" s="16">
        <v>22763</v>
      </c>
      <c r="AN120" s="16">
        <v>304917</v>
      </c>
      <c r="AO120" s="16">
        <v>7</v>
      </c>
      <c r="AP120" s="16">
        <v>327680</v>
      </c>
      <c r="AQ120" s="16">
        <v>93</v>
      </c>
      <c r="AR120" s="15" t="s">
        <v>1</v>
      </c>
      <c r="AS120" s="15" t="s">
        <v>2</v>
      </c>
      <c r="AT120" s="8">
        <v>884</v>
      </c>
      <c r="AU120">
        <v>22763</v>
      </c>
      <c r="AV120" s="5">
        <v>25.75</v>
      </c>
    </row>
    <row r="121" spans="1:48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  <c r="R121" s="3">
        <v>45425</v>
      </c>
      <c r="S121" s="15" t="s">
        <v>3</v>
      </c>
      <c r="T121" s="16">
        <v>94</v>
      </c>
      <c r="U121" s="16">
        <v>491518</v>
      </c>
      <c r="V121" s="16">
        <v>30374</v>
      </c>
      <c r="W121" s="16">
        <v>461144</v>
      </c>
      <c r="X121" s="16">
        <v>6</v>
      </c>
      <c r="Y121" s="16">
        <v>491520</v>
      </c>
      <c r="Z121" s="16">
        <v>94</v>
      </c>
      <c r="AA121" s="15" t="s">
        <v>1</v>
      </c>
      <c r="AB121" s="15" t="s">
        <v>2</v>
      </c>
      <c r="AC121" s="8">
        <v>456</v>
      </c>
      <c r="AD121">
        <v>30376</v>
      </c>
      <c r="AE121" s="5">
        <v>66.614035087719301</v>
      </c>
      <c r="AI121" s="3">
        <v>45425</v>
      </c>
      <c r="AJ121" s="15" t="s">
        <v>8</v>
      </c>
      <c r="AK121" s="16">
        <v>93</v>
      </c>
      <c r="AL121" s="16">
        <v>327680</v>
      </c>
      <c r="AM121" s="16">
        <v>22530</v>
      </c>
      <c r="AN121" s="16">
        <v>305150</v>
      </c>
      <c r="AO121" s="16">
        <v>7</v>
      </c>
      <c r="AP121" s="16">
        <v>327680</v>
      </c>
      <c r="AQ121" s="16">
        <v>93</v>
      </c>
      <c r="AR121" s="15" t="s">
        <v>1</v>
      </c>
      <c r="AS121" s="15" t="s">
        <v>2</v>
      </c>
      <c r="AT121" s="8">
        <v>233</v>
      </c>
      <c r="AU121">
        <v>22530</v>
      </c>
      <c r="AV121" s="5">
        <v>96.695278969957087</v>
      </c>
    </row>
    <row r="122" spans="1:48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  <c r="R122" s="3">
        <v>45433</v>
      </c>
      <c r="S122" s="15" t="s">
        <v>3</v>
      </c>
      <c r="T122" s="16">
        <v>94</v>
      </c>
      <c r="U122" s="16">
        <v>491518</v>
      </c>
      <c r="V122" s="16">
        <v>30028</v>
      </c>
      <c r="W122" s="16">
        <v>461490</v>
      </c>
      <c r="X122" s="16">
        <v>6</v>
      </c>
      <c r="Y122" s="16">
        <v>491520</v>
      </c>
      <c r="Z122" s="16">
        <v>94</v>
      </c>
      <c r="AA122" s="15" t="s">
        <v>1</v>
      </c>
      <c r="AB122" s="15" t="s">
        <v>2</v>
      </c>
      <c r="AC122" s="8">
        <v>346</v>
      </c>
      <c r="AD122" s="22">
        <v>30030</v>
      </c>
      <c r="AE122" s="5">
        <v>86.79190751445087</v>
      </c>
      <c r="AI122" s="3">
        <v>45433</v>
      </c>
      <c r="AJ122" s="15" t="s">
        <v>8</v>
      </c>
      <c r="AK122" s="16">
        <v>93</v>
      </c>
      <c r="AL122" s="16">
        <v>327680</v>
      </c>
      <c r="AM122" s="16">
        <v>21936</v>
      </c>
      <c r="AN122" s="16">
        <v>305744</v>
      </c>
      <c r="AO122" s="16">
        <v>7</v>
      </c>
      <c r="AP122" s="16">
        <v>327680</v>
      </c>
      <c r="AQ122" s="16">
        <v>93</v>
      </c>
      <c r="AR122" s="15" t="s">
        <v>1</v>
      </c>
      <c r="AS122" s="15" t="s">
        <v>2</v>
      </c>
      <c r="AT122" s="8">
        <v>594</v>
      </c>
      <c r="AU122" s="22">
        <v>21936</v>
      </c>
      <c r="AV122" s="5">
        <v>36.929292929292927</v>
      </c>
    </row>
    <row r="123" spans="1:48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48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48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48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48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48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10">
        <v>99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10">
        <v>99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10">
        <v>99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  <row r="852" spans="1:14" x14ac:dyDescent="0.25">
      <c r="A852" s="3">
        <v>45138</v>
      </c>
      <c r="B852" s="15" t="s">
        <v>7</v>
      </c>
      <c r="C852" s="16">
        <v>95</v>
      </c>
      <c r="D852" s="16">
        <v>2220</v>
      </c>
      <c r="E852" s="16">
        <v>114</v>
      </c>
      <c r="F852" s="16">
        <v>2106</v>
      </c>
      <c r="G852" s="16">
        <v>5</v>
      </c>
      <c r="H852" s="16">
        <v>32768</v>
      </c>
      <c r="I852" s="16">
        <v>6</v>
      </c>
      <c r="J852" s="15" t="s">
        <v>1</v>
      </c>
      <c r="K852" s="15" t="s">
        <v>2</v>
      </c>
      <c r="L852" s="8">
        <f>UnilabUsage[[#This Row],[Used-MB]]-F842</f>
        <v>16</v>
      </c>
      <c r="M852">
        <f>UnilabUsage[[#This Row],[Max]]-UnilabUsage[[#This Row],[Used-MB]]</f>
        <v>30662</v>
      </c>
      <c r="N852" s="5">
        <f>IF($L852&gt;0,UnilabUsage[[#This Row],[Free-of-Max]]/UnilabUsage[[#This Row],[Usage-Delta-MB]],UnilabUsage[[#This Row],[Free-of-Max]])</f>
        <v>1916.375</v>
      </c>
    </row>
    <row r="853" spans="1:14" x14ac:dyDescent="0.25">
      <c r="A853" s="3">
        <v>45138</v>
      </c>
      <c r="B853" s="15" t="s">
        <v>0</v>
      </c>
      <c r="C853" s="16">
        <v>100</v>
      </c>
      <c r="D853" s="16">
        <v>22350</v>
      </c>
      <c r="E853" s="16">
        <v>69</v>
      </c>
      <c r="F853" s="16">
        <v>22281</v>
      </c>
      <c r="G853" s="16">
        <v>0</v>
      </c>
      <c r="H853" s="16">
        <v>32768</v>
      </c>
      <c r="I853" s="16">
        <v>68</v>
      </c>
      <c r="J853" s="15" t="s">
        <v>1</v>
      </c>
      <c r="K853" s="15" t="s">
        <v>2</v>
      </c>
      <c r="L853" s="8">
        <f>UnilabUsage[[#This Row],[Used-MB]]-F843</f>
        <v>64</v>
      </c>
      <c r="M853">
        <f>UnilabUsage[[#This Row],[Max]]-UnilabUsage[[#This Row],[Used-MB]]</f>
        <v>10487</v>
      </c>
      <c r="N853" s="5">
        <f>IF($L853&gt;0,UnilabUsage[[#This Row],[Free-of-Max]]/UnilabUsage[[#This Row],[Usage-Delta-MB]],UnilabUsage[[#This Row],[Free-of-Max]])</f>
        <v>163.859375</v>
      </c>
    </row>
    <row r="854" spans="1:14" x14ac:dyDescent="0.25">
      <c r="A854" s="3">
        <v>45138</v>
      </c>
      <c r="B854" s="15" t="s">
        <v>11</v>
      </c>
      <c r="C854" s="16">
        <v>1</v>
      </c>
      <c r="D854" s="16">
        <v>100</v>
      </c>
      <c r="E854" s="16">
        <v>99</v>
      </c>
      <c r="F854" s="16">
        <v>1</v>
      </c>
      <c r="G854" s="16">
        <v>99</v>
      </c>
      <c r="H854" s="16">
        <v>32768</v>
      </c>
      <c r="I854" s="16">
        <v>0</v>
      </c>
      <c r="J854" s="15" t="s">
        <v>1</v>
      </c>
      <c r="K854" s="15" t="s">
        <v>2</v>
      </c>
      <c r="L854" s="8">
        <f>UnilabUsage[[#This Row],[Used-MB]]-F844</f>
        <v>0</v>
      </c>
      <c r="M854">
        <f>UnilabUsage[[#This Row],[Max]]-UnilabUsage[[#This Row],[Used-MB]]</f>
        <v>32767</v>
      </c>
      <c r="N854" s="5">
        <f>IF($L854&gt;0,UnilabUsage[[#This Row],[Free-of-Max]]/UnilabUsage[[#This Row],[Usage-Delta-MB]],UnilabUsage[[#This Row],[Free-of-Max]])</f>
        <v>32767</v>
      </c>
    </row>
    <row r="855" spans="1:14" x14ac:dyDescent="0.25">
      <c r="A855" s="3">
        <v>45138</v>
      </c>
      <c r="B855" s="15" t="s">
        <v>6</v>
      </c>
      <c r="C855" s="16">
        <v>95</v>
      </c>
      <c r="D855" s="16">
        <v>7595</v>
      </c>
      <c r="E855" s="16">
        <v>371</v>
      </c>
      <c r="F855" s="16">
        <v>7224</v>
      </c>
      <c r="G855" s="16">
        <v>5</v>
      </c>
      <c r="H855" s="16">
        <v>32768</v>
      </c>
      <c r="I855" s="16">
        <v>22</v>
      </c>
      <c r="J855" s="15" t="s">
        <v>1</v>
      </c>
      <c r="K855" s="15" t="s">
        <v>2</v>
      </c>
      <c r="L855" s="8">
        <f>UnilabUsage[[#This Row],[Used-MB]]-F845</f>
        <v>0</v>
      </c>
      <c r="M855">
        <f>UnilabUsage[[#This Row],[Max]]-UnilabUsage[[#This Row],[Used-MB]]</f>
        <v>25544</v>
      </c>
      <c r="N855" s="5">
        <f>IF($L855&gt;0,UnilabUsage[[#This Row],[Free-of-Max]]/UnilabUsage[[#This Row],[Usage-Delta-MB]],UnilabUsage[[#This Row],[Free-of-Max]])</f>
        <v>25544</v>
      </c>
    </row>
    <row r="856" spans="1:14" x14ac:dyDescent="0.25">
      <c r="A856" s="3">
        <v>45138</v>
      </c>
      <c r="B856" s="15" t="s">
        <v>3</v>
      </c>
      <c r="C856" s="16">
        <v>89</v>
      </c>
      <c r="D856" s="16">
        <v>491518</v>
      </c>
      <c r="E856" s="16">
        <v>51773</v>
      </c>
      <c r="F856" s="16">
        <v>439744</v>
      </c>
      <c r="G856" s="16">
        <v>11</v>
      </c>
      <c r="H856" s="16">
        <v>491520</v>
      </c>
      <c r="I856" s="16">
        <v>89</v>
      </c>
      <c r="J856" s="15" t="s">
        <v>1</v>
      </c>
      <c r="K856" s="15" t="s">
        <v>2</v>
      </c>
      <c r="L856" s="8">
        <f>UnilabUsage[[#This Row],[Used-MB]]-F846</f>
        <v>474</v>
      </c>
      <c r="M856">
        <f>UnilabUsage[[#This Row],[Max]]-UnilabUsage[[#This Row],[Used-MB]]</f>
        <v>51776</v>
      </c>
      <c r="N856" s="5">
        <f>IF($L856&gt;0,UnilabUsage[[#This Row],[Free-of-Max]]/UnilabUsage[[#This Row],[Usage-Delta-MB]],UnilabUsage[[#This Row],[Free-of-Max]])</f>
        <v>109.23206751054852</v>
      </c>
    </row>
    <row r="857" spans="1:14" x14ac:dyDescent="0.25">
      <c r="A857" s="3">
        <v>45138</v>
      </c>
      <c r="B857" s="15" t="s">
        <v>5</v>
      </c>
      <c r="C857" s="16">
        <v>95</v>
      </c>
      <c r="D857" s="16">
        <v>23100</v>
      </c>
      <c r="E857" s="16">
        <v>1104</v>
      </c>
      <c r="F857" s="16">
        <v>21996</v>
      </c>
      <c r="G857" s="16">
        <v>5</v>
      </c>
      <c r="H857" s="16">
        <v>32768</v>
      </c>
      <c r="I857" s="16">
        <v>67</v>
      </c>
      <c r="J857" s="15" t="s">
        <v>1</v>
      </c>
      <c r="K857" s="15" t="s">
        <v>2</v>
      </c>
      <c r="L857" s="8">
        <f>UnilabUsage[[#This Row],[Used-MB]]-F847</f>
        <v>0</v>
      </c>
      <c r="M857">
        <f>UnilabUsage[[#This Row],[Max]]-UnilabUsage[[#This Row],[Used-MB]]</f>
        <v>10772</v>
      </c>
      <c r="N857" s="5">
        <f>IF($L857&gt;0,UnilabUsage[[#This Row],[Free-of-Max]]/UnilabUsage[[#This Row],[Usage-Delta-MB]],UnilabUsage[[#This Row],[Free-of-Max]])</f>
        <v>10772</v>
      </c>
    </row>
    <row r="858" spans="1:14" x14ac:dyDescent="0.25">
      <c r="A858" s="3">
        <v>45138</v>
      </c>
      <c r="B858" s="15" t="s">
        <v>8</v>
      </c>
      <c r="C858" s="16">
        <v>88</v>
      </c>
      <c r="D858" s="16">
        <v>327680</v>
      </c>
      <c r="E858" s="16">
        <v>40091</v>
      </c>
      <c r="F858" s="16">
        <v>287589</v>
      </c>
      <c r="G858" s="16">
        <v>12</v>
      </c>
      <c r="H858" s="16">
        <v>327680</v>
      </c>
      <c r="I858" s="16">
        <v>88</v>
      </c>
      <c r="J858" s="15" t="s">
        <v>1</v>
      </c>
      <c r="K858" s="15" t="s">
        <v>2</v>
      </c>
      <c r="L858" s="8">
        <f>UnilabUsage[[#This Row],[Used-MB]]-F848</f>
        <v>435</v>
      </c>
      <c r="M858">
        <f>UnilabUsage[[#This Row],[Max]]-UnilabUsage[[#This Row],[Used-MB]]</f>
        <v>40091</v>
      </c>
      <c r="N858" s="5">
        <f>IF($L858&gt;0,UnilabUsage[[#This Row],[Free-of-Max]]/UnilabUsage[[#This Row],[Usage-Delta-MB]],UnilabUsage[[#This Row],[Free-of-Max]])</f>
        <v>92.163218390804602</v>
      </c>
    </row>
    <row r="859" spans="1:14" x14ac:dyDescent="0.25">
      <c r="A859" s="3">
        <v>45138</v>
      </c>
      <c r="B859" s="15" t="s">
        <v>4</v>
      </c>
      <c r="C859" s="16">
        <v>92</v>
      </c>
      <c r="D859" s="16">
        <v>98260</v>
      </c>
      <c r="E859" s="16">
        <v>7590</v>
      </c>
      <c r="F859" s="16">
        <v>90670</v>
      </c>
      <c r="G859" s="16">
        <v>8</v>
      </c>
      <c r="H859" s="16">
        <v>98304</v>
      </c>
      <c r="I859" s="16">
        <v>92</v>
      </c>
      <c r="J859" s="15" t="s">
        <v>1</v>
      </c>
      <c r="K859" s="15" t="s">
        <v>2</v>
      </c>
      <c r="L859" s="8">
        <f>UnilabUsage[[#This Row],[Used-MB]]-F849</f>
        <v>320</v>
      </c>
      <c r="M859">
        <f>UnilabUsage[[#This Row],[Max]]-UnilabUsage[[#This Row],[Used-MB]]</f>
        <v>7634</v>
      </c>
      <c r="N859" s="5">
        <f>IF($L859&gt;0,UnilabUsage[[#This Row],[Free-of-Max]]/UnilabUsage[[#This Row],[Usage-Delta-MB]],UnilabUsage[[#This Row],[Free-of-Max]])</f>
        <v>23.856249999999999</v>
      </c>
    </row>
    <row r="860" spans="1:14" x14ac:dyDescent="0.25">
      <c r="A860" s="3">
        <v>45138</v>
      </c>
      <c r="B860" s="15" t="s">
        <v>12</v>
      </c>
      <c r="C860" s="16">
        <v>0</v>
      </c>
      <c r="D860" s="16">
        <v>30720</v>
      </c>
      <c r="E860" s="16">
        <v>30648</v>
      </c>
      <c r="F860" s="16">
        <v>72</v>
      </c>
      <c r="G860" s="16">
        <v>100</v>
      </c>
      <c r="H860" s="16">
        <v>30720</v>
      </c>
      <c r="I860" s="16">
        <v>0</v>
      </c>
      <c r="J860" s="15" t="s">
        <v>1</v>
      </c>
      <c r="K860" s="15" t="s">
        <v>13</v>
      </c>
      <c r="L860" s="8">
        <f>UnilabUsage[[#This Row],[Used-MB]]-F850</f>
        <v>-3</v>
      </c>
      <c r="M860">
        <f>UnilabUsage[[#This Row],[Max]]-UnilabUsage[[#This Row],[Used-MB]]</f>
        <v>30648</v>
      </c>
      <c r="N860" s="5">
        <f>IF($L860&gt;0,UnilabUsage[[#This Row],[Free-of-Max]]/UnilabUsage[[#This Row],[Usage-Delta-MB]],UnilabUsage[[#This Row],[Free-of-Max]])</f>
        <v>30648</v>
      </c>
    </row>
    <row r="861" spans="1:14" x14ac:dyDescent="0.25">
      <c r="A861" s="3">
        <v>45138</v>
      </c>
      <c r="B861" s="15" t="s">
        <v>9</v>
      </c>
      <c r="C861" s="16">
        <v>6</v>
      </c>
      <c r="D861" s="16">
        <v>10440</v>
      </c>
      <c r="E861" s="16">
        <v>9846</v>
      </c>
      <c r="F861" s="16">
        <v>594</v>
      </c>
      <c r="G861" s="16">
        <v>94</v>
      </c>
      <c r="H861" s="16">
        <v>32768</v>
      </c>
      <c r="I861" s="16">
        <v>2</v>
      </c>
      <c r="J861" s="15" t="s">
        <v>1</v>
      </c>
      <c r="K861" s="15" t="s">
        <v>10</v>
      </c>
      <c r="L861" s="8">
        <f>UnilabUsage[[#This Row],[Used-MB]]-F851</f>
        <v>417</v>
      </c>
      <c r="M861">
        <f>UnilabUsage[[#This Row],[Max]]-UnilabUsage[[#This Row],[Used-MB]]</f>
        <v>32174</v>
      </c>
      <c r="N861" s="5">
        <f>IF($L861&gt;0,UnilabUsage[[#This Row],[Free-of-Max]]/UnilabUsage[[#This Row],[Usage-Delta-MB]],UnilabUsage[[#This Row],[Free-of-Max]])</f>
        <v>77.155875299760197</v>
      </c>
    </row>
    <row r="862" spans="1:14" x14ac:dyDescent="0.25">
      <c r="A862" s="3">
        <v>45145</v>
      </c>
      <c r="B862" s="15" t="s">
        <v>7</v>
      </c>
      <c r="C862" s="16">
        <v>95</v>
      </c>
      <c r="D862" s="16">
        <v>2220</v>
      </c>
      <c r="E862" s="16">
        <v>106</v>
      </c>
      <c r="F862" s="16">
        <v>2114</v>
      </c>
      <c r="G862" s="16">
        <v>5</v>
      </c>
      <c r="H862" s="16">
        <v>32768</v>
      </c>
      <c r="I862" s="16">
        <v>6</v>
      </c>
      <c r="J862" s="15" t="s">
        <v>1</v>
      </c>
      <c r="K862" s="15" t="s">
        <v>2</v>
      </c>
      <c r="L862" s="8">
        <f>UnilabUsage[[#This Row],[Used-MB]]-F852</f>
        <v>8</v>
      </c>
      <c r="M862">
        <f>UnilabUsage[[#This Row],[Max]]-UnilabUsage[[#This Row],[Used-MB]]</f>
        <v>30654</v>
      </c>
      <c r="N862" s="5">
        <f>IF($L862&gt;0,UnilabUsage[[#This Row],[Free-of-Max]]/UnilabUsage[[#This Row],[Usage-Delta-MB]],UnilabUsage[[#This Row],[Free-of-Max]])</f>
        <v>3831.75</v>
      </c>
    </row>
    <row r="863" spans="1:14" x14ac:dyDescent="0.25">
      <c r="A863" s="3">
        <v>45145</v>
      </c>
      <c r="B863" s="15" t="s">
        <v>0</v>
      </c>
      <c r="C863" s="16">
        <v>100</v>
      </c>
      <c r="D863" s="16">
        <v>22350</v>
      </c>
      <c r="E863" s="16">
        <v>5</v>
      </c>
      <c r="F863" s="16">
        <v>22345</v>
      </c>
      <c r="G863" s="16">
        <v>0</v>
      </c>
      <c r="H863" s="16">
        <v>32768</v>
      </c>
      <c r="I863" s="16">
        <v>68</v>
      </c>
      <c r="J863" s="15" t="s">
        <v>1</v>
      </c>
      <c r="K863" s="15" t="s">
        <v>2</v>
      </c>
      <c r="L863" s="8">
        <f>UnilabUsage[[#This Row],[Used-MB]]-F853</f>
        <v>64</v>
      </c>
      <c r="M863">
        <f>UnilabUsage[[#This Row],[Max]]-UnilabUsage[[#This Row],[Used-MB]]</f>
        <v>10423</v>
      </c>
      <c r="N863" s="5">
        <f>IF($L863&gt;0,UnilabUsage[[#This Row],[Free-of-Max]]/UnilabUsage[[#This Row],[Usage-Delta-MB]],UnilabUsage[[#This Row],[Free-of-Max]])</f>
        <v>162.859375</v>
      </c>
    </row>
    <row r="864" spans="1:14" x14ac:dyDescent="0.25">
      <c r="A864" s="3">
        <v>45145</v>
      </c>
      <c r="B864" s="15" t="s">
        <v>11</v>
      </c>
      <c r="C864" s="16">
        <v>1</v>
      </c>
      <c r="D864" s="16">
        <v>100</v>
      </c>
      <c r="E864" s="16">
        <v>99</v>
      </c>
      <c r="F864" s="16">
        <v>1</v>
      </c>
      <c r="G864" s="16">
        <v>99</v>
      </c>
      <c r="H864" s="16">
        <v>32768</v>
      </c>
      <c r="I864" s="16">
        <v>0</v>
      </c>
      <c r="J864" s="15" t="s">
        <v>1</v>
      </c>
      <c r="K864" s="15" t="s">
        <v>2</v>
      </c>
      <c r="L864" s="8">
        <f>UnilabUsage[[#This Row],[Used-MB]]-F854</f>
        <v>0</v>
      </c>
      <c r="M864">
        <f>UnilabUsage[[#This Row],[Max]]-UnilabUsage[[#This Row],[Used-MB]]</f>
        <v>32767</v>
      </c>
      <c r="N864" s="5">
        <f>IF($L864&gt;0,UnilabUsage[[#This Row],[Free-of-Max]]/UnilabUsage[[#This Row],[Usage-Delta-MB]],UnilabUsage[[#This Row],[Free-of-Max]])</f>
        <v>32767</v>
      </c>
    </row>
    <row r="865" spans="1:14" x14ac:dyDescent="0.25">
      <c r="A865" s="3">
        <v>45145</v>
      </c>
      <c r="B865" s="15" t="s">
        <v>6</v>
      </c>
      <c r="C865" s="16">
        <v>95</v>
      </c>
      <c r="D865" s="16">
        <v>7595</v>
      </c>
      <c r="E865" s="16">
        <v>371</v>
      </c>
      <c r="F865" s="16">
        <v>7224</v>
      </c>
      <c r="G865" s="16">
        <v>5</v>
      </c>
      <c r="H865" s="16">
        <v>32768</v>
      </c>
      <c r="I865" s="16">
        <v>22</v>
      </c>
      <c r="J865" s="15" t="s">
        <v>1</v>
      </c>
      <c r="K865" s="15" t="s">
        <v>2</v>
      </c>
      <c r="L865" s="8">
        <f>UnilabUsage[[#This Row],[Used-MB]]-F855</f>
        <v>0</v>
      </c>
      <c r="M865">
        <f>UnilabUsage[[#This Row],[Max]]-UnilabUsage[[#This Row],[Used-MB]]</f>
        <v>25544</v>
      </c>
      <c r="N865" s="5">
        <f>IF($L865&gt;0,UnilabUsage[[#This Row],[Free-of-Max]]/UnilabUsage[[#This Row],[Usage-Delta-MB]],UnilabUsage[[#This Row],[Free-of-Max]])</f>
        <v>25544</v>
      </c>
    </row>
    <row r="866" spans="1:14" x14ac:dyDescent="0.25">
      <c r="A866" s="3">
        <v>45145</v>
      </c>
      <c r="B866" s="15" t="s">
        <v>3</v>
      </c>
      <c r="C866" s="16">
        <v>90</v>
      </c>
      <c r="D866" s="16">
        <v>491518</v>
      </c>
      <c r="E866" s="16">
        <v>51493</v>
      </c>
      <c r="F866" s="16">
        <v>440024</v>
      </c>
      <c r="G866" s="16">
        <v>10</v>
      </c>
      <c r="H866" s="16">
        <v>491520</v>
      </c>
      <c r="I866" s="16">
        <v>90</v>
      </c>
      <c r="J866" s="15" t="s">
        <v>1</v>
      </c>
      <c r="K866" s="15" t="s">
        <v>2</v>
      </c>
      <c r="L866" s="8">
        <f>UnilabUsage[[#This Row],[Used-MB]]-F856</f>
        <v>280</v>
      </c>
      <c r="M866">
        <f>UnilabUsage[[#This Row],[Max]]-UnilabUsage[[#This Row],[Used-MB]]</f>
        <v>51496</v>
      </c>
      <c r="N866" s="5">
        <f>IF($L866&gt;0,UnilabUsage[[#This Row],[Free-of-Max]]/UnilabUsage[[#This Row],[Usage-Delta-MB]],UnilabUsage[[#This Row],[Free-of-Max]])</f>
        <v>183.91428571428571</v>
      </c>
    </row>
    <row r="867" spans="1:14" x14ac:dyDescent="0.25">
      <c r="A867" s="3">
        <v>45145</v>
      </c>
      <c r="B867" s="15" t="s">
        <v>5</v>
      </c>
      <c r="C867" s="16">
        <v>96</v>
      </c>
      <c r="D867" s="16">
        <v>23100</v>
      </c>
      <c r="E867" s="16">
        <v>1038</v>
      </c>
      <c r="F867" s="16">
        <v>22062</v>
      </c>
      <c r="G867" s="16">
        <v>4</v>
      </c>
      <c r="H867" s="16">
        <v>32768</v>
      </c>
      <c r="I867" s="16">
        <v>67</v>
      </c>
      <c r="J867" s="15" t="s">
        <v>1</v>
      </c>
      <c r="K867" s="15" t="s">
        <v>2</v>
      </c>
      <c r="L867" s="8">
        <f>UnilabUsage[[#This Row],[Used-MB]]-F857</f>
        <v>66</v>
      </c>
      <c r="M867">
        <f>UnilabUsage[[#This Row],[Max]]-UnilabUsage[[#This Row],[Used-MB]]</f>
        <v>10706</v>
      </c>
      <c r="N867" s="5">
        <f>IF($L867&gt;0,UnilabUsage[[#This Row],[Free-of-Max]]/UnilabUsage[[#This Row],[Usage-Delta-MB]],UnilabUsage[[#This Row],[Free-of-Max]])</f>
        <v>162.21212121212122</v>
      </c>
    </row>
    <row r="868" spans="1:14" x14ac:dyDescent="0.25">
      <c r="A868" s="3">
        <v>45145</v>
      </c>
      <c r="B868" s="15" t="s">
        <v>8</v>
      </c>
      <c r="C868" s="16">
        <v>88</v>
      </c>
      <c r="D868" s="16">
        <v>327680</v>
      </c>
      <c r="E868" s="16">
        <v>39915</v>
      </c>
      <c r="F868" s="16">
        <v>287765</v>
      </c>
      <c r="G868" s="16">
        <v>12</v>
      </c>
      <c r="H868" s="16">
        <v>327680</v>
      </c>
      <c r="I868" s="16">
        <v>88</v>
      </c>
      <c r="J868" s="15" t="s">
        <v>1</v>
      </c>
      <c r="K868" s="15" t="s">
        <v>2</v>
      </c>
      <c r="L868" s="8">
        <f>UnilabUsage[[#This Row],[Used-MB]]-F858</f>
        <v>176</v>
      </c>
      <c r="M868">
        <f>UnilabUsage[[#This Row],[Max]]-UnilabUsage[[#This Row],[Used-MB]]</f>
        <v>39915</v>
      </c>
      <c r="N868" s="5">
        <f>IF($L868&gt;0,UnilabUsage[[#This Row],[Free-of-Max]]/UnilabUsage[[#This Row],[Usage-Delta-MB]],UnilabUsage[[#This Row],[Free-of-Max]])</f>
        <v>226.78977272727272</v>
      </c>
    </row>
    <row r="869" spans="1:14" x14ac:dyDescent="0.25">
      <c r="A869" s="3">
        <v>45145</v>
      </c>
      <c r="B869" s="15" t="s">
        <v>4</v>
      </c>
      <c r="C869" s="16">
        <v>92</v>
      </c>
      <c r="D869" s="16">
        <v>98260</v>
      </c>
      <c r="E869" s="16">
        <v>7398</v>
      </c>
      <c r="F869" s="16">
        <v>90862</v>
      </c>
      <c r="G869" s="16">
        <v>8</v>
      </c>
      <c r="H869" s="16">
        <v>98304</v>
      </c>
      <c r="I869" s="16">
        <v>92</v>
      </c>
      <c r="J869" s="15" t="s">
        <v>1</v>
      </c>
      <c r="K869" s="15" t="s">
        <v>2</v>
      </c>
      <c r="L869" s="8">
        <f>UnilabUsage[[#This Row],[Used-MB]]-F859</f>
        <v>192</v>
      </c>
      <c r="M869">
        <f>UnilabUsage[[#This Row],[Max]]-UnilabUsage[[#This Row],[Used-MB]]</f>
        <v>7442</v>
      </c>
      <c r="N869" s="5">
        <f>IF($L869&gt;0,UnilabUsage[[#This Row],[Free-of-Max]]/UnilabUsage[[#This Row],[Usage-Delta-MB]],UnilabUsage[[#This Row],[Free-of-Max]])</f>
        <v>38.760416666666664</v>
      </c>
    </row>
    <row r="870" spans="1:14" x14ac:dyDescent="0.25">
      <c r="A870" s="3">
        <v>45145</v>
      </c>
      <c r="B870" s="15" t="s">
        <v>12</v>
      </c>
      <c r="C870" s="16">
        <v>0</v>
      </c>
      <c r="D870" s="16">
        <v>30720</v>
      </c>
      <c r="E870" s="16">
        <v>30662</v>
      </c>
      <c r="F870" s="16">
        <v>58</v>
      </c>
      <c r="G870" s="16">
        <v>100</v>
      </c>
      <c r="H870" s="16">
        <v>30720</v>
      </c>
      <c r="I870" s="16">
        <v>0</v>
      </c>
      <c r="J870" s="15" t="s">
        <v>1</v>
      </c>
      <c r="K870" s="15" t="s">
        <v>13</v>
      </c>
      <c r="L870" s="8">
        <f>UnilabUsage[[#This Row],[Used-MB]]-F860</f>
        <v>-14</v>
      </c>
      <c r="M870">
        <f>UnilabUsage[[#This Row],[Max]]-UnilabUsage[[#This Row],[Used-MB]]</f>
        <v>30662</v>
      </c>
      <c r="N870" s="5">
        <f>IF($L870&gt;0,UnilabUsage[[#This Row],[Free-of-Max]]/UnilabUsage[[#This Row],[Usage-Delta-MB]],UnilabUsage[[#This Row],[Free-of-Max]])</f>
        <v>30662</v>
      </c>
    </row>
    <row r="871" spans="1:14" x14ac:dyDescent="0.25">
      <c r="A871" s="3">
        <v>45145</v>
      </c>
      <c r="B871" s="15" t="s">
        <v>9</v>
      </c>
      <c r="C871" s="16">
        <v>4</v>
      </c>
      <c r="D871" s="16">
        <v>10440</v>
      </c>
      <c r="E871" s="16">
        <v>9990</v>
      </c>
      <c r="F871" s="16">
        <v>450</v>
      </c>
      <c r="G871" s="16">
        <v>96</v>
      </c>
      <c r="H871" s="16">
        <v>32768</v>
      </c>
      <c r="I871" s="16">
        <v>1</v>
      </c>
      <c r="J871" s="15" t="s">
        <v>1</v>
      </c>
      <c r="K871" s="15" t="s">
        <v>10</v>
      </c>
      <c r="L871" s="8">
        <f>UnilabUsage[[#This Row],[Used-MB]]-F861</f>
        <v>-144</v>
      </c>
      <c r="M871">
        <f>UnilabUsage[[#This Row],[Max]]-UnilabUsage[[#This Row],[Used-MB]]</f>
        <v>32318</v>
      </c>
      <c r="N871" s="5">
        <f>IF($L871&gt;0,UnilabUsage[[#This Row],[Free-of-Max]]/UnilabUsage[[#This Row],[Usage-Delta-MB]],UnilabUsage[[#This Row],[Free-of-Max]])</f>
        <v>32318</v>
      </c>
    </row>
    <row r="872" spans="1:14" x14ac:dyDescent="0.25">
      <c r="A872" s="3">
        <v>45152</v>
      </c>
      <c r="B872" s="15" t="s">
        <v>7</v>
      </c>
      <c r="C872" s="16">
        <v>95</v>
      </c>
      <c r="D872" s="16">
        <v>2220</v>
      </c>
      <c r="E872" s="16">
        <v>107</v>
      </c>
      <c r="F872" s="16">
        <v>2113</v>
      </c>
      <c r="G872" s="16">
        <v>5</v>
      </c>
      <c r="H872" s="16">
        <v>32768</v>
      </c>
      <c r="I872" s="16">
        <v>6</v>
      </c>
      <c r="J872" s="15" t="s">
        <v>1</v>
      </c>
      <c r="K872" s="15" t="s">
        <v>2</v>
      </c>
      <c r="L872" s="8">
        <f>UnilabUsage[[#This Row],[Used-MB]]-F862</f>
        <v>-1</v>
      </c>
      <c r="M872">
        <f>UnilabUsage[[#This Row],[Max]]-UnilabUsage[[#This Row],[Used-MB]]</f>
        <v>30655</v>
      </c>
      <c r="N872" s="5">
        <f>IF($L872&gt;0,UnilabUsage[[#This Row],[Free-of-Max]]/UnilabUsage[[#This Row],[Usage-Delta-MB]],UnilabUsage[[#This Row],[Free-of-Max]])</f>
        <v>30655</v>
      </c>
    </row>
    <row r="873" spans="1:14" x14ac:dyDescent="0.25">
      <c r="A873" s="3">
        <v>45152</v>
      </c>
      <c r="B873" s="15" t="s">
        <v>0</v>
      </c>
      <c r="C873" s="16">
        <v>100</v>
      </c>
      <c r="D873" s="16">
        <v>22350</v>
      </c>
      <c r="E873" s="16">
        <v>5</v>
      </c>
      <c r="F873" s="16">
        <v>22345</v>
      </c>
      <c r="G873" s="16">
        <v>0</v>
      </c>
      <c r="H873" s="16">
        <v>32768</v>
      </c>
      <c r="I873" s="16">
        <v>68</v>
      </c>
      <c r="J873" s="15" t="s">
        <v>1</v>
      </c>
      <c r="K873" s="15" t="s">
        <v>2</v>
      </c>
      <c r="L873" s="8">
        <f>UnilabUsage[[#This Row],[Used-MB]]-F863</f>
        <v>0</v>
      </c>
      <c r="M873">
        <f>UnilabUsage[[#This Row],[Max]]-UnilabUsage[[#This Row],[Used-MB]]</f>
        <v>10423</v>
      </c>
      <c r="N873" s="5">
        <f>IF($L873&gt;0,UnilabUsage[[#This Row],[Free-of-Max]]/UnilabUsage[[#This Row],[Usage-Delta-MB]],UnilabUsage[[#This Row],[Free-of-Max]])</f>
        <v>10423</v>
      </c>
    </row>
    <row r="874" spans="1:14" x14ac:dyDescent="0.25">
      <c r="A874" s="3">
        <v>45152</v>
      </c>
      <c r="B874" s="15" t="s">
        <v>11</v>
      </c>
      <c r="C874" s="16">
        <v>1</v>
      </c>
      <c r="D874" s="16">
        <v>100</v>
      </c>
      <c r="E874" s="16">
        <v>99</v>
      </c>
      <c r="F874" s="16">
        <v>1</v>
      </c>
      <c r="G874" s="16">
        <v>99</v>
      </c>
      <c r="H874" s="16">
        <v>32768</v>
      </c>
      <c r="I874" s="16">
        <v>0</v>
      </c>
      <c r="J874" s="15" t="s">
        <v>1</v>
      </c>
      <c r="K874" s="15" t="s">
        <v>2</v>
      </c>
      <c r="L874" s="8">
        <f>UnilabUsage[[#This Row],[Used-MB]]-F864</f>
        <v>0</v>
      </c>
      <c r="M874">
        <f>UnilabUsage[[#This Row],[Max]]-UnilabUsage[[#This Row],[Used-MB]]</f>
        <v>32767</v>
      </c>
      <c r="N874" s="5">
        <f>IF($L874&gt;0,UnilabUsage[[#This Row],[Free-of-Max]]/UnilabUsage[[#This Row],[Usage-Delta-MB]],UnilabUsage[[#This Row],[Free-of-Max]])</f>
        <v>32767</v>
      </c>
    </row>
    <row r="875" spans="1:14" x14ac:dyDescent="0.25">
      <c r="A875" s="3">
        <v>45152</v>
      </c>
      <c r="B875" s="15" t="s">
        <v>6</v>
      </c>
      <c r="C875" s="16">
        <v>95</v>
      </c>
      <c r="D875" s="16">
        <v>7595</v>
      </c>
      <c r="E875" s="16">
        <v>371</v>
      </c>
      <c r="F875" s="16">
        <v>7224</v>
      </c>
      <c r="G875" s="16">
        <v>5</v>
      </c>
      <c r="H875" s="16">
        <v>32768</v>
      </c>
      <c r="I875" s="16">
        <v>22</v>
      </c>
      <c r="J875" s="15" t="s">
        <v>1</v>
      </c>
      <c r="K875" s="15" t="s">
        <v>2</v>
      </c>
      <c r="L875" s="8">
        <f>UnilabUsage[[#This Row],[Used-MB]]-F865</f>
        <v>0</v>
      </c>
      <c r="M875">
        <f>UnilabUsage[[#This Row],[Max]]-UnilabUsage[[#This Row],[Used-MB]]</f>
        <v>25544</v>
      </c>
      <c r="N875" s="5">
        <f>IF($L875&gt;0,UnilabUsage[[#This Row],[Free-of-Max]]/UnilabUsage[[#This Row],[Usage-Delta-MB]],UnilabUsage[[#This Row],[Free-of-Max]])</f>
        <v>25544</v>
      </c>
    </row>
    <row r="876" spans="1:14" x14ac:dyDescent="0.25">
      <c r="A876" s="3">
        <v>45152</v>
      </c>
      <c r="B876" s="15" t="s">
        <v>3</v>
      </c>
      <c r="C876" s="16">
        <v>90</v>
      </c>
      <c r="D876" s="16">
        <v>491518</v>
      </c>
      <c r="E876" s="16">
        <v>51045</v>
      </c>
      <c r="F876" s="16">
        <v>440472</v>
      </c>
      <c r="G876" s="16">
        <v>10</v>
      </c>
      <c r="H876" s="16">
        <v>491520</v>
      </c>
      <c r="I876" s="16">
        <v>90</v>
      </c>
      <c r="J876" s="15" t="s">
        <v>1</v>
      </c>
      <c r="K876" s="15" t="s">
        <v>2</v>
      </c>
      <c r="L876" s="8">
        <f>UnilabUsage[[#This Row],[Used-MB]]-F866</f>
        <v>448</v>
      </c>
      <c r="M876">
        <f>UnilabUsage[[#This Row],[Max]]-UnilabUsage[[#This Row],[Used-MB]]</f>
        <v>51048</v>
      </c>
      <c r="N876" s="5">
        <f>IF($L876&gt;0,UnilabUsage[[#This Row],[Free-of-Max]]/UnilabUsage[[#This Row],[Usage-Delta-MB]],UnilabUsage[[#This Row],[Free-of-Max]])</f>
        <v>113.94642857142857</v>
      </c>
    </row>
    <row r="877" spans="1:14" x14ac:dyDescent="0.25">
      <c r="A877" s="3">
        <v>45152</v>
      </c>
      <c r="B877" s="15" t="s">
        <v>5</v>
      </c>
      <c r="C877" s="16">
        <v>96</v>
      </c>
      <c r="D877" s="16">
        <v>23100</v>
      </c>
      <c r="E877" s="16">
        <v>1028</v>
      </c>
      <c r="F877" s="16">
        <v>22072</v>
      </c>
      <c r="G877" s="16">
        <v>4</v>
      </c>
      <c r="H877" s="16">
        <v>32768</v>
      </c>
      <c r="I877" s="16">
        <v>67</v>
      </c>
      <c r="J877" s="15" t="s">
        <v>1</v>
      </c>
      <c r="K877" s="15" t="s">
        <v>2</v>
      </c>
      <c r="L877" s="8">
        <f>UnilabUsage[[#This Row],[Used-MB]]-F867</f>
        <v>10</v>
      </c>
      <c r="M877">
        <f>UnilabUsage[[#This Row],[Max]]-UnilabUsage[[#This Row],[Used-MB]]</f>
        <v>10696</v>
      </c>
      <c r="N877" s="5">
        <f>IF($L877&gt;0,UnilabUsage[[#This Row],[Free-of-Max]]/UnilabUsage[[#This Row],[Usage-Delta-MB]],UnilabUsage[[#This Row],[Free-of-Max]])</f>
        <v>1069.5999999999999</v>
      </c>
    </row>
    <row r="878" spans="1:14" x14ac:dyDescent="0.25">
      <c r="A878" s="3">
        <v>45152</v>
      </c>
      <c r="B878" s="15" t="s">
        <v>8</v>
      </c>
      <c r="C878" s="16">
        <v>88</v>
      </c>
      <c r="D878" s="16">
        <v>327680</v>
      </c>
      <c r="E878" s="16">
        <v>39667</v>
      </c>
      <c r="F878" s="16">
        <v>288013</v>
      </c>
      <c r="G878" s="16">
        <v>12</v>
      </c>
      <c r="H878" s="16">
        <v>327680</v>
      </c>
      <c r="I878" s="16">
        <v>88</v>
      </c>
      <c r="J878" s="15" t="s">
        <v>1</v>
      </c>
      <c r="K878" s="15" t="s">
        <v>2</v>
      </c>
      <c r="L878" s="8">
        <f>UnilabUsage[[#This Row],[Used-MB]]-F868</f>
        <v>248</v>
      </c>
      <c r="M878">
        <f>UnilabUsage[[#This Row],[Max]]-UnilabUsage[[#This Row],[Used-MB]]</f>
        <v>39667</v>
      </c>
      <c r="N878" s="5">
        <f>IF($L878&gt;0,UnilabUsage[[#This Row],[Free-of-Max]]/UnilabUsage[[#This Row],[Usage-Delta-MB]],UnilabUsage[[#This Row],[Free-of-Max]])</f>
        <v>159.94758064516128</v>
      </c>
    </row>
    <row r="879" spans="1:14" x14ac:dyDescent="0.25">
      <c r="A879" s="3">
        <v>45152</v>
      </c>
      <c r="B879" s="15" t="s">
        <v>4</v>
      </c>
      <c r="C879" s="16">
        <v>93</v>
      </c>
      <c r="D879" s="16">
        <v>98260</v>
      </c>
      <c r="E879" s="16">
        <v>7078</v>
      </c>
      <c r="F879" s="16">
        <v>91182</v>
      </c>
      <c r="G879" s="16">
        <v>7</v>
      </c>
      <c r="H879" s="16">
        <v>98304</v>
      </c>
      <c r="I879" s="16">
        <v>93</v>
      </c>
      <c r="J879" s="15" t="s">
        <v>1</v>
      </c>
      <c r="K879" s="15" t="s">
        <v>2</v>
      </c>
      <c r="L879" s="8">
        <f>UnilabUsage[[#This Row],[Used-MB]]-F869</f>
        <v>320</v>
      </c>
      <c r="M879">
        <f>UnilabUsage[[#This Row],[Max]]-UnilabUsage[[#This Row],[Used-MB]]</f>
        <v>7122</v>
      </c>
      <c r="N879" s="5">
        <f>IF($L879&gt;0,UnilabUsage[[#This Row],[Free-of-Max]]/UnilabUsage[[#This Row],[Usage-Delta-MB]],UnilabUsage[[#This Row],[Free-of-Max]])</f>
        <v>22.256250000000001</v>
      </c>
    </row>
    <row r="880" spans="1:14" x14ac:dyDescent="0.25">
      <c r="A880" s="3">
        <v>45152</v>
      </c>
      <c r="B880" s="15" t="s">
        <v>12</v>
      </c>
      <c r="C880" s="16">
        <v>0</v>
      </c>
      <c r="D880" s="16">
        <v>30720</v>
      </c>
      <c r="E880" s="16">
        <v>30671</v>
      </c>
      <c r="F880" s="16">
        <v>49</v>
      </c>
      <c r="G880" s="16">
        <v>100</v>
      </c>
      <c r="H880" s="16">
        <v>30720</v>
      </c>
      <c r="I880" s="16">
        <v>0</v>
      </c>
      <c r="J880" s="15" t="s">
        <v>1</v>
      </c>
      <c r="K880" s="15" t="s">
        <v>13</v>
      </c>
      <c r="L880" s="8">
        <f>UnilabUsage[[#This Row],[Used-MB]]-F870</f>
        <v>-9</v>
      </c>
      <c r="M880">
        <f>UnilabUsage[[#This Row],[Max]]-UnilabUsage[[#This Row],[Used-MB]]</f>
        <v>30671</v>
      </c>
      <c r="N880" s="5">
        <f>IF($L880&gt;0,UnilabUsage[[#This Row],[Free-of-Max]]/UnilabUsage[[#This Row],[Usage-Delta-MB]],UnilabUsage[[#This Row],[Free-of-Max]])</f>
        <v>30671</v>
      </c>
    </row>
    <row r="881" spans="1:14" x14ac:dyDescent="0.25">
      <c r="A881" s="3">
        <v>45152</v>
      </c>
      <c r="B881" s="15" t="s">
        <v>9</v>
      </c>
      <c r="C881" s="16">
        <v>4</v>
      </c>
      <c r="D881" s="16">
        <v>10440</v>
      </c>
      <c r="E881" s="16">
        <v>10019</v>
      </c>
      <c r="F881" s="16">
        <v>421</v>
      </c>
      <c r="G881" s="16">
        <v>96</v>
      </c>
      <c r="H881" s="16">
        <v>32768</v>
      </c>
      <c r="I881" s="16">
        <v>1</v>
      </c>
      <c r="J881" s="15" t="s">
        <v>1</v>
      </c>
      <c r="K881" s="15" t="s">
        <v>10</v>
      </c>
      <c r="L881" s="8">
        <f>UnilabUsage[[#This Row],[Used-MB]]-F871</f>
        <v>-29</v>
      </c>
      <c r="M881">
        <f>UnilabUsage[[#This Row],[Max]]-UnilabUsage[[#This Row],[Used-MB]]</f>
        <v>32347</v>
      </c>
      <c r="N881" s="5">
        <f>IF($L881&gt;0,UnilabUsage[[#This Row],[Free-of-Max]]/UnilabUsage[[#This Row],[Usage-Delta-MB]],UnilabUsage[[#This Row],[Free-of-Max]])</f>
        <v>32347</v>
      </c>
    </row>
    <row r="882" spans="1:14" x14ac:dyDescent="0.25">
      <c r="A882" s="3">
        <v>45159</v>
      </c>
      <c r="B882" s="15" t="s">
        <v>7</v>
      </c>
      <c r="C882" s="16">
        <v>96</v>
      </c>
      <c r="D882" s="16">
        <v>2220</v>
      </c>
      <c r="E882" s="16">
        <v>100</v>
      </c>
      <c r="F882" s="16">
        <v>2120</v>
      </c>
      <c r="G882" s="16">
        <v>4</v>
      </c>
      <c r="H882" s="16">
        <v>32768</v>
      </c>
      <c r="I882" s="16">
        <v>6</v>
      </c>
      <c r="J882" s="15" t="s">
        <v>1</v>
      </c>
      <c r="K882" s="15" t="s">
        <v>2</v>
      </c>
      <c r="L882" s="8">
        <f>UnilabUsage[[#This Row],[Used-MB]]-F872</f>
        <v>7</v>
      </c>
      <c r="M882">
        <f>UnilabUsage[[#This Row],[Max]]-UnilabUsage[[#This Row],[Used-MB]]</f>
        <v>30648</v>
      </c>
      <c r="N882" s="5">
        <f>IF($L882&gt;0,UnilabUsage[[#This Row],[Free-of-Max]]/UnilabUsage[[#This Row],[Usage-Delta-MB]],UnilabUsage[[#This Row],[Free-of-Max]])</f>
        <v>4378.2857142857147</v>
      </c>
    </row>
    <row r="883" spans="1:14" x14ac:dyDescent="0.25">
      <c r="A883" s="3">
        <v>45159</v>
      </c>
      <c r="B883" s="15" t="s">
        <v>0</v>
      </c>
      <c r="C883" s="16">
        <v>100</v>
      </c>
      <c r="D883" s="16">
        <v>22450</v>
      </c>
      <c r="E883" s="16">
        <v>41</v>
      </c>
      <c r="F883" s="16">
        <v>22409</v>
      </c>
      <c r="G883" s="16">
        <v>0</v>
      </c>
      <c r="H883" s="16">
        <v>32768</v>
      </c>
      <c r="I883" s="16">
        <v>68</v>
      </c>
      <c r="J883" s="15" t="s">
        <v>1</v>
      </c>
      <c r="K883" s="15" t="s">
        <v>2</v>
      </c>
      <c r="L883" s="8">
        <f>UnilabUsage[[#This Row],[Used-MB]]-F873</f>
        <v>64</v>
      </c>
      <c r="M883">
        <f>UnilabUsage[[#This Row],[Max]]-UnilabUsage[[#This Row],[Used-MB]]</f>
        <v>10359</v>
      </c>
      <c r="N883" s="5">
        <f>IF($L883&gt;0,UnilabUsage[[#This Row],[Free-of-Max]]/UnilabUsage[[#This Row],[Usage-Delta-MB]],UnilabUsage[[#This Row],[Free-of-Max]])</f>
        <v>161.859375</v>
      </c>
    </row>
    <row r="884" spans="1:14" x14ac:dyDescent="0.25">
      <c r="A884" s="3">
        <v>45159</v>
      </c>
      <c r="B884" s="15" t="s">
        <v>11</v>
      </c>
      <c r="C884" s="16">
        <v>1</v>
      </c>
      <c r="D884" s="16">
        <v>100</v>
      </c>
      <c r="E884" s="16">
        <v>99</v>
      </c>
      <c r="F884" s="16">
        <v>1</v>
      </c>
      <c r="G884" s="16">
        <v>99</v>
      </c>
      <c r="H884" s="16">
        <v>32768</v>
      </c>
      <c r="I884" s="16">
        <v>0</v>
      </c>
      <c r="J884" s="15" t="s">
        <v>1</v>
      </c>
      <c r="K884" s="15" t="s">
        <v>2</v>
      </c>
      <c r="L884" s="8">
        <f>UnilabUsage[[#This Row],[Used-MB]]-F874</f>
        <v>0</v>
      </c>
      <c r="M884">
        <f>UnilabUsage[[#This Row],[Max]]-UnilabUsage[[#This Row],[Used-MB]]</f>
        <v>32767</v>
      </c>
      <c r="N884" s="5">
        <f>IF($L884&gt;0,UnilabUsage[[#This Row],[Free-of-Max]]/UnilabUsage[[#This Row],[Usage-Delta-MB]],UnilabUsage[[#This Row],[Free-of-Max]])</f>
        <v>32767</v>
      </c>
    </row>
    <row r="885" spans="1:14" x14ac:dyDescent="0.25">
      <c r="A885" s="3">
        <v>45159</v>
      </c>
      <c r="B885" s="15" t="s">
        <v>6</v>
      </c>
      <c r="C885" s="16">
        <v>95</v>
      </c>
      <c r="D885" s="16">
        <v>7605</v>
      </c>
      <c r="E885" s="16">
        <v>371</v>
      </c>
      <c r="F885" s="16">
        <v>7234</v>
      </c>
      <c r="G885" s="16">
        <v>5</v>
      </c>
      <c r="H885" s="16">
        <v>32768</v>
      </c>
      <c r="I885" s="16">
        <v>22</v>
      </c>
      <c r="J885" s="15" t="s">
        <v>1</v>
      </c>
      <c r="K885" s="15" t="s">
        <v>2</v>
      </c>
      <c r="L885" s="8">
        <f>UnilabUsage[[#This Row],[Used-MB]]-F875</f>
        <v>10</v>
      </c>
      <c r="M885">
        <f>UnilabUsage[[#This Row],[Max]]-UnilabUsage[[#This Row],[Used-MB]]</f>
        <v>25534</v>
      </c>
      <c r="N885" s="5">
        <f>IF($L885&gt;0,UnilabUsage[[#This Row],[Free-of-Max]]/UnilabUsage[[#This Row],[Usage-Delta-MB]],UnilabUsage[[#This Row],[Free-of-Max]])</f>
        <v>2553.4</v>
      </c>
    </row>
    <row r="886" spans="1:14" x14ac:dyDescent="0.25">
      <c r="A886" s="3">
        <v>45159</v>
      </c>
      <c r="B886" s="15" t="s">
        <v>3</v>
      </c>
      <c r="C886" s="16">
        <v>90</v>
      </c>
      <c r="D886" s="16">
        <v>491518</v>
      </c>
      <c r="E886" s="16">
        <v>50813</v>
      </c>
      <c r="F886" s="16">
        <v>440704</v>
      </c>
      <c r="G886" s="16">
        <v>10</v>
      </c>
      <c r="H886" s="16">
        <v>491520</v>
      </c>
      <c r="I886" s="16">
        <v>90</v>
      </c>
      <c r="J886" s="15" t="s">
        <v>1</v>
      </c>
      <c r="K886" s="15" t="s">
        <v>2</v>
      </c>
      <c r="L886" s="8">
        <f>UnilabUsage[[#This Row],[Used-MB]]-F876</f>
        <v>232</v>
      </c>
      <c r="M886">
        <f>UnilabUsage[[#This Row],[Max]]-UnilabUsage[[#This Row],[Used-MB]]</f>
        <v>50816</v>
      </c>
      <c r="N886" s="5">
        <f>IF($L886&gt;0,UnilabUsage[[#This Row],[Free-of-Max]]/UnilabUsage[[#This Row],[Usage-Delta-MB]],UnilabUsage[[#This Row],[Free-of-Max]])</f>
        <v>219.0344827586207</v>
      </c>
    </row>
    <row r="887" spans="1:14" x14ac:dyDescent="0.25">
      <c r="A887" s="3">
        <v>45159</v>
      </c>
      <c r="B887" s="15" t="s">
        <v>5</v>
      </c>
      <c r="C887" s="16">
        <v>95</v>
      </c>
      <c r="D887" s="16">
        <v>23200</v>
      </c>
      <c r="E887" s="16">
        <v>1119</v>
      </c>
      <c r="F887" s="16">
        <v>22081</v>
      </c>
      <c r="G887" s="16">
        <v>5</v>
      </c>
      <c r="H887" s="16">
        <v>32768</v>
      </c>
      <c r="I887" s="16">
        <v>67</v>
      </c>
      <c r="J887" s="15" t="s">
        <v>1</v>
      </c>
      <c r="K887" s="15" t="s">
        <v>2</v>
      </c>
      <c r="L887" s="8">
        <f>UnilabUsage[[#This Row],[Used-MB]]-F877</f>
        <v>9</v>
      </c>
      <c r="M887">
        <f>UnilabUsage[[#This Row],[Max]]-UnilabUsage[[#This Row],[Used-MB]]</f>
        <v>10687</v>
      </c>
      <c r="N887" s="5">
        <f>IF($L887&gt;0,UnilabUsage[[#This Row],[Free-of-Max]]/UnilabUsage[[#This Row],[Usage-Delta-MB]],UnilabUsage[[#This Row],[Free-of-Max]])</f>
        <v>1187.4444444444443</v>
      </c>
    </row>
    <row r="888" spans="1:14" x14ac:dyDescent="0.25">
      <c r="A888" s="3">
        <v>45159</v>
      </c>
      <c r="B888" s="15" t="s">
        <v>8</v>
      </c>
      <c r="C888" s="16">
        <v>88</v>
      </c>
      <c r="D888" s="16">
        <v>327680</v>
      </c>
      <c r="E888" s="16">
        <v>39446</v>
      </c>
      <c r="F888" s="16">
        <v>288234</v>
      </c>
      <c r="G888" s="16">
        <v>12</v>
      </c>
      <c r="H888" s="16">
        <v>327680</v>
      </c>
      <c r="I888" s="16">
        <v>88</v>
      </c>
      <c r="J888" s="15" t="s">
        <v>1</v>
      </c>
      <c r="K888" s="15" t="s">
        <v>2</v>
      </c>
      <c r="L888" s="8">
        <f>UnilabUsage[[#This Row],[Used-MB]]-F878</f>
        <v>221</v>
      </c>
      <c r="M888">
        <f>UnilabUsage[[#This Row],[Max]]-UnilabUsage[[#This Row],[Used-MB]]</f>
        <v>39446</v>
      </c>
      <c r="N888" s="5">
        <f>IF($L888&gt;0,UnilabUsage[[#This Row],[Free-of-Max]]/UnilabUsage[[#This Row],[Usage-Delta-MB]],UnilabUsage[[#This Row],[Free-of-Max]])</f>
        <v>178.48868778280544</v>
      </c>
    </row>
    <row r="889" spans="1:14" x14ac:dyDescent="0.25">
      <c r="A889" s="3">
        <v>45159</v>
      </c>
      <c r="B889" s="15" t="s">
        <v>4</v>
      </c>
      <c r="C889" s="16">
        <v>93</v>
      </c>
      <c r="D889" s="16">
        <v>98260</v>
      </c>
      <c r="E889" s="16">
        <v>6821</v>
      </c>
      <c r="F889" s="16">
        <v>91439</v>
      </c>
      <c r="G889" s="16">
        <v>7</v>
      </c>
      <c r="H889" s="16">
        <v>98304</v>
      </c>
      <c r="I889" s="16">
        <v>93</v>
      </c>
      <c r="J889" s="15" t="s">
        <v>1</v>
      </c>
      <c r="K889" s="15" t="s">
        <v>2</v>
      </c>
      <c r="L889" s="8">
        <f>UnilabUsage[[#This Row],[Used-MB]]-F879</f>
        <v>257</v>
      </c>
      <c r="M889">
        <f>UnilabUsage[[#This Row],[Max]]-UnilabUsage[[#This Row],[Used-MB]]</f>
        <v>6865</v>
      </c>
      <c r="N889" s="5">
        <f>IF($L889&gt;0,UnilabUsage[[#This Row],[Free-of-Max]]/UnilabUsage[[#This Row],[Usage-Delta-MB]],UnilabUsage[[#This Row],[Free-of-Max]])</f>
        <v>26.71206225680934</v>
      </c>
    </row>
    <row r="890" spans="1:14" x14ac:dyDescent="0.25">
      <c r="A890" s="3">
        <v>45159</v>
      </c>
      <c r="B890" s="15" t="s">
        <v>12</v>
      </c>
      <c r="C890" s="16">
        <v>0</v>
      </c>
      <c r="D890" s="16">
        <v>30720</v>
      </c>
      <c r="E890" s="16">
        <v>30698</v>
      </c>
      <c r="F890" s="16">
        <v>22</v>
      </c>
      <c r="G890" s="16">
        <v>100</v>
      </c>
      <c r="H890" s="16">
        <v>30720</v>
      </c>
      <c r="I890" s="16">
        <v>0</v>
      </c>
      <c r="J890" s="15" t="s">
        <v>1</v>
      </c>
      <c r="K890" s="15" t="s">
        <v>13</v>
      </c>
      <c r="L890" s="8">
        <f>UnilabUsage[[#This Row],[Used-MB]]-F880</f>
        <v>-27</v>
      </c>
      <c r="M890">
        <f>UnilabUsage[[#This Row],[Max]]-UnilabUsage[[#This Row],[Used-MB]]</f>
        <v>30698</v>
      </c>
      <c r="N890" s="5">
        <f>IF($L890&gt;0,UnilabUsage[[#This Row],[Free-of-Max]]/UnilabUsage[[#This Row],[Usage-Delta-MB]],UnilabUsage[[#This Row],[Free-of-Max]])</f>
        <v>30698</v>
      </c>
    </row>
    <row r="891" spans="1:14" x14ac:dyDescent="0.25">
      <c r="A891" s="3">
        <v>45159</v>
      </c>
      <c r="B891" s="15" t="s">
        <v>9</v>
      </c>
      <c r="C891" s="16">
        <v>4</v>
      </c>
      <c r="D891" s="16">
        <v>10440</v>
      </c>
      <c r="E891" s="16">
        <v>10012</v>
      </c>
      <c r="F891" s="16">
        <v>428</v>
      </c>
      <c r="G891" s="16">
        <v>96</v>
      </c>
      <c r="H891" s="16">
        <v>32768</v>
      </c>
      <c r="I891" s="16">
        <v>1</v>
      </c>
      <c r="J891" s="15" t="s">
        <v>1</v>
      </c>
      <c r="K891" s="15" t="s">
        <v>10</v>
      </c>
      <c r="L891" s="8">
        <f>UnilabUsage[[#This Row],[Used-MB]]-F881</f>
        <v>7</v>
      </c>
      <c r="M891">
        <f>UnilabUsage[[#This Row],[Max]]-UnilabUsage[[#This Row],[Used-MB]]</f>
        <v>32340</v>
      </c>
      <c r="N891" s="5">
        <f>IF($L891&gt;0,UnilabUsage[[#This Row],[Free-of-Max]]/UnilabUsage[[#This Row],[Usage-Delta-MB]],UnilabUsage[[#This Row],[Free-of-Max]])</f>
        <v>4620</v>
      </c>
    </row>
    <row r="892" spans="1:14" x14ac:dyDescent="0.25">
      <c r="A892" s="3">
        <v>45166</v>
      </c>
      <c r="B892" s="15" t="s">
        <v>7</v>
      </c>
      <c r="C892" s="16">
        <v>95</v>
      </c>
      <c r="D892" s="16">
        <v>2240</v>
      </c>
      <c r="E892" s="16">
        <v>112</v>
      </c>
      <c r="F892" s="16">
        <v>2128</v>
      </c>
      <c r="G892" s="16">
        <v>5</v>
      </c>
      <c r="H892" s="16">
        <v>32768</v>
      </c>
      <c r="I892" s="16">
        <v>6</v>
      </c>
      <c r="J892" s="15" t="s">
        <v>1</v>
      </c>
      <c r="K892" s="15" t="s">
        <v>2</v>
      </c>
      <c r="L892" s="8">
        <f>UnilabUsage[[#This Row],[Used-MB]]-F882</f>
        <v>8</v>
      </c>
      <c r="M892">
        <f>UnilabUsage[[#This Row],[Max]]-UnilabUsage[[#This Row],[Used-MB]]</f>
        <v>30640</v>
      </c>
      <c r="N892" s="5">
        <f>IF($L892&gt;0,UnilabUsage[[#This Row],[Free-of-Max]]/UnilabUsage[[#This Row],[Usage-Delta-MB]],UnilabUsage[[#This Row],[Free-of-Max]])</f>
        <v>3830</v>
      </c>
    </row>
    <row r="893" spans="1:14" x14ac:dyDescent="0.25">
      <c r="A893" s="3">
        <v>45166</v>
      </c>
      <c r="B893" s="15" t="s">
        <v>0</v>
      </c>
      <c r="C893" s="16">
        <v>100</v>
      </c>
      <c r="D893" s="16">
        <v>22550</v>
      </c>
      <c r="E893" s="16">
        <v>77</v>
      </c>
      <c r="F893" s="16">
        <v>22473</v>
      </c>
      <c r="G893" s="16">
        <v>0</v>
      </c>
      <c r="H893" s="16">
        <v>32768</v>
      </c>
      <c r="I893" s="16">
        <v>69</v>
      </c>
      <c r="J893" s="15" t="s">
        <v>1</v>
      </c>
      <c r="K893" s="15" t="s">
        <v>2</v>
      </c>
      <c r="L893" s="8">
        <f>UnilabUsage[[#This Row],[Used-MB]]-F883</f>
        <v>64</v>
      </c>
      <c r="M893">
        <f>UnilabUsage[[#This Row],[Max]]-UnilabUsage[[#This Row],[Used-MB]]</f>
        <v>10295</v>
      </c>
      <c r="N893" s="5">
        <f>IF($L893&gt;0,UnilabUsage[[#This Row],[Free-of-Max]]/UnilabUsage[[#This Row],[Usage-Delta-MB]],UnilabUsage[[#This Row],[Free-of-Max]])</f>
        <v>160.859375</v>
      </c>
    </row>
    <row r="894" spans="1:14" x14ac:dyDescent="0.25">
      <c r="A894" s="3">
        <v>45166</v>
      </c>
      <c r="B894" s="15" t="s">
        <v>11</v>
      </c>
      <c r="C894" s="16">
        <v>1</v>
      </c>
      <c r="D894" s="16">
        <v>100</v>
      </c>
      <c r="E894" s="16">
        <v>99</v>
      </c>
      <c r="F894" s="16">
        <v>1</v>
      </c>
      <c r="G894" s="16">
        <v>99</v>
      </c>
      <c r="H894" s="16">
        <v>32768</v>
      </c>
      <c r="I894" s="16">
        <v>0</v>
      </c>
      <c r="J894" s="15" t="s">
        <v>1</v>
      </c>
      <c r="K894" s="15" t="s">
        <v>2</v>
      </c>
      <c r="L894" s="8">
        <f>UnilabUsage[[#This Row],[Used-MB]]-F884</f>
        <v>0</v>
      </c>
      <c r="M894">
        <f>UnilabUsage[[#This Row],[Max]]-UnilabUsage[[#This Row],[Used-MB]]</f>
        <v>32767</v>
      </c>
      <c r="N894" s="5">
        <f>IF($L894&gt;0,UnilabUsage[[#This Row],[Free-of-Max]]/UnilabUsage[[#This Row],[Usage-Delta-MB]],UnilabUsage[[#This Row],[Free-of-Max]])</f>
        <v>32767</v>
      </c>
    </row>
    <row r="895" spans="1:14" x14ac:dyDescent="0.25">
      <c r="A895" s="3">
        <v>45166</v>
      </c>
      <c r="B895" s="15" t="s">
        <v>6</v>
      </c>
      <c r="C895" s="16">
        <v>95</v>
      </c>
      <c r="D895" s="16">
        <v>7605</v>
      </c>
      <c r="E895" s="16">
        <v>363</v>
      </c>
      <c r="F895" s="16">
        <v>7242</v>
      </c>
      <c r="G895" s="16">
        <v>5</v>
      </c>
      <c r="H895" s="16">
        <v>32768</v>
      </c>
      <c r="I895" s="16">
        <v>22</v>
      </c>
      <c r="J895" s="15" t="s">
        <v>1</v>
      </c>
      <c r="K895" s="15" t="s">
        <v>2</v>
      </c>
      <c r="L895" s="8">
        <f>UnilabUsage[[#This Row],[Used-MB]]-F885</f>
        <v>8</v>
      </c>
      <c r="M895">
        <f>UnilabUsage[[#This Row],[Max]]-UnilabUsage[[#This Row],[Used-MB]]</f>
        <v>25526</v>
      </c>
      <c r="N895" s="5">
        <f>IF($L895&gt;0,UnilabUsage[[#This Row],[Free-of-Max]]/UnilabUsage[[#This Row],[Usage-Delta-MB]],UnilabUsage[[#This Row],[Free-of-Max]])</f>
        <v>3190.75</v>
      </c>
    </row>
    <row r="896" spans="1:14" x14ac:dyDescent="0.25">
      <c r="A896" s="3">
        <v>45166</v>
      </c>
      <c r="B896" s="15" t="s">
        <v>3</v>
      </c>
      <c r="C896" s="16">
        <v>90</v>
      </c>
      <c r="D896" s="16">
        <v>491518</v>
      </c>
      <c r="E896" s="16">
        <v>50484</v>
      </c>
      <c r="F896" s="16">
        <v>441033</v>
      </c>
      <c r="G896" s="16">
        <v>10</v>
      </c>
      <c r="H896" s="16">
        <v>491520</v>
      </c>
      <c r="I896" s="16">
        <v>90</v>
      </c>
      <c r="J896" s="15" t="s">
        <v>1</v>
      </c>
      <c r="K896" s="15" t="s">
        <v>2</v>
      </c>
      <c r="L896" s="8">
        <f>UnilabUsage[[#This Row],[Used-MB]]-F886</f>
        <v>329</v>
      </c>
      <c r="M896">
        <f>UnilabUsage[[#This Row],[Max]]-UnilabUsage[[#This Row],[Used-MB]]</f>
        <v>50487</v>
      </c>
      <c r="N896" s="5">
        <f>IF($L896&gt;0,UnilabUsage[[#This Row],[Free-of-Max]]/UnilabUsage[[#This Row],[Usage-Delta-MB]],UnilabUsage[[#This Row],[Free-of-Max]])</f>
        <v>153.45592705167172</v>
      </c>
    </row>
    <row r="897" spans="1:14" x14ac:dyDescent="0.25">
      <c r="A897" s="3">
        <v>45166</v>
      </c>
      <c r="B897" s="15" t="s">
        <v>5</v>
      </c>
      <c r="C897" s="16">
        <v>95</v>
      </c>
      <c r="D897" s="16">
        <v>23200</v>
      </c>
      <c r="E897" s="16">
        <v>1117</v>
      </c>
      <c r="F897" s="16">
        <v>22083</v>
      </c>
      <c r="G897" s="16">
        <v>5</v>
      </c>
      <c r="H897" s="16">
        <v>32768</v>
      </c>
      <c r="I897" s="16">
        <v>67</v>
      </c>
      <c r="J897" s="15" t="s">
        <v>1</v>
      </c>
      <c r="K897" s="15" t="s">
        <v>2</v>
      </c>
      <c r="L897" s="8">
        <f>UnilabUsage[[#This Row],[Used-MB]]-F887</f>
        <v>2</v>
      </c>
      <c r="M897">
        <f>UnilabUsage[[#This Row],[Max]]-UnilabUsage[[#This Row],[Used-MB]]</f>
        <v>10685</v>
      </c>
      <c r="N897" s="5">
        <f>IF($L897&gt;0,UnilabUsage[[#This Row],[Free-of-Max]]/UnilabUsage[[#This Row],[Usage-Delta-MB]],UnilabUsage[[#This Row],[Free-of-Max]])</f>
        <v>5342.5</v>
      </c>
    </row>
    <row r="898" spans="1:14" x14ac:dyDescent="0.25">
      <c r="A898" s="3">
        <v>45166</v>
      </c>
      <c r="B898" s="15" t="s">
        <v>8</v>
      </c>
      <c r="C898" s="16">
        <v>88</v>
      </c>
      <c r="D898" s="16">
        <v>327680</v>
      </c>
      <c r="E898" s="16">
        <v>39057</v>
      </c>
      <c r="F898" s="16">
        <v>288623</v>
      </c>
      <c r="G898" s="16">
        <v>12</v>
      </c>
      <c r="H898" s="16">
        <v>327680</v>
      </c>
      <c r="I898" s="16">
        <v>88</v>
      </c>
      <c r="J898" s="15" t="s">
        <v>1</v>
      </c>
      <c r="K898" s="15" t="s">
        <v>2</v>
      </c>
      <c r="L898" s="8">
        <f>UnilabUsage[[#This Row],[Used-MB]]-F888</f>
        <v>389</v>
      </c>
      <c r="M898">
        <f>UnilabUsage[[#This Row],[Max]]-UnilabUsage[[#This Row],[Used-MB]]</f>
        <v>39057</v>
      </c>
      <c r="N898" s="5">
        <f>IF($L898&gt;0,UnilabUsage[[#This Row],[Free-of-Max]]/UnilabUsage[[#This Row],[Usage-Delta-MB]],UnilabUsage[[#This Row],[Free-of-Max]])</f>
        <v>100.40359897172236</v>
      </c>
    </row>
    <row r="899" spans="1:14" x14ac:dyDescent="0.25">
      <c r="A899" s="3">
        <v>45166</v>
      </c>
      <c r="B899" s="15" t="s">
        <v>4</v>
      </c>
      <c r="C899" s="16">
        <v>94</v>
      </c>
      <c r="D899" s="16">
        <v>98260</v>
      </c>
      <c r="E899" s="16">
        <v>6373</v>
      </c>
      <c r="F899" s="16">
        <v>91887</v>
      </c>
      <c r="G899" s="16">
        <v>6</v>
      </c>
      <c r="H899" s="16">
        <v>98304</v>
      </c>
      <c r="I899" s="16">
        <v>93</v>
      </c>
      <c r="J899" s="15" t="s">
        <v>1</v>
      </c>
      <c r="K899" s="15" t="s">
        <v>2</v>
      </c>
      <c r="L899" s="8">
        <f>UnilabUsage[[#This Row],[Used-MB]]-F889</f>
        <v>448</v>
      </c>
      <c r="M899">
        <f>UnilabUsage[[#This Row],[Max]]-UnilabUsage[[#This Row],[Used-MB]]</f>
        <v>6417</v>
      </c>
      <c r="N899" s="5">
        <f>IF($L899&gt;0,UnilabUsage[[#This Row],[Free-of-Max]]/UnilabUsage[[#This Row],[Usage-Delta-MB]],UnilabUsage[[#This Row],[Free-of-Max]])</f>
        <v>14.323660714285714</v>
      </c>
    </row>
    <row r="900" spans="1:14" x14ac:dyDescent="0.25">
      <c r="A900" s="3">
        <v>45166</v>
      </c>
      <c r="B900" s="15" t="s">
        <v>12</v>
      </c>
      <c r="C900" s="16">
        <v>0</v>
      </c>
      <c r="D900" s="16">
        <v>30720</v>
      </c>
      <c r="E900" s="16">
        <v>30660</v>
      </c>
      <c r="F900" s="16">
        <v>60</v>
      </c>
      <c r="G900" s="16">
        <v>100</v>
      </c>
      <c r="H900" s="16">
        <v>30720</v>
      </c>
      <c r="I900" s="16">
        <v>0</v>
      </c>
      <c r="J900" s="15" t="s">
        <v>1</v>
      </c>
      <c r="K900" s="15" t="s">
        <v>13</v>
      </c>
      <c r="L900" s="8">
        <f>UnilabUsage[[#This Row],[Used-MB]]-F890</f>
        <v>38</v>
      </c>
      <c r="M900">
        <f>UnilabUsage[[#This Row],[Max]]-UnilabUsage[[#This Row],[Used-MB]]</f>
        <v>30660</v>
      </c>
      <c r="N900" s="5">
        <f>IF($L900&gt;0,UnilabUsage[[#This Row],[Free-of-Max]]/UnilabUsage[[#This Row],[Usage-Delta-MB]],UnilabUsage[[#This Row],[Free-of-Max]])</f>
        <v>806.84210526315792</v>
      </c>
    </row>
    <row r="901" spans="1:14" x14ac:dyDescent="0.25">
      <c r="A901" s="3">
        <v>45166</v>
      </c>
      <c r="B901" s="15" t="s">
        <v>9</v>
      </c>
      <c r="C901" s="16">
        <v>3</v>
      </c>
      <c r="D901" s="16">
        <v>10440</v>
      </c>
      <c r="E901" s="16">
        <v>10091</v>
      </c>
      <c r="F901" s="16">
        <v>349</v>
      </c>
      <c r="G901" s="16">
        <v>97</v>
      </c>
      <c r="H901" s="16">
        <v>32768</v>
      </c>
      <c r="I901" s="16">
        <v>1</v>
      </c>
      <c r="J901" s="15" t="s">
        <v>1</v>
      </c>
      <c r="K901" s="15" t="s">
        <v>10</v>
      </c>
      <c r="L901" s="8">
        <f>UnilabUsage[[#This Row],[Used-MB]]-F891</f>
        <v>-79</v>
      </c>
      <c r="M901">
        <f>UnilabUsage[[#This Row],[Max]]-UnilabUsage[[#This Row],[Used-MB]]</f>
        <v>32419</v>
      </c>
      <c r="N901" s="5">
        <f>IF($L901&gt;0,UnilabUsage[[#This Row],[Free-of-Max]]/UnilabUsage[[#This Row],[Usage-Delta-MB]],UnilabUsage[[#This Row],[Free-of-Max]])</f>
        <v>32419</v>
      </c>
    </row>
    <row r="902" spans="1:14" x14ac:dyDescent="0.25">
      <c r="A902" s="3">
        <v>45173</v>
      </c>
      <c r="B902" s="15" t="s">
        <v>7</v>
      </c>
      <c r="C902" s="16">
        <v>95</v>
      </c>
      <c r="D902" s="16">
        <v>2240</v>
      </c>
      <c r="E902" s="16">
        <v>103</v>
      </c>
      <c r="F902" s="16">
        <v>2137</v>
      </c>
      <c r="G902" s="16">
        <v>5</v>
      </c>
      <c r="H902" s="16">
        <v>32768</v>
      </c>
      <c r="I902" s="16">
        <v>7</v>
      </c>
      <c r="J902" s="15" t="s">
        <v>1</v>
      </c>
      <c r="K902" s="15" t="s">
        <v>2</v>
      </c>
      <c r="L902" s="8">
        <f>UnilabUsage[[#This Row],[Used-MB]]-F892</f>
        <v>9</v>
      </c>
      <c r="M902">
        <f>UnilabUsage[[#This Row],[Max]]-UnilabUsage[[#This Row],[Used-MB]]</f>
        <v>30631</v>
      </c>
      <c r="N902" s="5">
        <f>IF($L902&gt;0,UnilabUsage[[#This Row],[Free-of-Max]]/UnilabUsage[[#This Row],[Usage-Delta-MB]],UnilabUsage[[#This Row],[Free-of-Max]])</f>
        <v>3403.4444444444443</v>
      </c>
    </row>
    <row r="903" spans="1:14" x14ac:dyDescent="0.25">
      <c r="A903" s="3">
        <v>45173</v>
      </c>
      <c r="B903" s="15" t="s">
        <v>0</v>
      </c>
      <c r="C903" s="16">
        <v>100</v>
      </c>
      <c r="D903" s="16">
        <v>22550</v>
      </c>
      <c r="E903" s="16">
        <v>11</v>
      </c>
      <c r="F903" s="16">
        <v>22539</v>
      </c>
      <c r="G903" s="16">
        <v>0</v>
      </c>
      <c r="H903" s="16">
        <v>32768</v>
      </c>
      <c r="I903" s="16">
        <v>69</v>
      </c>
      <c r="J903" s="15" t="s">
        <v>1</v>
      </c>
      <c r="K903" s="15" t="s">
        <v>2</v>
      </c>
      <c r="L903" s="8">
        <f>UnilabUsage[[#This Row],[Used-MB]]-F893</f>
        <v>66</v>
      </c>
      <c r="M903">
        <f>UnilabUsage[[#This Row],[Max]]-UnilabUsage[[#This Row],[Used-MB]]</f>
        <v>10229</v>
      </c>
      <c r="N903" s="5">
        <f>IF($L903&gt;0,UnilabUsage[[#This Row],[Free-of-Max]]/UnilabUsage[[#This Row],[Usage-Delta-MB]],UnilabUsage[[#This Row],[Free-of-Max]])</f>
        <v>154.9848484848485</v>
      </c>
    </row>
    <row r="904" spans="1:14" x14ac:dyDescent="0.25">
      <c r="A904" s="3">
        <v>45173</v>
      </c>
      <c r="B904" s="15" t="s">
        <v>11</v>
      </c>
      <c r="C904" s="16">
        <v>1</v>
      </c>
      <c r="D904" s="16">
        <v>100</v>
      </c>
      <c r="E904" s="16">
        <v>99</v>
      </c>
      <c r="F904" s="16">
        <v>1</v>
      </c>
      <c r="G904" s="16">
        <v>99</v>
      </c>
      <c r="H904" s="16">
        <v>32768</v>
      </c>
      <c r="I904" s="16">
        <v>0</v>
      </c>
      <c r="J904" s="15" t="s">
        <v>1</v>
      </c>
      <c r="K904" s="15" t="s">
        <v>2</v>
      </c>
      <c r="L904" s="8">
        <f>UnilabUsage[[#This Row],[Used-MB]]-F894</f>
        <v>0</v>
      </c>
      <c r="M904">
        <f>UnilabUsage[[#This Row],[Max]]-UnilabUsage[[#This Row],[Used-MB]]</f>
        <v>32767</v>
      </c>
      <c r="N904" s="5">
        <f>IF($L904&gt;0,UnilabUsage[[#This Row],[Free-of-Max]]/UnilabUsage[[#This Row],[Usage-Delta-MB]],UnilabUsage[[#This Row],[Free-of-Max]])</f>
        <v>32767</v>
      </c>
    </row>
    <row r="905" spans="1:14" x14ac:dyDescent="0.25">
      <c r="A905" s="3">
        <v>45173</v>
      </c>
      <c r="B905" s="15" t="s">
        <v>6</v>
      </c>
      <c r="C905" s="16">
        <v>95</v>
      </c>
      <c r="D905" s="16">
        <v>7615</v>
      </c>
      <c r="E905" s="16">
        <v>372</v>
      </c>
      <c r="F905" s="16">
        <v>7243</v>
      </c>
      <c r="G905" s="16">
        <v>5</v>
      </c>
      <c r="H905" s="16">
        <v>32768</v>
      </c>
      <c r="I905" s="16">
        <v>22</v>
      </c>
      <c r="J905" s="15" t="s">
        <v>1</v>
      </c>
      <c r="K905" s="15" t="s">
        <v>2</v>
      </c>
      <c r="L905" s="8">
        <f>UnilabUsage[[#This Row],[Used-MB]]-F895</f>
        <v>1</v>
      </c>
      <c r="M905">
        <f>UnilabUsage[[#This Row],[Max]]-UnilabUsage[[#This Row],[Used-MB]]</f>
        <v>25525</v>
      </c>
      <c r="N905" s="5">
        <f>IF($L905&gt;0,UnilabUsage[[#This Row],[Free-of-Max]]/UnilabUsage[[#This Row],[Usage-Delta-MB]],UnilabUsage[[#This Row],[Free-of-Max]])</f>
        <v>25525</v>
      </c>
    </row>
    <row r="906" spans="1:14" x14ac:dyDescent="0.25">
      <c r="A906" s="3">
        <v>45173</v>
      </c>
      <c r="B906" s="15" t="s">
        <v>3</v>
      </c>
      <c r="C906" s="16">
        <v>90</v>
      </c>
      <c r="D906" s="16">
        <v>491518</v>
      </c>
      <c r="E906" s="16">
        <v>50266</v>
      </c>
      <c r="F906" s="16">
        <v>441252</v>
      </c>
      <c r="G906" s="16">
        <v>10</v>
      </c>
      <c r="H906" s="16">
        <v>491520</v>
      </c>
      <c r="I906" s="16">
        <v>90</v>
      </c>
      <c r="J906" s="15" t="s">
        <v>1</v>
      </c>
      <c r="K906" s="15" t="s">
        <v>2</v>
      </c>
      <c r="L906" s="8">
        <f>UnilabUsage[[#This Row],[Used-MB]]-F896</f>
        <v>219</v>
      </c>
      <c r="M906">
        <f>UnilabUsage[[#This Row],[Max]]-UnilabUsage[[#This Row],[Used-MB]]</f>
        <v>50268</v>
      </c>
      <c r="N906" s="5">
        <f>IF($L906&gt;0,UnilabUsage[[#This Row],[Free-of-Max]]/UnilabUsage[[#This Row],[Usage-Delta-MB]],UnilabUsage[[#This Row],[Free-of-Max]])</f>
        <v>229.53424657534248</v>
      </c>
    </row>
    <row r="907" spans="1:14" x14ac:dyDescent="0.25">
      <c r="A907" s="3">
        <v>45173</v>
      </c>
      <c r="B907" s="15" t="s">
        <v>5</v>
      </c>
      <c r="C907" s="16">
        <v>96</v>
      </c>
      <c r="D907" s="16">
        <v>23200</v>
      </c>
      <c r="E907" s="16">
        <v>1037</v>
      </c>
      <c r="F907" s="16">
        <v>22164</v>
      </c>
      <c r="G907" s="16">
        <v>4</v>
      </c>
      <c r="H907" s="16">
        <v>32768</v>
      </c>
      <c r="I907" s="16">
        <v>68</v>
      </c>
      <c r="J907" s="15" t="s">
        <v>1</v>
      </c>
      <c r="K907" s="15" t="s">
        <v>2</v>
      </c>
      <c r="L907" s="8">
        <f>UnilabUsage[[#This Row],[Used-MB]]-F897</f>
        <v>81</v>
      </c>
      <c r="M907">
        <f>UnilabUsage[[#This Row],[Max]]-UnilabUsage[[#This Row],[Used-MB]]</f>
        <v>10604</v>
      </c>
      <c r="N907" s="5">
        <f>IF($L907&gt;0,UnilabUsage[[#This Row],[Free-of-Max]]/UnilabUsage[[#This Row],[Usage-Delta-MB]],UnilabUsage[[#This Row],[Free-of-Max]])</f>
        <v>130.91358024691357</v>
      </c>
    </row>
    <row r="908" spans="1:14" x14ac:dyDescent="0.25">
      <c r="A908" s="3">
        <v>45173</v>
      </c>
      <c r="B908" s="15" t="s">
        <v>8</v>
      </c>
      <c r="C908" s="16">
        <v>88</v>
      </c>
      <c r="D908" s="16">
        <v>327680</v>
      </c>
      <c r="E908" s="16">
        <v>38872</v>
      </c>
      <c r="F908" s="16">
        <v>288808</v>
      </c>
      <c r="G908" s="16">
        <v>12</v>
      </c>
      <c r="H908" s="16">
        <v>327680</v>
      </c>
      <c r="I908" s="16">
        <v>88</v>
      </c>
      <c r="J908" s="15" t="s">
        <v>1</v>
      </c>
      <c r="K908" s="15" t="s">
        <v>2</v>
      </c>
      <c r="L908" s="8">
        <f>UnilabUsage[[#This Row],[Used-MB]]-F898</f>
        <v>185</v>
      </c>
      <c r="M908">
        <f>UnilabUsage[[#This Row],[Max]]-UnilabUsage[[#This Row],[Used-MB]]</f>
        <v>38872</v>
      </c>
      <c r="N908" s="5">
        <f>IF($L908&gt;0,UnilabUsage[[#This Row],[Free-of-Max]]/UnilabUsage[[#This Row],[Usage-Delta-MB]],UnilabUsage[[#This Row],[Free-of-Max]])</f>
        <v>210.11891891891892</v>
      </c>
    </row>
    <row r="909" spans="1:14" x14ac:dyDescent="0.25">
      <c r="A909" s="3">
        <v>45173</v>
      </c>
      <c r="B909" s="15" t="s">
        <v>4</v>
      </c>
      <c r="C909" s="16">
        <v>93</v>
      </c>
      <c r="D909" s="16">
        <v>99260</v>
      </c>
      <c r="E909" s="16">
        <v>6924</v>
      </c>
      <c r="F909" s="16">
        <v>92336</v>
      </c>
      <c r="G909" s="16">
        <v>7</v>
      </c>
      <c r="H909" s="16">
        <v>131072</v>
      </c>
      <c r="I909" s="16">
        <v>70</v>
      </c>
      <c r="J909" s="15" t="s">
        <v>1</v>
      </c>
      <c r="K909" s="15" t="s">
        <v>2</v>
      </c>
      <c r="L909" s="8">
        <f>UnilabUsage[[#This Row],[Used-MB]]-F899</f>
        <v>449</v>
      </c>
      <c r="M909">
        <f>UnilabUsage[[#This Row],[Max]]-UnilabUsage[[#This Row],[Used-MB]]</f>
        <v>38736</v>
      </c>
      <c r="N909" s="5">
        <f>IF($L909&gt;0,UnilabUsage[[#This Row],[Free-of-Max]]/UnilabUsage[[#This Row],[Usage-Delta-MB]],UnilabUsage[[#This Row],[Free-of-Max]])</f>
        <v>86.271714922049</v>
      </c>
    </row>
    <row r="910" spans="1:14" x14ac:dyDescent="0.25">
      <c r="A910" s="3">
        <v>45173</v>
      </c>
      <c r="B910" s="15" t="s">
        <v>12</v>
      </c>
      <c r="C910" s="16">
        <v>0</v>
      </c>
      <c r="D910" s="16">
        <v>30720</v>
      </c>
      <c r="E910" s="16">
        <v>30645</v>
      </c>
      <c r="F910" s="16">
        <v>75</v>
      </c>
      <c r="G910" s="16">
        <v>100</v>
      </c>
      <c r="H910" s="16">
        <v>30720</v>
      </c>
      <c r="I910" s="16">
        <v>0</v>
      </c>
      <c r="J910" s="15" t="s">
        <v>1</v>
      </c>
      <c r="K910" s="15" t="s">
        <v>13</v>
      </c>
      <c r="L910" s="8">
        <f>UnilabUsage[[#This Row],[Used-MB]]-F900</f>
        <v>15</v>
      </c>
      <c r="M910">
        <f>UnilabUsage[[#This Row],[Max]]-UnilabUsage[[#This Row],[Used-MB]]</f>
        <v>30645</v>
      </c>
      <c r="N910" s="5">
        <f>IF($L910&gt;0,UnilabUsage[[#This Row],[Free-of-Max]]/UnilabUsage[[#This Row],[Usage-Delta-MB]],UnilabUsage[[#This Row],[Free-of-Max]])</f>
        <v>2043</v>
      </c>
    </row>
    <row r="911" spans="1:14" x14ac:dyDescent="0.25">
      <c r="A911" s="3">
        <v>45173</v>
      </c>
      <c r="B911" s="15" t="s">
        <v>9</v>
      </c>
      <c r="C911" s="16">
        <v>3</v>
      </c>
      <c r="D911" s="16">
        <v>10440</v>
      </c>
      <c r="E911" s="16">
        <v>10087</v>
      </c>
      <c r="F911" s="16">
        <v>353</v>
      </c>
      <c r="G911" s="16">
        <v>97</v>
      </c>
      <c r="H911" s="16">
        <v>32768</v>
      </c>
      <c r="I911" s="16">
        <v>1</v>
      </c>
      <c r="J911" s="15" t="s">
        <v>1</v>
      </c>
      <c r="K911" s="15" t="s">
        <v>10</v>
      </c>
      <c r="L911" s="8">
        <f>UnilabUsage[[#This Row],[Used-MB]]-F901</f>
        <v>4</v>
      </c>
      <c r="M911">
        <f>UnilabUsage[[#This Row],[Max]]-UnilabUsage[[#This Row],[Used-MB]]</f>
        <v>32415</v>
      </c>
      <c r="N911" s="5">
        <f>IF($L911&gt;0,UnilabUsage[[#This Row],[Free-of-Max]]/UnilabUsage[[#This Row],[Usage-Delta-MB]],UnilabUsage[[#This Row],[Free-of-Max]])</f>
        <v>8103.75</v>
      </c>
    </row>
    <row r="912" spans="1:14" x14ac:dyDescent="0.25">
      <c r="A912" s="3">
        <v>45187</v>
      </c>
      <c r="B912" s="15" t="s">
        <v>7</v>
      </c>
      <c r="C912" s="16">
        <v>95</v>
      </c>
      <c r="D912" s="16">
        <v>2260</v>
      </c>
      <c r="E912" s="16">
        <v>106</v>
      </c>
      <c r="F912" s="16">
        <v>2154</v>
      </c>
      <c r="G912" s="16">
        <v>5</v>
      </c>
      <c r="H912" s="16">
        <v>32768</v>
      </c>
      <c r="I912" s="16">
        <v>7</v>
      </c>
      <c r="J912" s="15" t="s">
        <v>1</v>
      </c>
      <c r="K912" s="15" t="s">
        <v>2</v>
      </c>
      <c r="L912" s="8">
        <f>UnilabUsage[[#This Row],[Used-MB]]-F902</f>
        <v>17</v>
      </c>
      <c r="M912">
        <f>UnilabUsage[[#This Row],[Max]]-UnilabUsage[[#This Row],[Used-MB]]</f>
        <v>30614</v>
      </c>
      <c r="N912" s="5">
        <f>IF($L912&gt;0,UnilabUsage[[#This Row],[Free-of-Max]]/UnilabUsage[[#This Row],[Usage-Delta-MB]],UnilabUsage[[#This Row],[Free-of-Max]])</f>
        <v>1800.8235294117646</v>
      </c>
    </row>
    <row r="913" spans="1:14" x14ac:dyDescent="0.25">
      <c r="A913" s="3">
        <v>45187</v>
      </c>
      <c r="B913" s="15" t="s">
        <v>0</v>
      </c>
      <c r="C913" s="16">
        <v>100</v>
      </c>
      <c r="D913" s="16">
        <v>22750</v>
      </c>
      <c r="E913" s="16">
        <v>83</v>
      </c>
      <c r="F913" s="16">
        <v>22667</v>
      </c>
      <c r="G913" s="16">
        <v>0</v>
      </c>
      <c r="H913" s="16">
        <v>32768</v>
      </c>
      <c r="I913" s="16">
        <v>69</v>
      </c>
      <c r="J913" s="15" t="s">
        <v>1</v>
      </c>
      <c r="K913" s="15" t="s">
        <v>2</v>
      </c>
      <c r="L913" s="8">
        <f>UnilabUsage[[#This Row],[Used-MB]]-F903</f>
        <v>128</v>
      </c>
      <c r="M913">
        <f>UnilabUsage[[#This Row],[Max]]-UnilabUsage[[#This Row],[Used-MB]]</f>
        <v>10101</v>
      </c>
      <c r="N913" s="5">
        <f>IF($L913&gt;0,UnilabUsage[[#This Row],[Free-of-Max]]/UnilabUsage[[#This Row],[Usage-Delta-MB]],UnilabUsage[[#This Row],[Free-of-Max]])</f>
        <v>78.9140625</v>
      </c>
    </row>
    <row r="914" spans="1:14" x14ac:dyDescent="0.25">
      <c r="A914" s="3">
        <v>45187</v>
      </c>
      <c r="B914" s="15" t="s">
        <v>11</v>
      </c>
      <c r="C914" s="16">
        <v>1</v>
      </c>
      <c r="D914" s="16">
        <v>100</v>
      </c>
      <c r="E914" s="16">
        <v>99</v>
      </c>
      <c r="F914" s="16">
        <v>1</v>
      </c>
      <c r="G914" s="16">
        <v>99</v>
      </c>
      <c r="H914" s="16">
        <v>32768</v>
      </c>
      <c r="I914" s="16">
        <v>0</v>
      </c>
      <c r="J914" s="15" t="s">
        <v>1</v>
      </c>
      <c r="K914" s="15" t="s">
        <v>2</v>
      </c>
      <c r="L914" s="8">
        <f>UnilabUsage[[#This Row],[Used-MB]]-F904</f>
        <v>0</v>
      </c>
      <c r="M914">
        <f>UnilabUsage[[#This Row],[Max]]-UnilabUsage[[#This Row],[Used-MB]]</f>
        <v>32767</v>
      </c>
      <c r="N914" s="5">
        <f>IF($L914&gt;0,UnilabUsage[[#This Row],[Free-of-Max]]/UnilabUsage[[#This Row],[Usage-Delta-MB]],UnilabUsage[[#This Row],[Free-of-Max]])</f>
        <v>32767</v>
      </c>
    </row>
    <row r="915" spans="1:14" x14ac:dyDescent="0.25">
      <c r="A915" s="3">
        <v>45187</v>
      </c>
      <c r="B915" s="15" t="s">
        <v>6</v>
      </c>
      <c r="C915" s="16">
        <v>95</v>
      </c>
      <c r="D915" s="16">
        <v>7625</v>
      </c>
      <c r="E915" s="16">
        <v>373</v>
      </c>
      <c r="F915" s="16">
        <v>7252</v>
      </c>
      <c r="G915" s="16">
        <v>5</v>
      </c>
      <c r="H915" s="16">
        <v>32768</v>
      </c>
      <c r="I915" s="16">
        <v>22</v>
      </c>
      <c r="J915" s="15" t="s">
        <v>1</v>
      </c>
      <c r="K915" s="15" t="s">
        <v>2</v>
      </c>
      <c r="L915" s="8">
        <f>UnilabUsage[[#This Row],[Used-MB]]-F905</f>
        <v>9</v>
      </c>
      <c r="M915">
        <f>UnilabUsage[[#This Row],[Max]]-UnilabUsage[[#This Row],[Used-MB]]</f>
        <v>25516</v>
      </c>
      <c r="N915" s="5">
        <f>IF($L915&gt;0,UnilabUsage[[#This Row],[Free-of-Max]]/UnilabUsage[[#This Row],[Usage-Delta-MB]],UnilabUsage[[#This Row],[Free-of-Max]])</f>
        <v>2835.1111111111113</v>
      </c>
    </row>
    <row r="916" spans="1:14" x14ac:dyDescent="0.25">
      <c r="A916" s="3">
        <v>45187</v>
      </c>
      <c r="B916" s="15" t="s">
        <v>3</v>
      </c>
      <c r="C916" s="16">
        <v>90</v>
      </c>
      <c r="D916" s="16">
        <v>491518</v>
      </c>
      <c r="E916" s="16">
        <v>49215</v>
      </c>
      <c r="F916" s="16">
        <v>442303</v>
      </c>
      <c r="G916" s="16">
        <v>10</v>
      </c>
      <c r="H916" s="16">
        <v>491520</v>
      </c>
      <c r="I916" s="16">
        <v>90</v>
      </c>
      <c r="J916" s="15" t="s">
        <v>1</v>
      </c>
      <c r="K916" s="15" t="s">
        <v>2</v>
      </c>
      <c r="L916" s="8">
        <f>UnilabUsage[[#This Row],[Used-MB]]-F906</f>
        <v>1051</v>
      </c>
      <c r="M916">
        <f>UnilabUsage[[#This Row],[Max]]-UnilabUsage[[#This Row],[Used-MB]]</f>
        <v>49217</v>
      </c>
      <c r="N916" s="5">
        <f>IF($L916&gt;0,UnilabUsage[[#This Row],[Free-of-Max]]/UnilabUsage[[#This Row],[Usage-Delta-MB]],UnilabUsage[[#This Row],[Free-of-Max]])</f>
        <v>46.828734538534732</v>
      </c>
    </row>
    <row r="917" spans="1:14" x14ac:dyDescent="0.25">
      <c r="A917" s="3">
        <v>45187</v>
      </c>
      <c r="B917" s="15" t="s">
        <v>5</v>
      </c>
      <c r="C917" s="16">
        <v>95</v>
      </c>
      <c r="D917" s="16">
        <v>23300</v>
      </c>
      <c r="E917" s="16">
        <v>1102</v>
      </c>
      <c r="F917" s="16">
        <v>22198</v>
      </c>
      <c r="G917" s="16">
        <v>5</v>
      </c>
      <c r="H917" s="16">
        <v>32768</v>
      </c>
      <c r="I917" s="16">
        <v>68</v>
      </c>
      <c r="J917" s="15" t="s">
        <v>1</v>
      </c>
      <c r="K917" s="15" t="s">
        <v>2</v>
      </c>
      <c r="L917" s="8">
        <f>UnilabUsage[[#This Row],[Used-MB]]-F907</f>
        <v>34</v>
      </c>
      <c r="M917">
        <f>UnilabUsage[[#This Row],[Max]]-UnilabUsage[[#This Row],[Used-MB]]</f>
        <v>10570</v>
      </c>
      <c r="N917" s="5">
        <f>IF($L917&gt;0,UnilabUsage[[#This Row],[Free-of-Max]]/UnilabUsage[[#This Row],[Usage-Delta-MB]],UnilabUsage[[#This Row],[Free-of-Max]])</f>
        <v>310.88235294117646</v>
      </c>
    </row>
    <row r="918" spans="1:14" x14ac:dyDescent="0.25">
      <c r="A918" s="3">
        <v>45187</v>
      </c>
      <c r="B918" s="15" t="s">
        <v>8</v>
      </c>
      <c r="C918" s="16">
        <v>88</v>
      </c>
      <c r="D918" s="16">
        <v>327680</v>
      </c>
      <c r="E918" s="16">
        <v>38089</v>
      </c>
      <c r="F918" s="16">
        <v>289591</v>
      </c>
      <c r="G918" s="16">
        <v>12</v>
      </c>
      <c r="H918" s="16">
        <v>327680</v>
      </c>
      <c r="I918" s="16">
        <v>88</v>
      </c>
      <c r="J918" s="15" t="s">
        <v>1</v>
      </c>
      <c r="K918" s="15" t="s">
        <v>2</v>
      </c>
      <c r="L918" s="8">
        <f>UnilabUsage[[#This Row],[Used-MB]]-F908</f>
        <v>783</v>
      </c>
      <c r="M918">
        <f>UnilabUsage[[#This Row],[Max]]-UnilabUsage[[#This Row],[Used-MB]]</f>
        <v>38089</v>
      </c>
      <c r="N918" s="5">
        <f>IF($L918&gt;0,UnilabUsage[[#This Row],[Free-of-Max]]/UnilabUsage[[#This Row],[Usage-Delta-MB]],UnilabUsage[[#This Row],[Free-of-Max]])</f>
        <v>48.644955300127712</v>
      </c>
    </row>
    <row r="919" spans="1:14" x14ac:dyDescent="0.25">
      <c r="A919" s="3">
        <v>45187</v>
      </c>
      <c r="B919" s="15" t="s">
        <v>4</v>
      </c>
      <c r="C919" s="16">
        <v>93</v>
      </c>
      <c r="D919" s="16">
        <v>99260</v>
      </c>
      <c r="E919" s="16">
        <v>6732</v>
      </c>
      <c r="F919" s="16">
        <v>92528</v>
      </c>
      <c r="G919" s="16">
        <v>7</v>
      </c>
      <c r="H919" s="16">
        <v>131072</v>
      </c>
      <c r="I919" s="16">
        <v>71</v>
      </c>
      <c r="J919" s="15" t="s">
        <v>1</v>
      </c>
      <c r="K919" s="15" t="s">
        <v>2</v>
      </c>
      <c r="L919" s="8">
        <f>UnilabUsage[[#This Row],[Used-MB]]-F909</f>
        <v>192</v>
      </c>
      <c r="M919">
        <f>UnilabUsage[[#This Row],[Max]]-UnilabUsage[[#This Row],[Used-MB]]</f>
        <v>38544</v>
      </c>
      <c r="N919" s="5">
        <f>IF($L919&gt;0,UnilabUsage[[#This Row],[Free-of-Max]]/UnilabUsage[[#This Row],[Usage-Delta-MB]],UnilabUsage[[#This Row],[Free-of-Max]])</f>
        <v>200.75</v>
      </c>
    </row>
    <row r="920" spans="1:14" x14ac:dyDescent="0.25">
      <c r="A920" s="3">
        <v>45187</v>
      </c>
      <c r="B920" s="15" t="s">
        <v>12</v>
      </c>
      <c r="C920" s="16">
        <v>0</v>
      </c>
      <c r="D920" s="16">
        <v>30720</v>
      </c>
      <c r="E920" s="16">
        <v>30625</v>
      </c>
      <c r="F920" s="16">
        <v>95</v>
      </c>
      <c r="G920" s="16">
        <v>100</v>
      </c>
      <c r="H920" s="16">
        <v>30720</v>
      </c>
      <c r="I920" s="16">
        <v>0</v>
      </c>
      <c r="J920" s="15" t="s">
        <v>1</v>
      </c>
      <c r="K920" s="15" t="s">
        <v>13</v>
      </c>
      <c r="L920" s="8">
        <f>UnilabUsage[[#This Row],[Used-MB]]-F910</f>
        <v>20</v>
      </c>
      <c r="M920">
        <f>UnilabUsage[[#This Row],[Max]]-UnilabUsage[[#This Row],[Used-MB]]</f>
        <v>30625</v>
      </c>
      <c r="N920" s="5">
        <f>IF($L920&gt;0,UnilabUsage[[#This Row],[Free-of-Max]]/UnilabUsage[[#This Row],[Usage-Delta-MB]],UnilabUsage[[#This Row],[Free-of-Max]])</f>
        <v>1531.25</v>
      </c>
    </row>
    <row r="921" spans="1:14" x14ac:dyDescent="0.25">
      <c r="A921" s="3">
        <v>45187</v>
      </c>
      <c r="B921" s="15" t="s">
        <v>9</v>
      </c>
      <c r="C921" s="16">
        <v>4</v>
      </c>
      <c r="D921" s="16">
        <v>10440</v>
      </c>
      <c r="E921" s="16">
        <v>10063</v>
      </c>
      <c r="F921" s="16">
        <v>377</v>
      </c>
      <c r="G921" s="16">
        <v>96</v>
      </c>
      <c r="H921" s="16">
        <v>32768</v>
      </c>
      <c r="I921" s="16">
        <v>1</v>
      </c>
      <c r="J921" s="15" t="s">
        <v>1</v>
      </c>
      <c r="K921" s="15" t="s">
        <v>10</v>
      </c>
      <c r="L921" s="8">
        <f>UnilabUsage[[#This Row],[Used-MB]]-F911</f>
        <v>24</v>
      </c>
      <c r="M921">
        <f>UnilabUsage[[#This Row],[Max]]-UnilabUsage[[#This Row],[Used-MB]]</f>
        <v>32391</v>
      </c>
      <c r="N921" s="5">
        <f>IF($L921&gt;0,UnilabUsage[[#This Row],[Free-of-Max]]/UnilabUsage[[#This Row],[Usage-Delta-MB]],UnilabUsage[[#This Row],[Free-of-Max]])</f>
        <v>1349.625</v>
      </c>
    </row>
    <row r="922" spans="1:14" x14ac:dyDescent="0.25">
      <c r="A922" s="3">
        <v>45194</v>
      </c>
      <c r="B922" s="15" t="s">
        <v>7</v>
      </c>
      <c r="C922" s="16">
        <v>95</v>
      </c>
      <c r="D922" s="16">
        <v>2280</v>
      </c>
      <c r="E922" s="16">
        <v>117</v>
      </c>
      <c r="F922" s="16">
        <v>2163</v>
      </c>
      <c r="G922" s="16">
        <v>5</v>
      </c>
      <c r="H922" s="16">
        <v>32768</v>
      </c>
      <c r="I922" s="16">
        <v>7</v>
      </c>
      <c r="J922" s="15" t="s">
        <v>1</v>
      </c>
      <c r="K922" s="15" t="s">
        <v>2</v>
      </c>
      <c r="L922" s="8">
        <f>UnilabUsage[[#This Row],[Used-MB]]-F912</f>
        <v>9</v>
      </c>
      <c r="M922">
        <f>UnilabUsage[[#This Row],[Max]]-UnilabUsage[[#This Row],[Used-MB]]</f>
        <v>30605</v>
      </c>
      <c r="N922" s="5">
        <f>IF($L922&gt;0,UnilabUsage[[#This Row],[Free-of-Max]]/UnilabUsage[[#This Row],[Usage-Delta-MB]],UnilabUsage[[#This Row],[Free-of-Max]])</f>
        <v>3400.5555555555557</v>
      </c>
    </row>
    <row r="923" spans="1:14" x14ac:dyDescent="0.25">
      <c r="A923" s="3">
        <v>45194</v>
      </c>
      <c r="B923" s="15" t="s">
        <v>0</v>
      </c>
      <c r="C923" s="16">
        <v>100</v>
      </c>
      <c r="D923" s="16">
        <v>22750</v>
      </c>
      <c r="E923" s="16">
        <v>18</v>
      </c>
      <c r="F923" s="16">
        <v>22732</v>
      </c>
      <c r="G923" s="16">
        <v>0</v>
      </c>
      <c r="H923" s="16">
        <v>32768</v>
      </c>
      <c r="I923" s="16">
        <v>69</v>
      </c>
      <c r="J923" s="15" t="s">
        <v>1</v>
      </c>
      <c r="K923" s="15" t="s">
        <v>2</v>
      </c>
      <c r="L923" s="8">
        <f>UnilabUsage[[#This Row],[Used-MB]]-F913</f>
        <v>65</v>
      </c>
      <c r="M923">
        <f>UnilabUsage[[#This Row],[Max]]-UnilabUsage[[#This Row],[Used-MB]]</f>
        <v>10036</v>
      </c>
      <c r="N923" s="5">
        <f>IF($L923&gt;0,UnilabUsage[[#This Row],[Free-of-Max]]/UnilabUsage[[#This Row],[Usage-Delta-MB]],UnilabUsage[[#This Row],[Free-of-Max]])</f>
        <v>154.4</v>
      </c>
    </row>
    <row r="924" spans="1:14" x14ac:dyDescent="0.25">
      <c r="A924" s="3">
        <v>45194</v>
      </c>
      <c r="B924" s="15" t="s">
        <v>11</v>
      </c>
      <c r="C924" s="16">
        <v>1</v>
      </c>
      <c r="D924" s="16">
        <v>100</v>
      </c>
      <c r="E924" s="16">
        <v>99</v>
      </c>
      <c r="F924" s="16">
        <v>1</v>
      </c>
      <c r="G924" s="16">
        <v>99</v>
      </c>
      <c r="H924" s="16">
        <v>32768</v>
      </c>
      <c r="I924" s="16">
        <v>0</v>
      </c>
      <c r="J924" s="15" t="s">
        <v>1</v>
      </c>
      <c r="K924" s="15" t="s">
        <v>2</v>
      </c>
      <c r="L924" s="8">
        <f>UnilabUsage[[#This Row],[Used-MB]]-F914</f>
        <v>0</v>
      </c>
      <c r="M924">
        <f>UnilabUsage[[#This Row],[Max]]-UnilabUsage[[#This Row],[Used-MB]]</f>
        <v>32767</v>
      </c>
      <c r="N924" s="5">
        <f>IF($L924&gt;0,UnilabUsage[[#This Row],[Free-of-Max]]/UnilabUsage[[#This Row],[Usage-Delta-MB]],UnilabUsage[[#This Row],[Free-of-Max]])</f>
        <v>32767</v>
      </c>
    </row>
    <row r="925" spans="1:14" x14ac:dyDescent="0.25">
      <c r="A925" s="3">
        <v>45194</v>
      </c>
      <c r="B925" s="15" t="s">
        <v>6</v>
      </c>
      <c r="C925" s="16">
        <v>95</v>
      </c>
      <c r="D925" s="16">
        <v>7685</v>
      </c>
      <c r="E925" s="16">
        <v>369</v>
      </c>
      <c r="F925" s="16">
        <v>7316</v>
      </c>
      <c r="G925" s="16">
        <v>5</v>
      </c>
      <c r="H925" s="16">
        <v>32768</v>
      </c>
      <c r="I925" s="16">
        <v>22</v>
      </c>
      <c r="J925" s="15" t="s">
        <v>1</v>
      </c>
      <c r="K925" s="15" t="s">
        <v>2</v>
      </c>
      <c r="L925" s="8">
        <f>UnilabUsage[[#This Row],[Used-MB]]-F915</f>
        <v>64</v>
      </c>
      <c r="M925">
        <f>UnilabUsage[[#This Row],[Max]]-UnilabUsage[[#This Row],[Used-MB]]</f>
        <v>25452</v>
      </c>
      <c r="N925" s="5">
        <f>IF($L925&gt;0,UnilabUsage[[#This Row],[Free-of-Max]]/UnilabUsage[[#This Row],[Usage-Delta-MB]],UnilabUsage[[#This Row],[Free-of-Max]])</f>
        <v>397.6875</v>
      </c>
    </row>
    <row r="926" spans="1:14" x14ac:dyDescent="0.25">
      <c r="A926" s="3">
        <v>45194</v>
      </c>
      <c r="B926" s="15" t="s">
        <v>3</v>
      </c>
      <c r="C926" s="16">
        <v>90</v>
      </c>
      <c r="D926" s="16">
        <v>491518</v>
      </c>
      <c r="E926" s="16">
        <v>48644</v>
      </c>
      <c r="F926" s="16">
        <v>442874</v>
      </c>
      <c r="G926" s="16">
        <v>10</v>
      </c>
      <c r="H926" s="16">
        <v>491520</v>
      </c>
      <c r="I926" s="16">
        <v>90</v>
      </c>
      <c r="J926" s="15" t="s">
        <v>1</v>
      </c>
      <c r="K926" s="15" t="s">
        <v>2</v>
      </c>
      <c r="L926" s="8">
        <f>UnilabUsage[[#This Row],[Used-MB]]-F916</f>
        <v>571</v>
      </c>
      <c r="M926">
        <f>UnilabUsage[[#This Row],[Max]]-UnilabUsage[[#This Row],[Used-MB]]</f>
        <v>48646</v>
      </c>
      <c r="N926" s="5">
        <f>IF($L926&gt;0,UnilabUsage[[#This Row],[Free-of-Max]]/UnilabUsage[[#This Row],[Usage-Delta-MB]],UnilabUsage[[#This Row],[Free-of-Max]])</f>
        <v>85.19439579684763</v>
      </c>
    </row>
    <row r="927" spans="1:14" x14ac:dyDescent="0.25">
      <c r="A927" s="3">
        <v>45194</v>
      </c>
      <c r="B927" s="15" t="s">
        <v>5</v>
      </c>
      <c r="C927" s="16">
        <v>96</v>
      </c>
      <c r="D927" s="16">
        <v>23300</v>
      </c>
      <c r="E927" s="16">
        <v>1038</v>
      </c>
      <c r="F927" s="16">
        <v>22262</v>
      </c>
      <c r="G927" s="16">
        <v>4</v>
      </c>
      <c r="H927" s="16">
        <v>32768</v>
      </c>
      <c r="I927" s="16">
        <v>68</v>
      </c>
      <c r="J927" s="15" t="s">
        <v>1</v>
      </c>
      <c r="K927" s="15" t="s">
        <v>2</v>
      </c>
      <c r="L927" s="8">
        <f>UnilabUsage[[#This Row],[Used-MB]]-F917</f>
        <v>64</v>
      </c>
      <c r="M927">
        <f>UnilabUsage[[#This Row],[Max]]-UnilabUsage[[#This Row],[Used-MB]]</f>
        <v>10506</v>
      </c>
      <c r="N927" s="5">
        <f>IF($L927&gt;0,UnilabUsage[[#This Row],[Free-of-Max]]/UnilabUsage[[#This Row],[Usage-Delta-MB]],UnilabUsage[[#This Row],[Free-of-Max]])</f>
        <v>164.15625</v>
      </c>
    </row>
    <row r="928" spans="1:14" x14ac:dyDescent="0.25">
      <c r="A928" s="3">
        <v>45194</v>
      </c>
      <c r="B928" s="15" t="s">
        <v>8</v>
      </c>
      <c r="C928" s="16">
        <v>89</v>
      </c>
      <c r="D928" s="16">
        <v>327680</v>
      </c>
      <c r="E928" s="16">
        <v>37320</v>
      </c>
      <c r="F928" s="16">
        <v>290360</v>
      </c>
      <c r="G928" s="16">
        <v>11</v>
      </c>
      <c r="H928" s="16">
        <v>327680</v>
      </c>
      <c r="I928" s="16">
        <v>89</v>
      </c>
      <c r="J928" s="15" t="s">
        <v>1</v>
      </c>
      <c r="K928" s="15" t="s">
        <v>2</v>
      </c>
      <c r="L928" s="8">
        <f>UnilabUsage[[#This Row],[Used-MB]]-F918</f>
        <v>769</v>
      </c>
      <c r="M928">
        <f>UnilabUsage[[#This Row],[Max]]-UnilabUsage[[#This Row],[Used-MB]]</f>
        <v>37320</v>
      </c>
      <c r="N928" s="5">
        <f>IF($L928&gt;0,UnilabUsage[[#This Row],[Free-of-Max]]/UnilabUsage[[#This Row],[Usage-Delta-MB]],UnilabUsage[[#This Row],[Free-of-Max]])</f>
        <v>48.530559167750326</v>
      </c>
    </row>
    <row r="929" spans="1:14" x14ac:dyDescent="0.25">
      <c r="A929" s="3">
        <v>45194</v>
      </c>
      <c r="B929" s="15" t="s">
        <v>4</v>
      </c>
      <c r="C929" s="16">
        <v>93</v>
      </c>
      <c r="D929" s="16">
        <v>99260</v>
      </c>
      <c r="E929" s="16">
        <v>6540</v>
      </c>
      <c r="F929" s="16">
        <v>92720</v>
      </c>
      <c r="G929" s="16">
        <v>7</v>
      </c>
      <c r="H929" s="16">
        <v>131072</v>
      </c>
      <c r="I929" s="16">
        <v>71</v>
      </c>
      <c r="J929" s="15" t="s">
        <v>1</v>
      </c>
      <c r="K929" s="15" t="s">
        <v>2</v>
      </c>
      <c r="L929" s="8">
        <f>UnilabUsage[[#This Row],[Used-MB]]-F919</f>
        <v>192</v>
      </c>
      <c r="M929">
        <f>UnilabUsage[[#This Row],[Max]]-UnilabUsage[[#This Row],[Used-MB]]</f>
        <v>38352</v>
      </c>
      <c r="N929" s="5">
        <f>IF($L929&gt;0,UnilabUsage[[#This Row],[Free-of-Max]]/UnilabUsage[[#This Row],[Usage-Delta-MB]],UnilabUsage[[#This Row],[Free-of-Max]])</f>
        <v>199.75</v>
      </c>
    </row>
    <row r="930" spans="1:14" x14ac:dyDescent="0.25">
      <c r="A930" s="3">
        <v>45194</v>
      </c>
      <c r="B930" s="15" t="s">
        <v>12</v>
      </c>
      <c r="C930" s="16">
        <v>0</v>
      </c>
      <c r="D930" s="16">
        <v>30720</v>
      </c>
      <c r="E930" s="16">
        <v>30634</v>
      </c>
      <c r="F930" s="16">
        <v>86</v>
      </c>
      <c r="G930" s="16">
        <v>100</v>
      </c>
      <c r="H930" s="16">
        <v>30720</v>
      </c>
      <c r="I930" s="16">
        <v>0</v>
      </c>
      <c r="J930" s="15" t="s">
        <v>1</v>
      </c>
      <c r="K930" s="15" t="s">
        <v>13</v>
      </c>
      <c r="L930" s="8">
        <f>UnilabUsage[[#This Row],[Used-MB]]-F920</f>
        <v>-9</v>
      </c>
      <c r="M930">
        <f>UnilabUsage[[#This Row],[Max]]-UnilabUsage[[#This Row],[Used-MB]]</f>
        <v>30634</v>
      </c>
      <c r="N930" s="5">
        <f>IF($L930&gt;0,UnilabUsage[[#This Row],[Free-of-Max]]/UnilabUsage[[#This Row],[Usage-Delta-MB]],UnilabUsage[[#This Row],[Free-of-Max]])</f>
        <v>30634</v>
      </c>
    </row>
    <row r="931" spans="1:14" x14ac:dyDescent="0.25">
      <c r="A931" s="3">
        <v>45194</v>
      </c>
      <c r="B931" s="15" t="s">
        <v>9</v>
      </c>
      <c r="C931" s="16">
        <v>3</v>
      </c>
      <c r="D931" s="16">
        <v>10440</v>
      </c>
      <c r="E931" s="16">
        <v>10091</v>
      </c>
      <c r="F931" s="16">
        <v>349</v>
      </c>
      <c r="G931" s="16">
        <v>97</v>
      </c>
      <c r="H931" s="16">
        <v>32768</v>
      </c>
      <c r="I931" s="16">
        <v>1</v>
      </c>
      <c r="J931" s="15" t="s">
        <v>1</v>
      </c>
      <c r="K931" s="15" t="s">
        <v>10</v>
      </c>
      <c r="L931" s="8">
        <f>UnilabUsage[[#This Row],[Used-MB]]-F921</f>
        <v>-28</v>
      </c>
      <c r="M931">
        <f>UnilabUsage[[#This Row],[Max]]-UnilabUsage[[#This Row],[Used-MB]]</f>
        <v>32419</v>
      </c>
      <c r="N931" s="5">
        <f>IF($L931&gt;0,UnilabUsage[[#This Row],[Free-of-Max]]/UnilabUsage[[#This Row],[Usage-Delta-MB]],UnilabUsage[[#This Row],[Free-of-Max]])</f>
        <v>32419</v>
      </c>
    </row>
    <row r="932" spans="1:14" x14ac:dyDescent="0.25">
      <c r="A932" s="3">
        <v>45201</v>
      </c>
      <c r="B932" s="15" t="s">
        <v>7</v>
      </c>
      <c r="C932" s="16">
        <v>95</v>
      </c>
      <c r="D932" s="16">
        <v>2340</v>
      </c>
      <c r="E932" s="16">
        <v>113</v>
      </c>
      <c r="F932" s="16">
        <v>2227</v>
      </c>
      <c r="G932" s="16">
        <v>5</v>
      </c>
      <c r="H932" s="16">
        <v>32768</v>
      </c>
      <c r="I932" s="16">
        <v>7</v>
      </c>
      <c r="J932" s="15" t="s">
        <v>1</v>
      </c>
      <c r="K932" s="15" t="s">
        <v>2</v>
      </c>
      <c r="L932" s="8">
        <f>UnilabUsage[[#This Row],[Used-MB]]-F922</f>
        <v>64</v>
      </c>
      <c r="M932">
        <f>UnilabUsage[[#This Row],[Max]]-UnilabUsage[[#This Row],[Used-MB]]</f>
        <v>30541</v>
      </c>
      <c r="N932" s="5">
        <f>IF($L932&gt;0,UnilabUsage[[#This Row],[Free-of-Max]]/UnilabUsage[[#This Row],[Usage-Delta-MB]],UnilabUsage[[#This Row],[Free-of-Max]])</f>
        <v>477.203125</v>
      </c>
    </row>
    <row r="933" spans="1:14" x14ac:dyDescent="0.25">
      <c r="A933" s="3">
        <v>45201</v>
      </c>
      <c r="B933" s="15" t="s">
        <v>0</v>
      </c>
      <c r="C933" s="16">
        <v>100</v>
      </c>
      <c r="D933" s="16">
        <v>22850</v>
      </c>
      <c r="E933" s="16">
        <v>54</v>
      </c>
      <c r="F933" s="16">
        <v>22796</v>
      </c>
      <c r="G933" s="16">
        <v>0</v>
      </c>
      <c r="H933" s="16">
        <v>32768</v>
      </c>
      <c r="I933" s="16">
        <v>70</v>
      </c>
      <c r="J933" s="15" t="s">
        <v>1</v>
      </c>
      <c r="K933" s="15" t="s">
        <v>2</v>
      </c>
      <c r="L933" s="8">
        <f>UnilabUsage[[#This Row],[Used-MB]]-F923</f>
        <v>64</v>
      </c>
      <c r="M933">
        <f>UnilabUsage[[#This Row],[Max]]-UnilabUsage[[#This Row],[Used-MB]]</f>
        <v>9972</v>
      </c>
      <c r="N933" s="5">
        <f>IF($L933&gt;0,UnilabUsage[[#This Row],[Free-of-Max]]/UnilabUsage[[#This Row],[Usage-Delta-MB]],UnilabUsage[[#This Row],[Free-of-Max]])</f>
        <v>155.8125</v>
      </c>
    </row>
    <row r="934" spans="1:14" x14ac:dyDescent="0.25">
      <c r="A934" s="3">
        <v>45201</v>
      </c>
      <c r="B934" s="15" t="s">
        <v>11</v>
      </c>
      <c r="C934" s="16">
        <v>1</v>
      </c>
      <c r="D934" s="16">
        <v>100</v>
      </c>
      <c r="E934" s="16">
        <v>99</v>
      </c>
      <c r="F934" s="16">
        <v>1</v>
      </c>
      <c r="G934" s="16">
        <v>99</v>
      </c>
      <c r="H934" s="16">
        <v>32768</v>
      </c>
      <c r="I934" s="16">
        <v>0</v>
      </c>
      <c r="J934" s="15" t="s">
        <v>1</v>
      </c>
      <c r="K934" s="15" t="s">
        <v>2</v>
      </c>
      <c r="L934" s="8">
        <f>UnilabUsage[[#This Row],[Used-MB]]-F924</f>
        <v>0</v>
      </c>
      <c r="M934">
        <f>UnilabUsage[[#This Row],[Max]]-UnilabUsage[[#This Row],[Used-MB]]</f>
        <v>32767</v>
      </c>
      <c r="N934" s="5">
        <f>IF($L934&gt;0,UnilabUsage[[#This Row],[Free-of-Max]]/UnilabUsage[[#This Row],[Usage-Delta-MB]],UnilabUsage[[#This Row],[Free-of-Max]])</f>
        <v>32767</v>
      </c>
    </row>
    <row r="935" spans="1:14" x14ac:dyDescent="0.25">
      <c r="A935" s="3">
        <v>45201</v>
      </c>
      <c r="B935" s="15" t="s">
        <v>6</v>
      </c>
      <c r="C935" s="16">
        <v>95</v>
      </c>
      <c r="D935" s="16">
        <v>7685</v>
      </c>
      <c r="E935" s="16">
        <v>368</v>
      </c>
      <c r="F935" s="16">
        <v>7317</v>
      </c>
      <c r="G935" s="16">
        <v>5</v>
      </c>
      <c r="H935" s="16">
        <v>32768</v>
      </c>
      <c r="I935" s="16">
        <v>22</v>
      </c>
      <c r="J935" s="15" t="s">
        <v>1</v>
      </c>
      <c r="K935" s="15" t="s">
        <v>2</v>
      </c>
      <c r="L935" s="8">
        <f>UnilabUsage[[#This Row],[Used-MB]]-F925</f>
        <v>1</v>
      </c>
      <c r="M935">
        <f>UnilabUsage[[#This Row],[Max]]-UnilabUsage[[#This Row],[Used-MB]]</f>
        <v>25451</v>
      </c>
      <c r="N935" s="5">
        <f>IF($L935&gt;0,UnilabUsage[[#This Row],[Free-of-Max]]/UnilabUsage[[#This Row],[Usage-Delta-MB]],UnilabUsage[[#This Row],[Free-of-Max]])</f>
        <v>25451</v>
      </c>
    </row>
    <row r="936" spans="1:14" x14ac:dyDescent="0.25">
      <c r="A936" s="3">
        <v>45201</v>
      </c>
      <c r="B936" s="15" t="s">
        <v>3</v>
      </c>
      <c r="C936" s="16">
        <v>90</v>
      </c>
      <c r="D936" s="16">
        <v>491518</v>
      </c>
      <c r="E936" s="16">
        <v>48123</v>
      </c>
      <c r="F936" s="16">
        <v>443395</v>
      </c>
      <c r="G936" s="16">
        <v>10</v>
      </c>
      <c r="H936" s="16">
        <v>491520</v>
      </c>
      <c r="I936" s="16">
        <v>90</v>
      </c>
      <c r="J936" s="15" t="s">
        <v>1</v>
      </c>
      <c r="K936" s="15" t="s">
        <v>2</v>
      </c>
      <c r="L936" s="8">
        <f>UnilabUsage[[#This Row],[Used-MB]]-F926</f>
        <v>521</v>
      </c>
      <c r="M936">
        <f>UnilabUsage[[#This Row],[Max]]-UnilabUsage[[#This Row],[Used-MB]]</f>
        <v>48125</v>
      </c>
      <c r="N936" s="5">
        <f>IF($L936&gt;0,UnilabUsage[[#This Row],[Free-of-Max]]/UnilabUsage[[#This Row],[Usage-Delta-MB]],UnilabUsage[[#This Row],[Free-of-Max]])</f>
        <v>92.370441458733211</v>
      </c>
    </row>
    <row r="937" spans="1:14" x14ac:dyDescent="0.25">
      <c r="A937" s="3">
        <v>45201</v>
      </c>
      <c r="B937" s="15" t="s">
        <v>5</v>
      </c>
      <c r="C937" s="16">
        <v>96</v>
      </c>
      <c r="D937" s="16">
        <v>23300</v>
      </c>
      <c r="E937" s="16">
        <v>1028</v>
      </c>
      <c r="F937" s="16">
        <v>22272</v>
      </c>
      <c r="G937" s="16">
        <v>4</v>
      </c>
      <c r="H937" s="16">
        <v>32768</v>
      </c>
      <c r="I937" s="16">
        <v>68</v>
      </c>
      <c r="J937" s="15" t="s">
        <v>1</v>
      </c>
      <c r="K937" s="15" t="s">
        <v>2</v>
      </c>
      <c r="L937" s="8">
        <f>UnilabUsage[[#This Row],[Used-MB]]-F927</f>
        <v>10</v>
      </c>
      <c r="M937">
        <f>UnilabUsage[[#This Row],[Max]]-UnilabUsage[[#This Row],[Used-MB]]</f>
        <v>10496</v>
      </c>
      <c r="N937" s="5">
        <f>IF($L937&gt;0,UnilabUsage[[#This Row],[Free-of-Max]]/UnilabUsage[[#This Row],[Usage-Delta-MB]],UnilabUsage[[#This Row],[Free-of-Max]])</f>
        <v>1049.5999999999999</v>
      </c>
    </row>
    <row r="938" spans="1:14" x14ac:dyDescent="0.25">
      <c r="A938" s="3">
        <v>45201</v>
      </c>
      <c r="B938" s="15" t="s">
        <v>8</v>
      </c>
      <c r="C938" s="16">
        <v>89</v>
      </c>
      <c r="D938" s="16">
        <v>327680</v>
      </c>
      <c r="E938" s="16">
        <v>36933</v>
      </c>
      <c r="F938" s="16">
        <v>290747</v>
      </c>
      <c r="G938" s="16">
        <v>11</v>
      </c>
      <c r="H938" s="16">
        <v>327680</v>
      </c>
      <c r="I938" s="16">
        <v>89</v>
      </c>
      <c r="J938" s="15" t="s">
        <v>1</v>
      </c>
      <c r="K938" s="15" t="s">
        <v>2</v>
      </c>
      <c r="L938" s="8">
        <f>UnilabUsage[[#This Row],[Used-MB]]-F928</f>
        <v>387</v>
      </c>
      <c r="M938">
        <f>UnilabUsage[[#This Row],[Max]]-UnilabUsage[[#This Row],[Used-MB]]</f>
        <v>36933</v>
      </c>
      <c r="N938" s="5">
        <f>IF($L938&gt;0,UnilabUsage[[#This Row],[Free-of-Max]]/UnilabUsage[[#This Row],[Usage-Delta-MB]],UnilabUsage[[#This Row],[Free-of-Max]])</f>
        <v>95.434108527131784</v>
      </c>
    </row>
    <row r="939" spans="1:14" x14ac:dyDescent="0.25">
      <c r="A939" s="3">
        <v>45201</v>
      </c>
      <c r="B939" s="15" t="s">
        <v>4</v>
      </c>
      <c r="C939" s="16">
        <v>94</v>
      </c>
      <c r="D939" s="16">
        <v>99260</v>
      </c>
      <c r="E939" s="16">
        <v>6412</v>
      </c>
      <c r="F939" s="16">
        <v>92848</v>
      </c>
      <c r="G939" s="16">
        <v>6</v>
      </c>
      <c r="H939" s="16">
        <v>131072</v>
      </c>
      <c r="I939" s="16">
        <v>71</v>
      </c>
      <c r="J939" s="15" t="s">
        <v>1</v>
      </c>
      <c r="K939" s="15" t="s">
        <v>2</v>
      </c>
      <c r="L939" s="8">
        <f>UnilabUsage[[#This Row],[Used-MB]]-F929</f>
        <v>128</v>
      </c>
      <c r="M939">
        <f>UnilabUsage[[#This Row],[Max]]-UnilabUsage[[#This Row],[Used-MB]]</f>
        <v>38224</v>
      </c>
      <c r="N939" s="5">
        <f>IF($L939&gt;0,UnilabUsage[[#This Row],[Free-of-Max]]/UnilabUsage[[#This Row],[Usage-Delta-MB]],UnilabUsage[[#This Row],[Free-of-Max]])</f>
        <v>298.625</v>
      </c>
    </row>
    <row r="940" spans="1:14" x14ac:dyDescent="0.25">
      <c r="A940" s="3">
        <v>45201</v>
      </c>
      <c r="B940" s="15" t="s">
        <v>12</v>
      </c>
      <c r="C940" s="16">
        <v>0</v>
      </c>
      <c r="D940" s="16">
        <v>30720</v>
      </c>
      <c r="E940" s="16">
        <v>30597</v>
      </c>
      <c r="F940" s="16">
        <v>123</v>
      </c>
      <c r="G940" s="16">
        <v>100</v>
      </c>
      <c r="H940" s="16">
        <v>30720</v>
      </c>
      <c r="I940" s="16">
        <v>0</v>
      </c>
      <c r="J940" s="15" t="s">
        <v>1</v>
      </c>
      <c r="K940" s="15" t="s">
        <v>13</v>
      </c>
      <c r="L940" s="8">
        <f>UnilabUsage[[#This Row],[Used-MB]]-F930</f>
        <v>37</v>
      </c>
      <c r="M940">
        <f>UnilabUsage[[#This Row],[Max]]-UnilabUsage[[#This Row],[Used-MB]]</f>
        <v>30597</v>
      </c>
      <c r="N940" s="5">
        <f>IF($L940&gt;0,UnilabUsage[[#This Row],[Free-of-Max]]/UnilabUsage[[#This Row],[Usage-Delta-MB]],UnilabUsage[[#This Row],[Free-of-Max]])</f>
        <v>826.94594594594594</v>
      </c>
    </row>
    <row r="941" spans="1:14" x14ac:dyDescent="0.25">
      <c r="A941" s="3">
        <v>45201</v>
      </c>
      <c r="B941" s="15" t="s">
        <v>9</v>
      </c>
      <c r="C941" s="16">
        <v>3</v>
      </c>
      <c r="D941" s="16">
        <v>10440</v>
      </c>
      <c r="E941" s="16">
        <v>10089</v>
      </c>
      <c r="F941" s="16">
        <v>351</v>
      </c>
      <c r="G941" s="16">
        <v>97</v>
      </c>
      <c r="H941" s="16">
        <v>32768</v>
      </c>
      <c r="I941" s="16">
        <v>1</v>
      </c>
      <c r="J941" s="15" t="s">
        <v>1</v>
      </c>
      <c r="K941" s="15" t="s">
        <v>10</v>
      </c>
      <c r="L941" s="8">
        <f>UnilabUsage[[#This Row],[Used-MB]]-F931</f>
        <v>2</v>
      </c>
      <c r="M941">
        <f>UnilabUsage[[#This Row],[Max]]-UnilabUsage[[#This Row],[Used-MB]]</f>
        <v>32417</v>
      </c>
      <c r="N941" s="5">
        <f>IF($L941&gt;0,UnilabUsage[[#This Row],[Free-of-Max]]/UnilabUsage[[#This Row],[Usage-Delta-MB]],UnilabUsage[[#This Row],[Free-of-Max]])</f>
        <v>16208.5</v>
      </c>
    </row>
    <row r="942" spans="1:14" x14ac:dyDescent="0.25">
      <c r="A942" s="3">
        <v>45208</v>
      </c>
      <c r="B942" s="15" t="s">
        <v>7</v>
      </c>
      <c r="C942" s="16">
        <v>96</v>
      </c>
      <c r="D942" s="16">
        <v>2340</v>
      </c>
      <c r="E942" s="16">
        <v>105</v>
      </c>
      <c r="F942" s="16">
        <v>2235</v>
      </c>
      <c r="G942" s="16">
        <v>4</v>
      </c>
      <c r="H942" s="16">
        <v>32768</v>
      </c>
      <c r="I942" s="16">
        <v>7</v>
      </c>
      <c r="J942" s="15" t="s">
        <v>1</v>
      </c>
      <c r="K942" s="15" t="s">
        <v>2</v>
      </c>
      <c r="L942" s="8">
        <f>UnilabUsage[[#This Row],[Used-MB]]-F932</f>
        <v>8</v>
      </c>
      <c r="M942">
        <f>UnilabUsage[[#This Row],[Max]]-UnilabUsage[[#This Row],[Used-MB]]</f>
        <v>30533</v>
      </c>
      <c r="N942" s="5">
        <f>IF($L942&gt;0,UnilabUsage[[#This Row],[Free-of-Max]]/UnilabUsage[[#This Row],[Usage-Delta-MB]],UnilabUsage[[#This Row],[Free-of-Max]])</f>
        <v>3816.625</v>
      </c>
    </row>
    <row r="943" spans="1:14" x14ac:dyDescent="0.25">
      <c r="A943" s="3">
        <v>45208</v>
      </c>
      <c r="B943" s="15" t="s">
        <v>0</v>
      </c>
      <c r="C943" s="16">
        <v>100</v>
      </c>
      <c r="D943" s="16">
        <v>22950</v>
      </c>
      <c r="E943" s="16">
        <v>90</v>
      </c>
      <c r="F943" s="16">
        <v>22860</v>
      </c>
      <c r="G943" s="16">
        <v>0</v>
      </c>
      <c r="H943" s="16">
        <v>32768</v>
      </c>
      <c r="I943" s="16">
        <v>70</v>
      </c>
      <c r="J943" s="15" t="s">
        <v>1</v>
      </c>
      <c r="K943" s="15" t="s">
        <v>2</v>
      </c>
      <c r="L943" s="8">
        <f>UnilabUsage[[#This Row],[Used-MB]]-F933</f>
        <v>64</v>
      </c>
      <c r="M943">
        <f>UnilabUsage[[#This Row],[Max]]-UnilabUsage[[#This Row],[Used-MB]]</f>
        <v>9908</v>
      </c>
      <c r="N943" s="5">
        <f>IF($L943&gt;0,UnilabUsage[[#This Row],[Free-of-Max]]/UnilabUsage[[#This Row],[Usage-Delta-MB]],UnilabUsage[[#This Row],[Free-of-Max]])</f>
        <v>154.8125</v>
      </c>
    </row>
    <row r="944" spans="1:14" x14ac:dyDescent="0.25">
      <c r="A944" s="3">
        <v>45208</v>
      </c>
      <c r="B944" s="15" t="s">
        <v>11</v>
      </c>
      <c r="C944" s="16">
        <v>1</v>
      </c>
      <c r="D944" s="16">
        <v>100</v>
      </c>
      <c r="E944" s="16">
        <v>99</v>
      </c>
      <c r="F944" s="16">
        <v>1</v>
      </c>
      <c r="G944" s="16">
        <v>99</v>
      </c>
      <c r="H944" s="16">
        <v>32768</v>
      </c>
      <c r="I944" s="16">
        <v>0</v>
      </c>
      <c r="J944" s="15" t="s">
        <v>1</v>
      </c>
      <c r="K944" s="15" t="s">
        <v>2</v>
      </c>
      <c r="L944" s="8">
        <f>UnilabUsage[[#This Row],[Used-MB]]-F934</f>
        <v>0</v>
      </c>
      <c r="M944">
        <f>UnilabUsage[[#This Row],[Max]]-UnilabUsage[[#This Row],[Used-MB]]</f>
        <v>32767</v>
      </c>
      <c r="N944" s="5">
        <f>IF($L944&gt;0,UnilabUsage[[#This Row],[Free-of-Max]]/UnilabUsage[[#This Row],[Usage-Delta-MB]],UnilabUsage[[#This Row],[Free-of-Max]])</f>
        <v>32767</v>
      </c>
    </row>
    <row r="945" spans="1:14" x14ac:dyDescent="0.25">
      <c r="A945" s="3">
        <v>45208</v>
      </c>
      <c r="B945" s="15" t="s">
        <v>6</v>
      </c>
      <c r="C945" s="16">
        <v>95</v>
      </c>
      <c r="D945" s="16">
        <v>7685</v>
      </c>
      <c r="E945" s="16">
        <v>367</v>
      </c>
      <c r="F945" s="16">
        <v>7318</v>
      </c>
      <c r="G945" s="16">
        <v>5</v>
      </c>
      <c r="H945" s="16">
        <v>32768</v>
      </c>
      <c r="I945" s="16">
        <v>22</v>
      </c>
      <c r="J945" s="15" t="s">
        <v>1</v>
      </c>
      <c r="K945" s="15" t="s">
        <v>2</v>
      </c>
      <c r="L945" s="8">
        <f>UnilabUsage[[#This Row],[Used-MB]]-F935</f>
        <v>1</v>
      </c>
      <c r="M945">
        <f>UnilabUsage[[#This Row],[Max]]-UnilabUsage[[#This Row],[Used-MB]]</f>
        <v>25450</v>
      </c>
      <c r="N945" s="5">
        <f>IF($L945&gt;0,UnilabUsage[[#This Row],[Free-of-Max]]/UnilabUsage[[#This Row],[Usage-Delta-MB]],UnilabUsage[[#This Row],[Free-of-Max]])</f>
        <v>25450</v>
      </c>
    </row>
    <row r="946" spans="1:14" x14ac:dyDescent="0.25">
      <c r="A946" s="3">
        <v>45208</v>
      </c>
      <c r="B946" s="15" t="s">
        <v>3</v>
      </c>
      <c r="C946" s="16">
        <v>90</v>
      </c>
      <c r="D946" s="16">
        <v>491518</v>
      </c>
      <c r="E946" s="16">
        <v>47656</v>
      </c>
      <c r="F946" s="16">
        <v>443862</v>
      </c>
      <c r="G946" s="16">
        <v>10</v>
      </c>
      <c r="H946" s="16">
        <v>491520</v>
      </c>
      <c r="I946" s="16">
        <v>90</v>
      </c>
      <c r="J946" s="15" t="s">
        <v>1</v>
      </c>
      <c r="K946" s="15" t="s">
        <v>2</v>
      </c>
      <c r="L946" s="8">
        <f>UnilabUsage[[#This Row],[Used-MB]]-F936</f>
        <v>467</v>
      </c>
      <c r="M946">
        <f>UnilabUsage[[#This Row],[Max]]-UnilabUsage[[#This Row],[Used-MB]]</f>
        <v>47658</v>
      </c>
      <c r="N946" s="5">
        <f>IF($L946&gt;0,UnilabUsage[[#This Row],[Free-of-Max]]/UnilabUsage[[#This Row],[Usage-Delta-MB]],UnilabUsage[[#This Row],[Free-of-Max]])</f>
        <v>102.05139186295503</v>
      </c>
    </row>
    <row r="947" spans="1:14" x14ac:dyDescent="0.25">
      <c r="A947" s="3">
        <v>45208</v>
      </c>
      <c r="B947" s="15" t="s">
        <v>5</v>
      </c>
      <c r="C947" s="16">
        <v>95</v>
      </c>
      <c r="D947" s="16">
        <v>23500</v>
      </c>
      <c r="E947" s="16">
        <v>1163</v>
      </c>
      <c r="F947" s="16">
        <v>22337</v>
      </c>
      <c r="G947" s="16">
        <v>5</v>
      </c>
      <c r="H947" s="16">
        <v>32768</v>
      </c>
      <c r="I947" s="16">
        <v>68</v>
      </c>
      <c r="J947" s="15" t="s">
        <v>1</v>
      </c>
      <c r="K947" s="15" t="s">
        <v>2</v>
      </c>
      <c r="L947" s="8">
        <f>UnilabUsage[[#This Row],[Used-MB]]-F937</f>
        <v>65</v>
      </c>
      <c r="M947">
        <f>UnilabUsage[[#This Row],[Max]]-UnilabUsage[[#This Row],[Used-MB]]</f>
        <v>10431</v>
      </c>
      <c r="N947" s="5">
        <f>IF($L947&gt;0,UnilabUsage[[#This Row],[Free-of-Max]]/UnilabUsage[[#This Row],[Usage-Delta-MB]],UnilabUsage[[#This Row],[Free-of-Max]])</f>
        <v>160.47692307692307</v>
      </c>
    </row>
    <row r="948" spans="1:14" x14ac:dyDescent="0.25">
      <c r="A948" s="3">
        <v>45208</v>
      </c>
      <c r="B948" s="15" t="s">
        <v>8</v>
      </c>
      <c r="C948" s="16">
        <v>89</v>
      </c>
      <c r="D948" s="16">
        <v>327680</v>
      </c>
      <c r="E948" s="16">
        <v>36500</v>
      </c>
      <c r="F948" s="16">
        <v>291180</v>
      </c>
      <c r="G948" s="16">
        <v>11</v>
      </c>
      <c r="H948" s="16">
        <v>327680</v>
      </c>
      <c r="I948" s="16">
        <v>89</v>
      </c>
      <c r="J948" s="15" t="s">
        <v>1</v>
      </c>
      <c r="K948" s="15" t="s">
        <v>2</v>
      </c>
      <c r="L948" s="8">
        <f>UnilabUsage[[#This Row],[Used-MB]]-F938</f>
        <v>433</v>
      </c>
      <c r="M948">
        <f>UnilabUsage[[#This Row],[Max]]-UnilabUsage[[#This Row],[Used-MB]]</f>
        <v>36500</v>
      </c>
      <c r="N948" s="5">
        <f>IF($L948&gt;0,UnilabUsage[[#This Row],[Free-of-Max]]/UnilabUsage[[#This Row],[Usage-Delta-MB]],UnilabUsage[[#This Row],[Free-of-Max]])</f>
        <v>84.295612009237871</v>
      </c>
    </row>
    <row r="949" spans="1:14" x14ac:dyDescent="0.25">
      <c r="A949" s="3">
        <v>45208</v>
      </c>
      <c r="B949" s="15" t="s">
        <v>4</v>
      </c>
      <c r="C949" s="16">
        <v>94</v>
      </c>
      <c r="D949" s="16">
        <v>99260</v>
      </c>
      <c r="E949" s="16">
        <v>6348</v>
      </c>
      <c r="F949" s="16">
        <v>92912</v>
      </c>
      <c r="G949" s="16">
        <v>6</v>
      </c>
      <c r="H949" s="16">
        <v>131072</v>
      </c>
      <c r="I949" s="16">
        <v>71</v>
      </c>
      <c r="J949" s="15" t="s">
        <v>1</v>
      </c>
      <c r="K949" s="15" t="s">
        <v>2</v>
      </c>
      <c r="L949" s="8">
        <f>UnilabUsage[[#This Row],[Used-MB]]-F939</f>
        <v>64</v>
      </c>
      <c r="M949">
        <f>UnilabUsage[[#This Row],[Max]]-UnilabUsage[[#This Row],[Used-MB]]</f>
        <v>38160</v>
      </c>
      <c r="N949" s="5">
        <f>IF($L949&gt;0,UnilabUsage[[#This Row],[Free-of-Max]]/UnilabUsage[[#This Row],[Usage-Delta-MB]],UnilabUsage[[#This Row],[Free-of-Max]])</f>
        <v>596.25</v>
      </c>
    </row>
    <row r="950" spans="1:14" x14ac:dyDescent="0.25">
      <c r="A950" s="3">
        <v>45208</v>
      </c>
      <c r="B950" s="15" t="s">
        <v>12</v>
      </c>
      <c r="C950" s="16">
        <v>0</v>
      </c>
      <c r="D950" s="16">
        <v>30720</v>
      </c>
      <c r="E950" s="16">
        <v>30628</v>
      </c>
      <c r="F950" s="16">
        <v>92</v>
      </c>
      <c r="G950" s="16">
        <v>100</v>
      </c>
      <c r="H950" s="16">
        <v>30720</v>
      </c>
      <c r="I950" s="16">
        <v>0</v>
      </c>
      <c r="J950" s="15" t="s">
        <v>1</v>
      </c>
      <c r="K950" s="15" t="s">
        <v>13</v>
      </c>
      <c r="L950" s="8">
        <f>UnilabUsage[[#This Row],[Used-MB]]-F940</f>
        <v>-31</v>
      </c>
      <c r="M950">
        <f>UnilabUsage[[#This Row],[Max]]-UnilabUsage[[#This Row],[Used-MB]]</f>
        <v>30628</v>
      </c>
      <c r="N950" s="5">
        <f>IF($L950&gt;0,UnilabUsage[[#This Row],[Free-of-Max]]/UnilabUsage[[#This Row],[Usage-Delta-MB]],UnilabUsage[[#This Row],[Free-of-Max]])</f>
        <v>30628</v>
      </c>
    </row>
    <row r="951" spans="1:14" x14ac:dyDescent="0.25">
      <c r="A951" s="3">
        <v>45208</v>
      </c>
      <c r="B951" s="15" t="s">
        <v>9</v>
      </c>
      <c r="C951" s="16">
        <v>3</v>
      </c>
      <c r="D951" s="16">
        <v>10440</v>
      </c>
      <c r="E951" s="16">
        <v>10075</v>
      </c>
      <c r="F951" s="16">
        <v>365</v>
      </c>
      <c r="G951" s="16">
        <v>97</v>
      </c>
      <c r="H951" s="16">
        <v>32768</v>
      </c>
      <c r="I951" s="16">
        <v>1</v>
      </c>
      <c r="J951" s="15" t="s">
        <v>1</v>
      </c>
      <c r="K951" s="15" t="s">
        <v>10</v>
      </c>
      <c r="L951" s="8">
        <f>UnilabUsage[[#This Row],[Used-MB]]-F941</f>
        <v>14</v>
      </c>
      <c r="M951">
        <f>UnilabUsage[[#This Row],[Max]]-UnilabUsage[[#This Row],[Used-MB]]</f>
        <v>32403</v>
      </c>
      <c r="N951" s="5">
        <f>IF($L951&gt;0,UnilabUsage[[#This Row],[Free-of-Max]]/UnilabUsage[[#This Row],[Usage-Delta-MB]],UnilabUsage[[#This Row],[Free-of-Max]])</f>
        <v>2314.5</v>
      </c>
    </row>
    <row r="952" spans="1:14" x14ac:dyDescent="0.25">
      <c r="A952" s="3">
        <v>45215</v>
      </c>
      <c r="B952" s="15" t="s">
        <v>7</v>
      </c>
      <c r="C952" s="16">
        <v>96</v>
      </c>
      <c r="D952" s="16">
        <v>2340</v>
      </c>
      <c r="E952" s="16">
        <v>105</v>
      </c>
      <c r="F952" s="16">
        <v>2235</v>
      </c>
      <c r="G952" s="16">
        <v>4</v>
      </c>
      <c r="H952" s="16">
        <v>32768</v>
      </c>
      <c r="I952" s="16">
        <v>7</v>
      </c>
      <c r="J952" s="15" t="s">
        <v>1</v>
      </c>
      <c r="K952" s="15" t="s">
        <v>2</v>
      </c>
      <c r="L952" s="8">
        <f>UnilabUsage[[#This Row],[Used-MB]]-F942</f>
        <v>0</v>
      </c>
      <c r="M952">
        <f>UnilabUsage[[#This Row],[Max]]-UnilabUsage[[#This Row],[Used-MB]]</f>
        <v>30533</v>
      </c>
      <c r="N952" s="5">
        <f>IF($L952&gt;0,UnilabUsage[[#This Row],[Free-of-Max]]/UnilabUsage[[#This Row],[Usage-Delta-MB]],UnilabUsage[[#This Row],[Free-of-Max]])</f>
        <v>30533</v>
      </c>
    </row>
    <row r="953" spans="1:14" x14ac:dyDescent="0.25">
      <c r="A953" s="3">
        <v>45215</v>
      </c>
      <c r="B953" s="15" t="s">
        <v>0</v>
      </c>
      <c r="C953" s="16">
        <v>100</v>
      </c>
      <c r="D953" s="16">
        <v>22950</v>
      </c>
      <c r="E953" s="16">
        <v>24</v>
      </c>
      <c r="F953" s="16">
        <v>22926</v>
      </c>
      <c r="G953" s="16">
        <v>0</v>
      </c>
      <c r="H953" s="16">
        <v>32768</v>
      </c>
      <c r="I953" s="16">
        <v>70</v>
      </c>
      <c r="J953" s="15" t="s">
        <v>1</v>
      </c>
      <c r="K953" s="15" t="s">
        <v>2</v>
      </c>
      <c r="L953" s="8">
        <f>UnilabUsage[[#This Row],[Used-MB]]-F943</f>
        <v>66</v>
      </c>
      <c r="M953">
        <f>UnilabUsage[[#This Row],[Max]]-UnilabUsage[[#This Row],[Used-MB]]</f>
        <v>9842</v>
      </c>
      <c r="N953" s="5">
        <f>IF($L953&gt;0,UnilabUsage[[#This Row],[Free-of-Max]]/UnilabUsage[[#This Row],[Usage-Delta-MB]],UnilabUsage[[#This Row],[Free-of-Max]])</f>
        <v>149.12121212121212</v>
      </c>
    </row>
    <row r="954" spans="1:14" x14ac:dyDescent="0.25">
      <c r="A954" s="3">
        <v>45215</v>
      </c>
      <c r="B954" s="15" t="s">
        <v>11</v>
      </c>
      <c r="C954" s="16">
        <v>1</v>
      </c>
      <c r="D954" s="16">
        <v>100</v>
      </c>
      <c r="E954" s="16">
        <v>99</v>
      </c>
      <c r="F954" s="16">
        <v>1</v>
      </c>
      <c r="G954" s="16">
        <v>99</v>
      </c>
      <c r="H954" s="16">
        <v>32768</v>
      </c>
      <c r="I954" s="16">
        <v>0</v>
      </c>
      <c r="J954" s="15" t="s">
        <v>1</v>
      </c>
      <c r="K954" s="15" t="s">
        <v>2</v>
      </c>
      <c r="L954" s="8">
        <f>UnilabUsage[[#This Row],[Used-MB]]-F944</f>
        <v>0</v>
      </c>
      <c r="M954">
        <f>UnilabUsage[[#This Row],[Max]]-UnilabUsage[[#This Row],[Used-MB]]</f>
        <v>32767</v>
      </c>
      <c r="N954" s="5">
        <f>IF($L954&gt;0,UnilabUsage[[#This Row],[Free-of-Max]]/UnilabUsage[[#This Row],[Usage-Delta-MB]],UnilabUsage[[#This Row],[Free-of-Max]])</f>
        <v>32767</v>
      </c>
    </row>
    <row r="955" spans="1:14" x14ac:dyDescent="0.25">
      <c r="A955" s="3">
        <v>45215</v>
      </c>
      <c r="B955" s="15" t="s">
        <v>6</v>
      </c>
      <c r="C955" s="16">
        <v>95</v>
      </c>
      <c r="D955" s="16">
        <v>7695</v>
      </c>
      <c r="E955" s="16">
        <v>376</v>
      </c>
      <c r="F955" s="16">
        <v>7319</v>
      </c>
      <c r="G955" s="16">
        <v>5</v>
      </c>
      <c r="H955" s="16">
        <v>32768</v>
      </c>
      <c r="I955" s="16">
        <v>22</v>
      </c>
      <c r="J955" s="15" t="s">
        <v>1</v>
      </c>
      <c r="K955" s="15" t="s">
        <v>2</v>
      </c>
      <c r="L955" s="8">
        <f>UnilabUsage[[#This Row],[Used-MB]]-F945</f>
        <v>1</v>
      </c>
      <c r="M955">
        <f>UnilabUsage[[#This Row],[Max]]-UnilabUsage[[#This Row],[Used-MB]]</f>
        <v>25449</v>
      </c>
      <c r="N955" s="5">
        <f>IF($L955&gt;0,UnilabUsage[[#This Row],[Free-of-Max]]/UnilabUsage[[#This Row],[Usage-Delta-MB]],UnilabUsage[[#This Row],[Free-of-Max]])</f>
        <v>25449</v>
      </c>
    </row>
    <row r="956" spans="1:14" x14ac:dyDescent="0.25">
      <c r="A956" s="3">
        <v>45215</v>
      </c>
      <c r="B956" s="15" t="s">
        <v>3</v>
      </c>
      <c r="C956" s="16">
        <v>90</v>
      </c>
      <c r="D956" s="16">
        <v>491518</v>
      </c>
      <c r="E956" s="16">
        <v>46736</v>
      </c>
      <c r="F956" s="16">
        <v>444782</v>
      </c>
      <c r="G956" s="16">
        <v>10</v>
      </c>
      <c r="H956" s="16">
        <v>491520</v>
      </c>
      <c r="I956" s="16">
        <v>90</v>
      </c>
      <c r="J956" s="15" t="s">
        <v>1</v>
      </c>
      <c r="K956" s="15" t="s">
        <v>2</v>
      </c>
      <c r="L956" s="8">
        <f>UnilabUsage[[#This Row],[Used-MB]]-F946</f>
        <v>920</v>
      </c>
      <c r="M956">
        <f>UnilabUsage[[#This Row],[Max]]-UnilabUsage[[#This Row],[Used-MB]]</f>
        <v>46738</v>
      </c>
      <c r="N956" s="5">
        <f>IF($L956&gt;0,UnilabUsage[[#This Row],[Free-of-Max]]/UnilabUsage[[#This Row],[Usage-Delta-MB]],UnilabUsage[[#This Row],[Free-of-Max]])</f>
        <v>50.802173913043475</v>
      </c>
    </row>
    <row r="957" spans="1:14" x14ac:dyDescent="0.25">
      <c r="A957" s="3">
        <v>45215</v>
      </c>
      <c r="B957" s="15" t="s">
        <v>5</v>
      </c>
      <c r="C957" s="16">
        <v>95</v>
      </c>
      <c r="D957" s="16">
        <v>23500</v>
      </c>
      <c r="E957" s="16">
        <v>1091</v>
      </c>
      <c r="F957" s="16">
        <v>22409</v>
      </c>
      <c r="G957" s="16">
        <v>5</v>
      </c>
      <c r="H957" s="16">
        <v>32768</v>
      </c>
      <c r="I957" s="16">
        <v>68</v>
      </c>
      <c r="J957" s="15" t="s">
        <v>1</v>
      </c>
      <c r="K957" s="15" t="s">
        <v>2</v>
      </c>
      <c r="L957" s="8">
        <f>UnilabUsage[[#This Row],[Used-MB]]-F947</f>
        <v>72</v>
      </c>
      <c r="M957">
        <f>UnilabUsage[[#This Row],[Max]]-UnilabUsage[[#This Row],[Used-MB]]</f>
        <v>10359</v>
      </c>
      <c r="N957" s="5">
        <f>IF($L957&gt;0,UnilabUsage[[#This Row],[Free-of-Max]]/UnilabUsage[[#This Row],[Usage-Delta-MB]],UnilabUsage[[#This Row],[Free-of-Max]])</f>
        <v>143.875</v>
      </c>
    </row>
    <row r="958" spans="1:14" x14ac:dyDescent="0.25">
      <c r="A958" s="3">
        <v>45215</v>
      </c>
      <c r="B958" s="15" t="s">
        <v>8</v>
      </c>
      <c r="C958" s="16">
        <v>89</v>
      </c>
      <c r="D958" s="16">
        <v>327680</v>
      </c>
      <c r="E958" s="16">
        <v>36032</v>
      </c>
      <c r="F958" s="16">
        <v>291648</v>
      </c>
      <c r="G958" s="16">
        <v>11</v>
      </c>
      <c r="H958" s="16">
        <v>327680</v>
      </c>
      <c r="I958" s="16">
        <v>89</v>
      </c>
      <c r="J958" s="15" t="s">
        <v>1</v>
      </c>
      <c r="K958" s="15" t="s">
        <v>2</v>
      </c>
      <c r="L958" s="8">
        <f>UnilabUsage[[#This Row],[Used-MB]]-F948</f>
        <v>468</v>
      </c>
      <c r="M958">
        <f>UnilabUsage[[#This Row],[Max]]-UnilabUsage[[#This Row],[Used-MB]]</f>
        <v>36032</v>
      </c>
      <c r="N958" s="5">
        <f>IF($L958&gt;0,UnilabUsage[[#This Row],[Free-of-Max]]/UnilabUsage[[#This Row],[Usage-Delta-MB]],UnilabUsage[[#This Row],[Free-of-Max]])</f>
        <v>76.991452991452988</v>
      </c>
    </row>
    <row r="959" spans="1:14" x14ac:dyDescent="0.25">
      <c r="A959" s="3">
        <v>45215</v>
      </c>
      <c r="B959" s="15" t="s">
        <v>4</v>
      </c>
      <c r="C959" s="16">
        <v>94</v>
      </c>
      <c r="D959" s="16">
        <v>99260</v>
      </c>
      <c r="E959" s="16">
        <v>6156</v>
      </c>
      <c r="F959" s="16">
        <v>93104</v>
      </c>
      <c r="G959" s="16">
        <v>6</v>
      </c>
      <c r="H959" s="16">
        <v>131072</v>
      </c>
      <c r="I959" s="16">
        <v>71</v>
      </c>
      <c r="J959" s="15" t="s">
        <v>1</v>
      </c>
      <c r="K959" s="15" t="s">
        <v>2</v>
      </c>
      <c r="L959" s="8">
        <f>UnilabUsage[[#This Row],[Used-MB]]-F949</f>
        <v>192</v>
      </c>
      <c r="M959">
        <f>UnilabUsage[[#This Row],[Max]]-UnilabUsage[[#This Row],[Used-MB]]</f>
        <v>37968</v>
      </c>
      <c r="N959" s="5">
        <f>IF($L959&gt;0,UnilabUsage[[#This Row],[Free-of-Max]]/UnilabUsage[[#This Row],[Usage-Delta-MB]],UnilabUsage[[#This Row],[Free-of-Max]])</f>
        <v>197.75</v>
      </c>
    </row>
    <row r="960" spans="1:14" x14ac:dyDescent="0.25">
      <c r="A960" s="3">
        <v>45215</v>
      </c>
      <c r="B960" s="15" t="s">
        <v>12</v>
      </c>
      <c r="C960" s="16">
        <v>0</v>
      </c>
      <c r="D960" s="16">
        <v>30720</v>
      </c>
      <c r="E960" s="16">
        <v>30608</v>
      </c>
      <c r="F960" s="16">
        <v>112</v>
      </c>
      <c r="G960" s="16">
        <v>100</v>
      </c>
      <c r="H960" s="16">
        <v>30720</v>
      </c>
      <c r="I960" s="16">
        <v>0</v>
      </c>
      <c r="J960" s="15" t="s">
        <v>1</v>
      </c>
      <c r="K960" s="15" t="s">
        <v>13</v>
      </c>
      <c r="L960" s="8">
        <f>UnilabUsage[[#This Row],[Used-MB]]-F950</f>
        <v>20</v>
      </c>
      <c r="M960">
        <f>UnilabUsage[[#This Row],[Max]]-UnilabUsage[[#This Row],[Used-MB]]</f>
        <v>30608</v>
      </c>
      <c r="N960" s="5">
        <f>IF($L960&gt;0,UnilabUsage[[#This Row],[Free-of-Max]]/UnilabUsage[[#This Row],[Usage-Delta-MB]],UnilabUsage[[#This Row],[Free-of-Max]])</f>
        <v>1530.4</v>
      </c>
    </row>
    <row r="961" spans="1:14" x14ac:dyDescent="0.25">
      <c r="A961" s="3">
        <v>45215</v>
      </c>
      <c r="B961" s="15" t="s">
        <v>9</v>
      </c>
      <c r="C961" s="16">
        <v>3</v>
      </c>
      <c r="D961" s="16">
        <v>10440</v>
      </c>
      <c r="E961" s="16">
        <v>10078</v>
      </c>
      <c r="F961" s="16">
        <v>362</v>
      </c>
      <c r="G961" s="16">
        <v>97</v>
      </c>
      <c r="H961" s="16">
        <v>32768</v>
      </c>
      <c r="I961" s="16">
        <v>1</v>
      </c>
      <c r="J961" s="15" t="s">
        <v>1</v>
      </c>
      <c r="K961" s="15" t="s">
        <v>10</v>
      </c>
      <c r="L961" s="8">
        <f>UnilabUsage[[#This Row],[Used-MB]]-F951</f>
        <v>-3</v>
      </c>
      <c r="M961">
        <f>UnilabUsage[[#This Row],[Max]]-UnilabUsage[[#This Row],[Used-MB]]</f>
        <v>32406</v>
      </c>
      <c r="N961" s="5">
        <f>IF($L961&gt;0,UnilabUsage[[#This Row],[Free-of-Max]]/UnilabUsage[[#This Row],[Usage-Delta-MB]],UnilabUsage[[#This Row],[Free-of-Max]])</f>
        <v>32406</v>
      </c>
    </row>
    <row r="962" spans="1:14" x14ac:dyDescent="0.25">
      <c r="A962" s="3">
        <v>45222</v>
      </c>
      <c r="B962" s="15" t="s">
        <v>7</v>
      </c>
      <c r="C962" s="16">
        <v>96</v>
      </c>
      <c r="D962" s="16">
        <v>2340</v>
      </c>
      <c r="E962" s="16">
        <v>105</v>
      </c>
      <c r="F962" s="16">
        <v>2236</v>
      </c>
      <c r="G962" s="16">
        <v>4</v>
      </c>
      <c r="H962" s="16">
        <v>32768</v>
      </c>
      <c r="I962" s="16">
        <v>7</v>
      </c>
      <c r="J962" s="15" t="s">
        <v>1</v>
      </c>
      <c r="K962" s="15" t="s">
        <v>2</v>
      </c>
      <c r="L962" s="8">
        <f>UnilabUsage[[#This Row],[Used-MB]]-F952</f>
        <v>1</v>
      </c>
      <c r="M962">
        <f>UnilabUsage[[#This Row],[Max]]-UnilabUsage[[#This Row],[Used-MB]]</f>
        <v>30532</v>
      </c>
      <c r="N962" s="5">
        <f>IF($L962&gt;0,UnilabUsage[[#This Row],[Free-of-Max]]/UnilabUsage[[#This Row],[Usage-Delta-MB]],UnilabUsage[[#This Row],[Free-of-Max]])</f>
        <v>30532</v>
      </c>
    </row>
    <row r="963" spans="1:14" x14ac:dyDescent="0.25">
      <c r="A963" s="3">
        <v>45222</v>
      </c>
      <c r="B963" s="15" t="s">
        <v>0</v>
      </c>
      <c r="C963" s="16">
        <v>100</v>
      </c>
      <c r="D963" s="16">
        <v>22950</v>
      </c>
      <c r="E963" s="16">
        <v>24</v>
      </c>
      <c r="F963" s="16">
        <v>22926</v>
      </c>
      <c r="G963" s="16">
        <v>0</v>
      </c>
      <c r="H963" s="16">
        <v>32768</v>
      </c>
      <c r="I963" s="16">
        <v>70</v>
      </c>
      <c r="J963" s="15" t="s">
        <v>1</v>
      </c>
      <c r="K963" s="15" t="s">
        <v>2</v>
      </c>
      <c r="L963" s="8">
        <f>UnilabUsage[[#This Row],[Used-MB]]-F953</f>
        <v>0</v>
      </c>
      <c r="M963">
        <f>UnilabUsage[[#This Row],[Max]]-UnilabUsage[[#This Row],[Used-MB]]</f>
        <v>9842</v>
      </c>
      <c r="N963" s="5">
        <f>IF($L963&gt;0,UnilabUsage[[#This Row],[Free-of-Max]]/UnilabUsage[[#This Row],[Usage-Delta-MB]],UnilabUsage[[#This Row],[Free-of-Max]])</f>
        <v>9842</v>
      </c>
    </row>
    <row r="964" spans="1:14" x14ac:dyDescent="0.25">
      <c r="A964" s="3">
        <v>45222</v>
      </c>
      <c r="B964" s="15" t="s">
        <v>11</v>
      </c>
      <c r="C964" s="16">
        <v>1</v>
      </c>
      <c r="D964" s="16">
        <v>100</v>
      </c>
      <c r="E964" s="16">
        <v>99</v>
      </c>
      <c r="F964" s="16">
        <v>1</v>
      </c>
      <c r="G964" s="16">
        <v>99</v>
      </c>
      <c r="H964" s="16">
        <v>32768</v>
      </c>
      <c r="I964" s="16">
        <v>0</v>
      </c>
      <c r="J964" s="15" t="s">
        <v>1</v>
      </c>
      <c r="K964" s="15" t="s">
        <v>2</v>
      </c>
      <c r="L964" s="8">
        <f>UnilabUsage[[#This Row],[Used-MB]]-F954</f>
        <v>0</v>
      </c>
      <c r="M964">
        <f>UnilabUsage[[#This Row],[Max]]-UnilabUsage[[#This Row],[Used-MB]]</f>
        <v>32767</v>
      </c>
      <c r="N964" s="5">
        <f>IF($L964&gt;0,UnilabUsage[[#This Row],[Free-of-Max]]/UnilabUsage[[#This Row],[Usage-Delta-MB]],UnilabUsage[[#This Row],[Free-of-Max]])</f>
        <v>32767</v>
      </c>
    </row>
    <row r="965" spans="1:14" x14ac:dyDescent="0.25">
      <c r="A965" s="3">
        <v>45222</v>
      </c>
      <c r="B965" s="15" t="s">
        <v>6</v>
      </c>
      <c r="C965" s="16">
        <v>95</v>
      </c>
      <c r="D965" s="16">
        <v>7705</v>
      </c>
      <c r="E965" s="16">
        <v>369</v>
      </c>
      <c r="F965" s="16">
        <v>7336</v>
      </c>
      <c r="G965" s="16">
        <v>5</v>
      </c>
      <c r="H965" s="16">
        <v>32768</v>
      </c>
      <c r="I965" s="16">
        <v>22</v>
      </c>
      <c r="J965" s="15" t="s">
        <v>1</v>
      </c>
      <c r="K965" s="15" t="s">
        <v>2</v>
      </c>
      <c r="L965" s="8">
        <f>UnilabUsage[[#This Row],[Used-MB]]-F955</f>
        <v>17</v>
      </c>
      <c r="M965">
        <f>UnilabUsage[[#This Row],[Max]]-UnilabUsage[[#This Row],[Used-MB]]</f>
        <v>25432</v>
      </c>
      <c r="N965" s="5">
        <f>IF($L965&gt;0,UnilabUsage[[#This Row],[Free-of-Max]]/UnilabUsage[[#This Row],[Usage-Delta-MB]],UnilabUsage[[#This Row],[Free-of-Max]])</f>
        <v>1496</v>
      </c>
    </row>
    <row r="966" spans="1:14" x14ac:dyDescent="0.25">
      <c r="A966" s="3">
        <v>45222</v>
      </c>
      <c r="B966" s="15" t="s">
        <v>3</v>
      </c>
      <c r="C966" s="16">
        <v>91</v>
      </c>
      <c r="D966" s="16">
        <v>491518</v>
      </c>
      <c r="E966" s="16">
        <v>46206</v>
      </c>
      <c r="F966" s="16">
        <v>445312</v>
      </c>
      <c r="G966" s="16">
        <v>9</v>
      </c>
      <c r="H966" s="16">
        <v>491520</v>
      </c>
      <c r="I966" s="16">
        <v>91</v>
      </c>
      <c r="J966" s="15" t="s">
        <v>1</v>
      </c>
      <c r="K966" s="15" t="s">
        <v>2</v>
      </c>
      <c r="L966" s="8">
        <f>UnilabUsage[[#This Row],[Used-MB]]-F956</f>
        <v>530</v>
      </c>
      <c r="M966">
        <f>UnilabUsage[[#This Row],[Max]]-UnilabUsage[[#This Row],[Used-MB]]</f>
        <v>46208</v>
      </c>
      <c r="N966" s="5">
        <f>IF($L966&gt;0,UnilabUsage[[#This Row],[Free-of-Max]]/UnilabUsage[[#This Row],[Usage-Delta-MB]],UnilabUsage[[#This Row],[Free-of-Max]])</f>
        <v>87.184905660377353</v>
      </c>
    </row>
    <row r="967" spans="1:14" x14ac:dyDescent="0.25">
      <c r="A967" s="3">
        <v>45222</v>
      </c>
      <c r="B967" s="15" t="s">
        <v>5</v>
      </c>
      <c r="C967" s="16">
        <v>95</v>
      </c>
      <c r="D967" s="16">
        <v>23700</v>
      </c>
      <c r="E967" s="16">
        <v>1146</v>
      </c>
      <c r="F967" s="16">
        <v>22554</v>
      </c>
      <c r="G967" s="16">
        <v>5</v>
      </c>
      <c r="H967" s="16">
        <v>32768</v>
      </c>
      <c r="I967" s="16">
        <v>69</v>
      </c>
      <c r="J967" s="15" t="s">
        <v>1</v>
      </c>
      <c r="K967" s="15" t="s">
        <v>2</v>
      </c>
      <c r="L967" s="8">
        <f>UnilabUsage[[#This Row],[Used-MB]]-F957</f>
        <v>145</v>
      </c>
      <c r="M967">
        <f>UnilabUsage[[#This Row],[Max]]-UnilabUsage[[#This Row],[Used-MB]]</f>
        <v>10214</v>
      </c>
      <c r="N967" s="5">
        <f>IF($L967&gt;0,UnilabUsage[[#This Row],[Free-of-Max]]/UnilabUsage[[#This Row],[Usage-Delta-MB]],UnilabUsage[[#This Row],[Free-of-Max]])</f>
        <v>70.441379310344828</v>
      </c>
    </row>
    <row r="968" spans="1:14" x14ac:dyDescent="0.25">
      <c r="A968" s="3">
        <v>45222</v>
      </c>
      <c r="B968" s="15" t="s">
        <v>8</v>
      </c>
      <c r="C968" s="16">
        <v>89</v>
      </c>
      <c r="D968" s="16">
        <v>327680</v>
      </c>
      <c r="E968" s="16">
        <v>35453</v>
      </c>
      <c r="F968" s="16">
        <v>292227</v>
      </c>
      <c r="G968" s="16">
        <v>11</v>
      </c>
      <c r="H968" s="16">
        <v>327680</v>
      </c>
      <c r="I968" s="16">
        <v>89</v>
      </c>
      <c r="J968" s="15" t="s">
        <v>1</v>
      </c>
      <c r="K968" s="15" t="s">
        <v>2</v>
      </c>
      <c r="L968" s="8">
        <f>UnilabUsage[[#This Row],[Used-MB]]-F958</f>
        <v>579</v>
      </c>
      <c r="M968">
        <f>UnilabUsage[[#This Row],[Max]]-UnilabUsage[[#This Row],[Used-MB]]</f>
        <v>35453</v>
      </c>
      <c r="N968" s="5">
        <f>IF($L968&gt;0,UnilabUsage[[#This Row],[Free-of-Max]]/UnilabUsage[[#This Row],[Usage-Delta-MB]],UnilabUsage[[#This Row],[Free-of-Max]])</f>
        <v>61.231433506044908</v>
      </c>
    </row>
    <row r="969" spans="1:14" x14ac:dyDescent="0.25">
      <c r="A969" s="3">
        <v>45222</v>
      </c>
      <c r="B969" s="15" t="s">
        <v>4</v>
      </c>
      <c r="C969" s="16">
        <v>94</v>
      </c>
      <c r="D969" s="16">
        <v>99260</v>
      </c>
      <c r="E969" s="16">
        <v>6092</v>
      </c>
      <c r="F969" s="16">
        <v>93168</v>
      </c>
      <c r="G969" s="16">
        <v>6</v>
      </c>
      <c r="H969" s="16">
        <v>131072</v>
      </c>
      <c r="I969" s="16">
        <v>71</v>
      </c>
      <c r="J969" s="15" t="s">
        <v>1</v>
      </c>
      <c r="K969" s="15" t="s">
        <v>2</v>
      </c>
      <c r="L969" s="8">
        <f>UnilabUsage[[#This Row],[Used-MB]]-F959</f>
        <v>64</v>
      </c>
      <c r="M969">
        <f>UnilabUsage[[#This Row],[Max]]-UnilabUsage[[#This Row],[Used-MB]]</f>
        <v>37904</v>
      </c>
      <c r="N969" s="5">
        <f>IF($L969&gt;0,UnilabUsage[[#This Row],[Free-of-Max]]/UnilabUsage[[#This Row],[Usage-Delta-MB]],UnilabUsage[[#This Row],[Free-of-Max]])</f>
        <v>592.25</v>
      </c>
    </row>
    <row r="970" spans="1:14" x14ac:dyDescent="0.25">
      <c r="A970" s="3">
        <v>45222</v>
      </c>
      <c r="B970" s="15" t="s">
        <v>12</v>
      </c>
      <c r="C970" s="16">
        <v>0</v>
      </c>
      <c r="D970" s="16">
        <v>30720</v>
      </c>
      <c r="E970" s="16">
        <v>30632</v>
      </c>
      <c r="F970" s="16">
        <v>88</v>
      </c>
      <c r="G970" s="16">
        <v>100</v>
      </c>
      <c r="H970" s="16">
        <v>30720</v>
      </c>
      <c r="I970" s="16">
        <v>0</v>
      </c>
      <c r="J970" s="15" t="s">
        <v>1</v>
      </c>
      <c r="K970" s="15" t="s">
        <v>13</v>
      </c>
      <c r="L970" s="8">
        <f>UnilabUsage[[#This Row],[Used-MB]]-F960</f>
        <v>-24</v>
      </c>
      <c r="M970">
        <f>UnilabUsage[[#This Row],[Max]]-UnilabUsage[[#This Row],[Used-MB]]</f>
        <v>30632</v>
      </c>
      <c r="N970" s="5">
        <f>IF($L970&gt;0,UnilabUsage[[#This Row],[Free-of-Max]]/UnilabUsage[[#This Row],[Usage-Delta-MB]],UnilabUsage[[#This Row],[Free-of-Max]])</f>
        <v>30632</v>
      </c>
    </row>
    <row r="971" spans="1:14" x14ac:dyDescent="0.25">
      <c r="A971" s="3">
        <v>45222</v>
      </c>
      <c r="B971" s="15" t="s">
        <v>9</v>
      </c>
      <c r="C971" s="16">
        <v>4</v>
      </c>
      <c r="D971" s="16">
        <v>10440</v>
      </c>
      <c r="E971" s="16">
        <v>10068</v>
      </c>
      <c r="F971" s="16">
        <v>372</v>
      </c>
      <c r="G971" s="16">
        <v>96</v>
      </c>
      <c r="H971" s="16">
        <v>32768</v>
      </c>
      <c r="I971" s="16">
        <v>1</v>
      </c>
      <c r="J971" s="15" t="s">
        <v>1</v>
      </c>
      <c r="K971" s="15" t="s">
        <v>10</v>
      </c>
      <c r="L971" s="8">
        <f>UnilabUsage[[#This Row],[Used-MB]]-F961</f>
        <v>10</v>
      </c>
      <c r="M971">
        <f>UnilabUsage[[#This Row],[Max]]-UnilabUsage[[#This Row],[Used-MB]]</f>
        <v>32396</v>
      </c>
      <c r="N971" s="5">
        <f>IF($L971&gt;0,UnilabUsage[[#This Row],[Free-of-Max]]/UnilabUsage[[#This Row],[Usage-Delta-MB]],UnilabUsage[[#This Row],[Free-of-Max]])</f>
        <v>3239.6</v>
      </c>
    </row>
    <row r="972" spans="1:14" x14ac:dyDescent="0.25">
      <c r="A972" s="3">
        <v>45229</v>
      </c>
      <c r="B972" s="15" t="s">
        <v>7</v>
      </c>
      <c r="C972" s="16">
        <v>95</v>
      </c>
      <c r="D972" s="16">
        <v>2360</v>
      </c>
      <c r="E972" s="16">
        <v>117</v>
      </c>
      <c r="F972" s="16">
        <v>2243</v>
      </c>
      <c r="G972" s="16">
        <v>5</v>
      </c>
      <c r="H972" s="16">
        <v>32768</v>
      </c>
      <c r="I972" s="16">
        <v>7</v>
      </c>
      <c r="J972" s="15" t="s">
        <v>1</v>
      </c>
      <c r="K972" s="15" t="s">
        <v>2</v>
      </c>
      <c r="L972" s="8">
        <f>UnilabUsage[[#This Row],[Used-MB]]-F962</f>
        <v>7</v>
      </c>
      <c r="M972">
        <f>UnilabUsage[[#This Row],[Max]]-UnilabUsage[[#This Row],[Used-MB]]</f>
        <v>30525</v>
      </c>
      <c r="N972" s="5">
        <f>IF($L972&gt;0,UnilabUsage[[#This Row],[Free-of-Max]]/UnilabUsage[[#This Row],[Usage-Delta-MB]],UnilabUsage[[#This Row],[Free-of-Max]])</f>
        <v>4360.7142857142853</v>
      </c>
    </row>
    <row r="973" spans="1:14" x14ac:dyDescent="0.25">
      <c r="A973" s="3">
        <v>45229</v>
      </c>
      <c r="B973" s="15" t="s">
        <v>0</v>
      </c>
      <c r="C973" s="16">
        <v>100</v>
      </c>
      <c r="D973" s="16">
        <v>23050</v>
      </c>
      <c r="E973" s="16">
        <v>60</v>
      </c>
      <c r="F973" s="16">
        <v>22990</v>
      </c>
      <c r="G973" s="16">
        <v>0</v>
      </c>
      <c r="H973" s="16">
        <v>32768</v>
      </c>
      <c r="I973" s="16">
        <v>70</v>
      </c>
      <c r="J973" s="15" t="s">
        <v>1</v>
      </c>
      <c r="K973" s="15" t="s">
        <v>2</v>
      </c>
      <c r="L973" s="8">
        <f>UnilabUsage[[#This Row],[Used-MB]]-F963</f>
        <v>64</v>
      </c>
      <c r="M973">
        <f>UnilabUsage[[#This Row],[Max]]-UnilabUsage[[#This Row],[Used-MB]]</f>
        <v>9778</v>
      </c>
      <c r="N973" s="5">
        <f>IF($L973&gt;0,UnilabUsage[[#This Row],[Free-of-Max]]/UnilabUsage[[#This Row],[Usage-Delta-MB]],UnilabUsage[[#This Row],[Free-of-Max]])</f>
        <v>152.78125</v>
      </c>
    </row>
    <row r="974" spans="1:14" x14ac:dyDescent="0.25">
      <c r="A974" s="3">
        <v>45229</v>
      </c>
      <c r="B974" s="15" t="s">
        <v>11</v>
      </c>
      <c r="C974" s="16">
        <v>1</v>
      </c>
      <c r="D974" s="16">
        <v>100</v>
      </c>
      <c r="E974" s="16">
        <v>99</v>
      </c>
      <c r="F974" s="16">
        <v>1</v>
      </c>
      <c r="G974" s="16">
        <v>99</v>
      </c>
      <c r="H974" s="16">
        <v>32768</v>
      </c>
      <c r="I974" s="16">
        <v>0</v>
      </c>
      <c r="J974" s="15" t="s">
        <v>1</v>
      </c>
      <c r="K974" s="15" t="s">
        <v>2</v>
      </c>
      <c r="L974" s="8">
        <f>UnilabUsage[[#This Row],[Used-MB]]-F964</f>
        <v>0</v>
      </c>
      <c r="M974">
        <f>UnilabUsage[[#This Row],[Max]]-UnilabUsage[[#This Row],[Used-MB]]</f>
        <v>32767</v>
      </c>
      <c r="N974" s="5">
        <f>IF($L974&gt;0,UnilabUsage[[#This Row],[Free-of-Max]]/UnilabUsage[[#This Row],[Usage-Delta-MB]],UnilabUsage[[#This Row],[Free-of-Max]])</f>
        <v>32767</v>
      </c>
    </row>
    <row r="975" spans="1:14" x14ac:dyDescent="0.25">
      <c r="A975" s="3">
        <v>45229</v>
      </c>
      <c r="B975" s="15" t="s">
        <v>6</v>
      </c>
      <c r="C975" s="16">
        <v>95</v>
      </c>
      <c r="D975" s="16">
        <v>7715</v>
      </c>
      <c r="E975" s="16">
        <v>377</v>
      </c>
      <c r="F975" s="16">
        <v>7338</v>
      </c>
      <c r="G975" s="16">
        <v>5</v>
      </c>
      <c r="H975" s="16">
        <v>32768</v>
      </c>
      <c r="I975" s="16">
        <v>22</v>
      </c>
      <c r="J975" s="15" t="s">
        <v>1</v>
      </c>
      <c r="K975" s="15" t="s">
        <v>2</v>
      </c>
      <c r="L975" s="8">
        <f>UnilabUsage[[#This Row],[Used-MB]]-F965</f>
        <v>2</v>
      </c>
      <c r="M975">
        <f>UnilabUsage[[#This Row],[Max]]-UnilabUsage[[#This Row],[Used-MB]]</f>
        <v>25430</v>
      </c>
      <c r="N975" s="5">
        <f>IF($L975&gt;0,UnilabUsage[[#This Row],[Free-of-Max]]/UnilabUsage[[#This Row],[Usage-Delta-MB]],UnilabUsage[[#This Row],[Free-of-Max]])</f>
        <v>12715</v>
      </c>
    </row>
    <row r="976" spans="1:14" x14ac:dyDescent="0.25">
      <c r="A976" s="3">
        <v>45229</v>
      </c>
      <c r="B976" s="15" t="s">
        <v>3</v>
      </c>
      <c r="C976" s="16">
        <v>91</v>
      </c>
      <c r="D976" s="16">
        <v>491518</v>
      </c>
      <c r="E976" s="16">
        <v>45637</v>
      </c>
      <c r="F976" s="16">
        <v>445881</v>
      </c>
      <c r="G976" s="16">
        <v>9</v>
      </c>
      <c r="H976" s="16">
        <v>491520</v>
      </c>
      <c r="I976" s="16">
        <v>91</v>
      </c>
      <c r="J976" s="15" t="s">
        <v>1</v>
      </c>
      <c r="K976" s="15" t="s">
        <v>2</v>
      </c>
      <c r="L976" s="8">
        <f>UnilabUsage[[#This Row],[Used-MB]]-F966</f>
        <v>569</v>
      </c>
      <c r="M976">
        <f>UnilabUsage[[#This Row],[Max]]-UnilabUsage[[#This Row],[Used-MB]]</f>
        <v>45639</v>
      </c>
      <c r="N976" s="5">
        <f>IF($L976&gt;0,UnilabUsage[[#This Row],[Free-of-Max]]/UnilabUsage[[#This Row],[Usage-Delta-MB]],UnilabUsage[[#This Row],[Free-of-Max]])</f>
        <v>80.209138840070295</v>
      </c>
    </row>
    <row r="977" spans="1:14" x14ac:dyDescent="0.25">
      <c r="A977" s="3">
        <v>45229</v>
      </c>
      <c r="B977" s="15" t="s">
        <v>5</v>
      </c>
      <c r="C977" s="16">
        <v>95</v>
      </c>
      <c r="D977" s="16">
        <v>23700</v>
      </c>
      <c r="E977" s="16">
        <v>1137</v>
      </c>
      <c r="F977" s="16">
        <v>22563</v>
      </c>
      <c r="G977" s="16">
        <v>5</v>
      </c>
      <c r="H977" s="16">
        <v>32768</v>
      </c>
      <c r="I977" s="16">
        <v>69</v>
      </c>
      <c r="J977" s="15" t="s">
        <v>1</v>
      </c>
      <c r="K977" s="15" t="s">
        <v>2</v>
      </c>
      <c r="L977" s="8">
        <f>UnilabUsage[[#This Row],[Used-MB]]-F967</f>
        <v>9</v>
      </c>
      <c r="M977">
        <f>UnilabUsage[[#This Row],[Max]]-UnilabUsage[[#This Row],[Used-MB]]</f>
        <v>10205</v>
      </c>
      <c r="N977" s="5">
        <f>IF($L977&gt;0,UnilabUsage[[#This Row],[Free-of-Max]]/UnilabUsage[[#This Row],[Usage-Delta-MB]],UnilabUsage[[#This Row],[Free-of-Max]])</f>
        <v>1133.8888888888889</v>
      </c>
    </row>
    <row r="978" spans="1:14" x14ac:dyDescent="0.25">
      <c r="A978" s="3">
        <v>45229</v>
      </c>
      <c r="B978" s="15" t="s">
        <v>8</v>
      </c>
      <c r="C978" s="16">
        <v>89</v>
      </c>
      <c r="D978" s="16">
        <v>327680</v>
      </c>
      <c r="E978" s="16">
        <v>35113</v>
      </c>
      <c r="F978" s="16">
        <v>292566</v>
      </c>
      <c r="G978" s="16">
        <v>11</v>
      </c>
      <c r="H978" s="16">
        <v>327680</v>
      </c>
      <c r="I978" s="16">
        <v>89</v>
      </c>
      <c r="J978" s="15" t="s">
        <v>1</v>
      </c>
      <c r="K978" s="15" t="s">
        <v>2</v>
      </c>
      <c r="L978" s="8">
        <f>UnilabUsage[[#This Row],[Used-MB]]-F968</f>
        <v>339</v>
      </c>
      <c r="M978">
        <f>UnilabUsage[[#This Row],[Max]]-UnilabUsage[[#This Row],[Used-MB]]</f>
        <v>35114</v>
      </c>
      <c r="N978" s="5">
        <f>IF($L978&gt;0,UnilabUsage[[#This Row],[Free-of-Max]]/UnilabUsage[[#This Row],[Usage-Delta-MB]],UnilabUsage[[#This Row],[Free-of-Max]])</f>
        <v>103.5811209439528</v>
      </c>
    </row>
    <row r="979" spans="1:14" x14ac:dyDescent="0.25">
      <c r="A979" s="3">
        <v>45229</v>
      </c>
      <c r="B979" s="15" t="s">
        <v>4</v>
      </c>
      <c r="C979" s="16">
        <v>94</v>
      </c>
      <c r="D979" s="16">
        <v>99260</v>
      </c>
      <c r="E979" s="16">
        <v>5964</v>
      </c>
      <c r="F979" s="16">
        <v>93296</v>
      </c>
      <c r="G979" s="16">
        <v>6</v>
      </c>
      <c r="H979" s="16">
        <v>131072</v>
      </c>
      <c r="I979" s="16">
        <v>71</v>
      </c>
      <c r="J979" s="15" t="s">
        <v>1</v>
      </c>
      <c r="K979" s="15" t="s">
        <v>2</v>
      </c>
      <c r="L979" s="8">
        <f>UnilabUsage[[#This Row],[Used-MB]]-F969</f>
        <v>128</v>
      </c>
      <c r="M979">
        <f>UnilabUsage[[#This Row],[Max]]-UnilabUsage[[#This Row],[Used-MB]]</f>
        <v>37776</v>
      </c>
      <c r="N979" s="5">
        <f>IF($L979&gt;0,UnilabUsage[[#This Row],[Free-of-Max]]/UnilabUsage[[#This Row],[Usage-Delta-MB]],UnilabUsage[[#This Row],[Free-of-Max]])</f>
        <v>295.125</v>
      </c>
    </row>
    <row r="980" spans="1:14" x14ac:dyDescent="0.25">
      <c r="A980" s="3">
        <v>45229</v>
      </c>
      <c r="B980" s="15" t="s">
        <v>12</v>
      </c>
      <c r="C980" s="16">
        <v>0</v>
      </c>
      <c r="D980" s="16">
        <v>30720</v>
      </c>
      <c r="E980" s="16">
        <v>30645</v>
      </c>
      <c r="F980" s="16">
        <v>75</v>
      </c>
      <c r="G980" s="16">
        <v>100</v>
      </c>
      <c r="H980" s="16">
        <v>30720</v>
      </c>
      <c r="I980" s="16">
        <v>0</v>
      </c>
      <c r="J980" s="15" t="s">
        <v>1</v>
      </c>
      <c r="K980" s="15" t="s">
        <v>13</v>
      </c>
      <c r="L980" s="8">
        <f>UnilabUsage[[#This Row],[Used-MB]]-F970</f>
        <v>-13</v>
      </c>
      <c r="M980">
        <f>UnilabUsage[[#This Row],[Max]]-UnilabUsage[[#This Row],[Used-MB]]</f>
        <v>30645</v>
      </c>
      <c r="N980" s="5">
        <f>IF($L980&gt;0,UnilabUsage[[#This Row],[Free-of-Max]]/UnilabUsage[[#This Row],[Usage-Delta-MB]],UnilabUsage[[#This Row],[Free-of-Max]])</f>
        <v>30645</v>
      </c>
    </row>
    <row r="981" spans="1:14" x14ac:dyDescent="0.25">
      <c r="A981" s="3">
        <v>45229</v>
      </c>
      <c r="B981" s="15" t="s">
        <v>9</v>
      </c>
      <c r="C981" s="16">
        <v>5</v>
      </c>
      <c r="D981" s="16">
        <v>10440</v>
      </c>
      <c r="E981" s="16">
        <v>9887</v>
      </c>
      <c r="F981" s="16">
        <v>553</v>
      </c>
      <c r="G981" s="16">
        <v>95</v>
      </c>
      <c r="H981" s="16">
        <v>32768</v>
      </c>
      <c r="I981" s="16">
        <v>2</v>
      </c>
      <c r="J981" s="15" t="s">
        <v>1</v>
      </c>
      <c r="K981" s="15" t="s">
        <v>10</v>
      </c>
      <c r="L981" s="8">
        <f>UnilabUsage[[#This Row],[Used-MB]]-F971</f>
        <v>181</v>
      </c>
      <c r="M981">
        <f>UnilabUsage[[#This Row],[Max]]-UnilabUsage[[#This Row],[Used-MB]]</f>
        <v>32215</v>
      </c>
      <c r="N981" s="5">
        <f>IF($L981&gt;0,UnilabUsage[[#This Row],[Free-of-Max]]/UnilabUsage[[#This Row],[Usage-Delta-MB]],UnilabUsage[[#This Row],[Free-of-Max]])</f>
        <v>177.98342541436463</v>
      </c>
    </row>
    <row r="982" spans="1:14" x14ac:dyDescent="0.25">
      <c r="A982" s="3">
        <v>45236</v>
      </c>
      <c r="B982" s="15" t="s">
        <v>7</v>
      </c>
      <c r="C982" s="16">
        <v>95</v>
      </c>
      <c r="D982" s="16">
        <v>2360</v>
      </c>
      <c r="E982" s="16">
        <v>117</v>
      </c>
      <c r="F982" s="16">
        <v>2243</v>
      </c>
      <c r="G982" s="16">
        <v>5</v>
      </c>
      <c r="H982" s="16">
        <v>32768</v>
      </c>
      <c r="I982" s="16">
        <v>7</v>
      </c>
      <c r="J982" s="15" t="s">
        <v>1</v>
      </c>
      <c r="K982" s="15" t="s">
        <v>2</v>
      </c>
      <c r="L982" s="8">
        <f>UnilabUsage[[#This Row],[Used-MB]]-F972</f>
        <v>0</v>
      </c>
      <c r="M982">
        <f>UnilabUsage[[#This Row],[Max]]-UnilabUsage[[#This Row],[Used-MB]]</f>
        <v>30525</v>
      </c>
      <c r="N982" s="5">
        <f>IF($L982&gt;0,UnilabUsage[[#This Row],[Free-of-Max]]/UnilabUsage[[#This Row],[Usage-Delta-MB]],UnilabUsage[[#This Row],[Free-of-Max]])</f>
        <v>30525</v>
      </c>
    </row>
    <row r="983" spans="1:14" x14ac:dyDescent="0.25">
      <c r="A983" s="3">
        <v>45236</v>
      </c>
      <c r="B983" s="15" t="s">
        <v>0</v>
      </c>
      <c r="C983" s="16">
        <v>100</v>
      </c>
      <c r="D983" s="16">
        <v>23150</v>
      </c>
      <c r="E983" s="16">
        <v>96</v>
      </c>
      <c r="F983" s="16">
        <v>23054</v>
      </c>
      <c r="G983" s="16">
        <v>0</v>
      </c>
      <c r="H983" s="16">
        <v>32768</v>
      </c>
      <c r="I983" s="16">
        <v>70</v>
      </c>
      <c r="J983" s="15" t="s">
        <v>1</v>
      </c>
      <c r="K983" s="15" t="s">
        <v>2</v>
      </c>
      <c r="L983" s="8">
        <f>UnilabUsage[[#This Row],[Used-MB]]-F973</f>
        <v>64</v>
      </c>
      <c r="M983">
        <f>UnilabUsage[[#This Row],[Max]]-UnilabUsage[[#This Row],[Used-MB]]</f>
        <v>9714</v>
      </c>
      <c r="N983" s="5">
        <f>IF($L983&gt;0,UnilabUsage[[#This Row],[Free-of-Max]]/UnilabUsage[[#This Row],[Usage-Delta-MB]],UnilabUsage[[#This Row],[Free-of-Max]])</f>
        <v>151.78125</v>
      </c>
    </row>
    <row r="984" spans="1:14" x14ac:dyDescent="0.25">
      <c r="A984" s="3">
        <v>45236</v>
      </c>
      <c r="B984" s="15" t="s">
        <v>11</v>
      </c>
      <c r="C984" s="16">
        <v>1</v>
      </c>
      <c r="D984" s="16">
        <v>100</v>
      </c>
      <c r="E984" s="16">
        <v>99</v>
      </c>
      <c r="F984" s="16">
        <v>1</v>
      </c>
      <c r="G984" s="16">
        <v>99</v>
      </c>
      <c r="H984" s="16">
        <v>32768</v>
      </c>
      <c r="I984" s="16">
        <v>0</v>
      </c>
      <c r="J984" s="15" t="s">
        <v>1</v>
      </c>
      <c r="K984" s="15" t="s">
        <v>2</v>
      </c>
      <c r="L984" s="8">
        <f>UnilabUsage[[#This Row],[Used-MB]]-F974</f>
        <v>0</v>
      </c>
      <c r="M984">
        <f>UnilabUsage[[#This Row],[Max]]-UnilabUsage[[#This Row],[Used-MB]]</f>
        <v>32767</v>
      </c>
      <c r="N984" s="5">
        <f>IF($L984&gt;0,UnilabUsage[[#This Row],[Free-of-Max]]/UnilabUsage[[#This Row],[Usage-Delta-MB]],UnilabUsage[[#This Row],[Free-of-Max]])</f>
        <v>32767</v>
      </c>
    </row>
    <row r="985" spans="1:14" x14ac:dyDescent="0.25">
      <c r="A985" s="3">
        <v>45236</v>
      </c>
      <c r="B985" s="15" t="s">
        <v>6</v>
      </c>
      <c r="C985" s="16">
        <v>95</v>
      </c>
      <c r="D985" s="16">
        <v>7715</v>
      </c>
      <c r="E985" s="16">
        <v>377</v>
      </c>
      <c r="F985" s="16">
        <v>7338</v>
      </c>
      <c r="G985" s="16">
        <v>5</v>
      </c>
      <c r="H985" s="16">
        <v>32768</v>
      </c>
      <c r="I985" s="16">
        <v>22</v>
      </c>
      <c r="J985" s="15" t="s">
        <v>1</v>
      </c>
      <c r="K985" s="15" t="s">
        <v>2</v>
      </c>
      <c r="L985" s="8">
        <f>UnilabUsage[[#This Row],[Used-MB]]-F975</f>
        <v>0</v>
      </c>
      <c r="M985">
        <f>UnilabUsage[[#This Row],[Max]]-UnilabUsage[[#This Row],[Used-MB]]</f>
        <v>25430</v>
      </c>
      <c r="N985" s="5">
        <f>IF($L985&gt;0,UnilabUsage[[#This Row],[Free-of-Max]]/UnilabUsage[[#This Row],[Usage-Delta-MB]],UnilabUsage[[#This Row],[Free-of-Max]])</f>
        <v>25430</v>
      </c>
    </row>
    <row r="986" spans="1:14" x14ac:dyDescent="0.25">
      <c r="A986" s="3">
        <v>45236</v>
      </c>
      <c r="B986" s="15" t="s">
        <v>3</v>
      </c>
      <c r="C986" s="16">
        <v>91</v>
      </c>
      <c r="D986" s="16">
        <v>491518</v>
      </c>
      <c r="E986" s="16">
        <v>44835</v>
      </c>
      <c r="F986" s="16">
        <v>446682</v>
      </c>
      <c r="G986" s="16">
        <v>9</v>
      </c>
      <c r="H986" s="16">
        <v>491520</v>
      </c>
      <c r="I986" s="16">
        <v>91</v>
      </c>
      <c r="J986" s="15" t="s">
        <v>1</v>
      </c>
      <c r="K986" s="15" t="s">
        <v>2</v>
      </c>
      <c r="L986" s="8">
        <f>UnilabUsage[[#This Row],[Used-MB]]-F976</f>
        <v>801</v>
      </c>
      <c r="M986">
        <f>UnilabUsage[[#This Row],[Max]]-UnilabUsage[[#This Row],[Used-MB]]</f>
        <v>44838</v>
      </c>
      <c r="N986" s="5">
        <f>IF($L986&gt;0,UnilabUsage[[#This Row],[Free-of-Max]]/UnilabUsage[[#This Row],[Usage-Delta-MB]],UnilabUsage[[#This Row],[Free-of-Max]])</f>
        <v>55.977528089887642</v>
      </c>
    </row>
    <row r="987" spans="1:14" x14ac:dyDescent="0.25">
      <c r="A987" s="3">
        <v>45236</v>
      </c>
      <c r="B987" s="15" t="s">
        <v>5</v>
      </c>
      <c r="C987" s="16">
        <v>96</v>
      </c>
      <c r="D987" s="16">
        <v>23700</v>
      </c>
      <c r="E987" s="16">
        <v>1065</v>
      </c>
      <c r="F987" s="16">
        <v>22635</v>
      </c>
      <c r="G987" s="16">
        <v>4</v>
      </c>
      <c r="H987" s="16">
        <v>32768</v>
      </c>
      <c r="I987" s="16">
        <v>69</v>
      </c>
      <c r="J987" s="15" t="s">
        <v>1</v>
      </c>
      <c r="K987" s="15" t="s">
        <v>2</v>
      </c>
      <c r="L987" s="8">
        <f>UnilabUsage[[#This Row],[Used-MB]]-F977</f>
        <v>72</v>
      </c>
      <c r="M987">
        <f>UnilabUsage[[#This Row],[Max]]-UnilabUsage[[#This Row],[Used-MB]]</f>
        <v>10133</v>
      </c>
      <c r="N987" s="5">
        <f>IF($L987&gt;0,UnilabUsage[[#This Row],[Free-of-Max]]/UnilabUsage[[#This Row],[Usage-Delta-MB]],UnilabUsage[[#This Row],[Free-of-Max]])</f>
        <v>140.73611111111111</v>
      </c>
    </row>
    <row r="988" spans="1:14" x14ac:dyDescent="0.25">
      <c r="A988" s="3">
        <v>45236</v>
      </c>
      <c r="B988" s="15" t="s">
        <v>8</v>
      </c>
      <c r="C988" s="16">
        <v>89</v>
      </c>
      <c r="D988" s="16">
        <v>327680</v>
      </c>
      <c r="E988" s="16">
        <v>34488</v>
      </c>
      <c r="F988" s="16">
        <v>293192</v>
      </c>
      <c r="G988" s="16">
        <v>11</v>
      </c>
      <c r="H988" s="16">
        <v>327680</v>
      </c>
      <c r="I988" s="16">
        <v>89</v>
      </c>
      <c r="J988" s="15" t="s">
        <v>1</v>
      </c>
      <c r="K988" s="15" t="s">
        <v>2</v>
      </c>
      <c r="L988" s="8">
        <f>UnilabUsage[[#This Row],[Used-MB]]-F978</f>
        <v>626</v>
      </c>
      <c r="M988">
        <f>UnilabUsage[[#This Row],[Max]]-UnilabUsage[[#This Row],[Used-MB]]</f>
        <v>34488</v>
      </c>
      <c r="N988" s="5">
        <f>IF($L988&gt;0,UnilabUsage[[#This Row],[Free-of-Max]]/UnilabUsage[[#This Row],[Usage-Delta-MB]],UnilabUsage[[#This Row],[Free-of-Max]])</f>
        <v>55.092651757188499</v>
      </c>
    </row>
    <row r="989" spans="1:14" x14ac:dyDescent="0.25">
      <c r="A989" s="3">
        <v>45236</v>
      </c>
      <c r="B989" s="15" t="s">
        <v>4</v>
      </c>
      <c r="C989" s="16">
        <v>94</v>
      </c>
      <c r="D989" s="16">
        <v>99260</v>
      </c>
      <c r="E989" s="16">
        <v>5772</v>
      </c>
      <c r="F989" s="16">
        <v>93488</v>
      </c>
      <c r="G989" s="16">
        <v>6</v>
      </c>
      <c r="H989" s="16">
        <v>131072</v>
      </c>
      <c r="I989" s="16">
        <v>71</v>
      </c>
      <c r="J989" s="15" t="s">
        <v>1</v>
      </c>
      <c r="K989" s="15" t="s">
        <v>2</v>
      </c>
      <c r="L989" s="8">
        <f>UnilabUsage[[#This Row],[Used-MB]]-F979</f>
        <v>192</v>
      </c>
      <c r="M989">
        <f>UnilabUsage[[#This Row],[Max]]-UnilabUsage[[#This Row],[Used-MB]]</f>
        <v>37584</v>
      </c>
      <c r="N989" s="5">
        <f>IF($L989&gt;0,UnilabUsage[[#This Row],[Free-of-Max]]/UnilabUsage[[#This Row],[Usage-Delta-MB]],UnilabUsage[[#This Row],[Free-of-Max]])</f>
        <v>195.75</v>
      </c>
    </row>
    <row r="990" spans="1:14" x14ac:dyDescent="0.25">
      <c r="A990" s="3">
        <v>45236</v>
      </c>
      <c r="B990" s="15" t="s">
        <v>12</v>
      </c>
      <c r="C990" s="16">
        <v>0</v>
      </c>
      <c r="D990" s="16">
        <v>30720</v>
      </c>
      <c r="E990" s="16">
        <v>30655</v>
      </c>
      <c r="F990" s="16">
        <v>65</v>
      </c>
      <c r="G990" s="16">
        <v>100</v>
      </c>
      <c r="H990" s="16">
        <v>30720</v>
      </c>
      <c r="I990" s="16">
        <v>0</v>
      </c>
      <c r="J990" s="15" t="s">
        <v>1</v>
      </c>
      <c r="K990" s="15" t="s">
        <v>13</v>
      </c>
      <c r="L990" s="8">
        <f>UnilabUsage[[#This Row],[Used-MB]]-F980</f>
        <v>-10</v>
      </c>
      <c r="M990">
        <f>UnilabUsage[[#This Row],[Max]]-UnilabUsage[[#This Row],[Used-MB]]</f>
        <v>30655</v>
      </c>
      <c r="N990" s="5">
        <f>IF($L990&gt;0,UnilabUsage[[#This Row],[Free-of-Max]]/UnilabUsage[[#This Row],[Usage-Delta-MB]],UnilabUsage[[#This Row],[Free-of-Max]])</f>
        <v>30655</v>
      </c>
    </row>
    <row r="991" spans="1:14" x14ac:dyDescent="0.25">
      <c r="A991" s="3">
        <v>45236</v>
      </c>
      <c r="B991" s="15" t="s">
        <v>9</v>
      </c>
      <c r="C991" s="16">
        <v>3</v>
      </c>
      <c r="D991" s="16">
        <v>10440</v>
      </c>
      <c r="E991" s="16">
        <v>10094</v>
      </c>
      <c r="F991" s="16">
        <v>346</v>
      </c>
      <c r="G991" s="16">
        <v>97</v>
      </c>
      <c r="H991" s="16">
        <v>32768</v>
      </c>
      <c r="I991" s="16">
        <v>1</v>
      </c>
      <c r="J991" s="15" t="s">
        <v>1</v>
      </c>
      <c r="K991" s="15" t="s">
        <v>10</v>
      </c>
      <c r="L991" s="8">
        <f>UnilabUsage[[#This Row],[Used-MB]]-F981</f>
        <v>-207</v>
      </c>
      <c r="M991">
        <f>UnilabUsage[[#This Row],[Max]]-UnilabUsage[[#This Row],[Used-MB]]</f>
        <v>32422</v>
      </c>
      <c r="N991" s="5">
        <f>IF($L991&gt;0,UnilabUsage[[#This Row],[Free-of-Max]]/UnilabUsage[[#This Row],[Usage-Delta-MB]],UnilabUsage[[#This Row],[Free-of-Max]])</f>
        <v>32422</v>
      </c>
    </row>
    <row r="992" spans="1:14" x14ac:dyDescent="0.25">
      <c r="A992" s="3">
        <v>45243</v>
      </c>
      <c r="B992" s="15" t="s">
        <v>7</v>
      </c>
      <c r="C992" s="16">
        <v>95</v>
      </c>
      <c r="D992" s="16">
        <v>2360</v>
      </c>
      <c r="E992" s="16">
        <v>116</v>
      </c>
      <c r="F992" s="16">
        <v>2244</v>
      </c>
      <c r="G992" s="16">
        <v>5</v>
      </c>
      <c r="H992" s="16">
        <v>32768</v>
      </c>
      <c r="I992" s="16">
        <v>7</v>
      </c>
      <c r="J992" s="15" t="s">
        <v>1</v>
      </c>
      <c r="K992" s="15" t="s">
        <v>2</v>
      </c>
      <c r="L992" s="8">
        <f>UnilabUsage[[#This Row],[Used-MB]]-F982</f>
        <v>1</v>
      </c>
      <c r="M992">
        <f>UnilabUsage[[#This Row],[Max]]-UnilabUsage[[#This Row],[Used-MB]]</f>
        <v>30524</v>
      </c>
      <c r="N992" s="5">
        <f>IF($L992&gt;0,UnilabUsage[[#This Row],[Free-of-Max]]/UnilabUsage[[#This Row],[Usage-Delta-MB]],UnilabUsage[[#This Row],[Free-of-Max]])</f>
        <v>30524</v>
      </c>
    </row>
    <row r="993" spans="1:14" x14ac:dyDescent="0.25">
      <c r="A993" s="3">
        <v>45243</v>
      </c>
      <c r="B993" s="15" t="s">
        <v>0</v>
      </c>
      <c r="C993" s="16">
        <v>100</v>
      </c>
      <c r="D993" s="16">
        <v>23150</v>
      </c>
      <c r="E993" s="16">
        <v>32</v>
      </c>
      <c r="F993" s="16">
        <v>23118</v>
      </c>
      <c r="G993" s="16">
        <v>0</v>
      </c>
      <c r="H993" s="16">
        <v>32768</v>
      </c>
      <c r="I993" s="16">
        <v>71</v>
      </c>
      <c r="J993" s="15" t="s">
        <v>1</v>
      </c>
      <c r="K993" s="15" t="s">
        <v>2</v>
      </c>
      <c r="L993" s="8">
        <f>UnilabUsage[[#This Row],[Used-MB]]-F983</f>
        <v>64</v>
      </c>
      <c r="M993">
        <f>UnilabUsage[[#This Row],[Max]]-UnilabUsage[[#This Row],[Used-MB]]</f>
        <v>9650</v>
      </c>
      <c r="N993" s="5">
        <f>IF($L993&gt;0,UnilabUsage[[#This Row],[Free-of-Max]]/UnilabUsage[[#This Row],[Usage-Delta-MB]],UnilabUsage[[#This Row],[Free-of-Max]])</f>
        <v>150.78125</v>
      </c>
    </row>
    <row r="994" spans="1:14" x14ac:dyDescent="0.25">
      <c r="A994" s="3">
        <v>45243</v>
      </c>
      <c r="B994" s="15" t="s">
        <v>11</v>
      </c>
      <c r="C994" s="16">
        <v>1</v>
      </c>
      <c r="D994" s="16">
        <v>100</v>
      </c>
      <c r="E994" s="16">
        <v>99</v>
      </c>
      <c r="F994" s="16">
        <v>1</v>
      </c>
      <c r="G994" s="16">
        <v>99</v>
      </c>
      <c r="H994" s="16">
        <v>32768</v>
      </c>
      <c r="I994" s="16">
        <v>0</v>
      </c>
      <c r="J994" s="15" t="s">
        <v>1</v>
      </c>
      <c r="K994" s="15" t="s">
        <v>2</v>
      </c>
      <c r="L994" s="8">
        <f>UnilabUsage[[#This Row],[Used-MB]]-F984</f>
        <v>0</v>
      </c>
      <c r="M994">
        <f>UnilabUsage[[#This Row],[Max]]-UnilabUsage[[#This Row],[Used-MB]]</f>
        <v>32767</v>
      </c>
      <c r="N994" s="5">
        <f>IF($L994&gt;0,UnilabUsage[[#This Row],[Free-of-Max]]/UnilabUsage[[#This Row],[Usage-Delta-MB]],UnilabUsage[[#This Row],[Free-of-Max]])</f>
        <v>32767</v>
      </c>
    </row>
    <row r="995" spans="1:14" x14ac:dyDescent="0.25">
      <c r="A995" s="3">
        <v>45243</v>
      </c>
      <c r="B995" s="15" t="s">
        <v>6</v>
      </c>
      <c r="C995" s="16">
        <v>95</v>
      </c>
      <c r="D995" s="16">
        <v>7715</v>
      </c>
      <c r="E995" s="16">
        <v>377</v>
      </c>
      <c r="F995" s="16">
        <v>7338</v>
      </c>
      <c r="G995" s="16">
        <v>5</v>
      </c>
      <c r="H995" s="16">
        <v>32768</v>
      </c>
      <c r="I995" s="16">
        <v>22</v>
      </c>
      <c r="J995" s="15" t="s">
        <v>1</v>
      </c>
      <c r="K995" s="15" t="s">
        <v>2</v>
      </c>
      <c r="L995" s="8">
        <f>UnilabUsage[[#This Row],[Used-MB]]-F985</f>
        <v>0</v>
      </c>
      <c r="M995">
        <f>UnilabUsage[[#This Row],[Max]]-UnilabUsage[[#This Row],[Used-MB]]</f>
        <v>25430</v>
      </c>
      <c r="N995" s="5">
        <f>IF($L995&gt;0,UnilabUsage[[#This Row],[Free-of-Max]]/UnilabUsage[[#This Row],[Usage-Delta-MB]],UnilabUsage[[#This Row],[Free-of-Max]])</f>
        <v>25430</v>
      </c>
    </row>
    <row r="996" spans="1:14" x14ac:dyDescent="0.25">
      <c r="A996" s="3">
        <v>45243</v>
      </c>
      <c r="B996" s="15" t="s">
        <v>3</v>
      </c>
      <c r="C996" s="16">
        <v>91</v>
      </c>
      <c r="D996" s="16">
        <v>491518</v>
      </c>
      <c r="E996" s="16">
        <v>44297</v>
      </c>
      <c r="F996" s="16">
        <v>447220</v>
      </c>
      <c r="G996" s="16">
        <v>9</v>
      </c>
      <c r="H996" s="16">
        <v>491520</v>
      </c>
      <c r="I996" s="16">
        <v>91</v>
      </c>
      <c r="J996" s="15" t="s">
        <v>1</v>
      </c>
      <c r="K996" s="15" t="s">
        <v>2</v>
      </c>
      <c r="L996" s="8">
        <f>UnilabUsage[[#This Row],[Used-MB]]-F986</f>
        <v>538</v>
      </c>
      <c r="M996">
        <f>UnilabUsage[[#This Row],[Max]]-UnilabUsage[[#This Row],[Used-MB]]</f>
        <v>44300</v>
      </c>
      <c r="N996" s="5">
        <f>IF($L996&gt;0,UnilabUsage[[#This Row],[Free-of-Max]]/UnilabUsage[[#This Row],[Usage-Delta-MB]],UnilabUsage[[#This Row],[Free-of-Max]])</f>
        <v>82.342007434944236</v>
      </c>
    </row>
    <row r="997" spans="1:14" x14ac:dyDescent="0.25">
      <c r="A997" s="3">
        <v>45243</v>
      </c>
      <c r="B997" s="15" t="s">
        <v>5</v>
      </c>
      <c r="C997" s="16">
        <v>96</v>
      </c>
      <c r="D997" s="16">
        <v>23700</v>
      </c>
      <c r="E997" s="16">
        <v>1065</v>
      </c>
      <c r="F997" s="16">
        <v>22635</v>
      </c>
      <c r="G997" s="16">
        <v>4</v>
      </c>
      <c r="H997" s="16">
        <v>32768</v>
      </c>
      <c r="I997" s="16">
        <v>69</v>
      </c>
      <c r="J997" s="15" t="s">
        <v>1</v>
      </c>
      <c r="K997" s="15" t="s">
        <v>2</v>
      </c>
      <c r="L997" s="8">
        <f>UnilabUsage[[#This Row],[Used-MB]]-F987</f>
        <v>0</v>
      </c>
      <c r="M997">
        <f>UnilabUsage[[#This Row],[Max]]-UnilabUsage[[#This Row],[Used-MB]]</f>
        <v>10133</v>
      </c>
      <c r="N997" s="5">
        <f>IF($L997&gt;0,UnilabUsage[[#This Row],[Free-of-Max]]/UnilabUsage[[#This Row],[Usage-Delta-MB]],UnilabUsage[[#This Row],[Free-of-Max]])</f>
        <v>10133</v>
      </c>
    </row>
    <row r="998" spans="1:14" x14ac:dyDescent="0.25">
      <c r="A998" s="3">
        <v>45243</v>
      </c>
      <c r="B998" s="15" t="s">
        <v>8</v>
      </c>
      <c r="C998" s="16">
        <v>90</v>
      </c>
      <c r="D998" s="16">
        <v>327680</v>
      </c>
      <c r="E998" s="16">
        <v>34189</v>
      </c>
      <c r="F998" s="16">
        <v>293491</v>
      </c>
      <c r="G998" s="16">
        <v>10</v>
      </c>
      <c r="H998" s="16">
        <v>327680</v>
      </c>
      <c r="I998" s="16">
        <v>90</v>
      </c>
      <c r="J998" s="15" t="s">
        <v>1</v>
      </c>
      <c r="K998" s="15" t="s">
        <v>2</v>
      </c>
      <c r="L998" s="8">
        <f>UnilabUsage[[#This Row],[Used-MB]]-F988</f>
        <v>299</v>
      </c>
      <c r="M998">
        <f>UnilabUsage[[#This Row],[Max]]-UnilabUsage[[#This Row],[Used-MB]]</f>
        <v>34189</v>
      </c>
      <c r="N998" s="5">
        <f>IF($L998&gt;0,UnilabUsage[[#This Row],[Free-of-Max]]/UnilabUsage[[#This Row],[Usage-Delta-MB]],UnilabUsage[[#This Row],[Free-of-Max]])</f>
        <v>114.34448160535118</v>
      </c>
    </row>
    <row r="999" spans="1:14" x14ac:dyDescent="0.25">
      <c r="A999" s="3">
        <v>45243</v>
      </c>
      <c r="B999" s="15" t="s">
        <v>4</v>
      </c>
      <c r="C999" s="16">
        <v>94</v>
      </c>
      <c r="D999" s="16">
        <v>99260</v>
      </c>
      <c r="E999" s="16">
        <v>5708</v>
      </c>
      <c r="F999" s="16">
        <v>93552</v>
      </c>
      <c r="G999" s="16">
        <v>6</v>
      </c>
      <c r="H999" s="16">
        <v>131072</v>
      </c>
      <c r="I999" s="16">
        <v>71</v>
      </c>
      <c r="J999" s="15" t="s">
        <v>1</v>
      </c>
      <c r="K999" s="15" t="s">
        <v>2</v>
      </c>
      <c r="L999" s="8">
        <f>UnilabUsage[[#This Row],[Used-MB]]-F989</f>
        <v>64</v>
      </c>
      <c r="M999">
        <f>UnilabUsage[[#This Row],[Max]]-UnilabUsage[[#This Row],[Used-MB]]</f>
        <v>37520</v>
      </c>
      <c r="N999" s="5">
        <f>IF($L999&gt;0,UnilabUsage[[#This Row],[Free-of-Max]]/UnilabUsage[[#This Row],[Usage-Delta-MB]],UnilabUsage[[#This Row],[Free-of-Max]])</f>
        <v>586.25</v>
      </c>
    </row>
    <row r="1000" spans="1:14" x14ac:dyDescent="0.25">
      <c r="A1000" s="3">
        <v>45243</v>
      </c>
      <c r="B1000" s="15" t="s">
        <v>12</v>
      </c>
      <c r="C1000" s="16">
        <v>0</v>
      </c>
      <c r="D1000" s="16">
        <v>30720</v>
      </c>
      <c r="E1000" s="16">
        <v>30648</v>
      </c>
      <c r="F1000" s="16">
        <v>72</v>
      </c>
      <c r="G1000" s="16">
        <v>100</v>
      </c>
      <c r="H1000" s="16">
        <v>30720</v>
      </c>
      <c r="I1000" s="16">
        <v>0</v>
      </c>
      <c r="J1000" s="15" t="s">
        <v>1</v>
      </c>
      <c r="K1000" s="15" t="s">
        <v>13</v>
      </c>
      <c r="L1000" s="8">
        <f>UnilabUsage[[#This Row],[Used-MB]]-F990</f>
        <v>7</v>
      </c>
      <c r="M1000">
        <f>UnilabUsage[[#This Row],[Max]]-UnilabUsage[[#This Row],[Used-MB]]</f>
        <v>30648</v>
      </c>
      <c r="N1000" s="5">
        <f>IF($L1000&gt;0,UnilabUsage[[#This Row],[Free-of-Max]]/UnilabUsage[[#This Row],[Usage-Delta-MB]],UnilabUsage[[#This Row],[Free-of-Max]])</f>
        <v>4378.2857142857147</v>
      </c>
    </row>
    <row r="1001" spans="1:14" x14ac:dyDescent="0.25">
      <c r="A1001" s="3">
        <v>45243</v>
      </c>
      <c r="B1001" s="15" t="s">
        <v>9</v>
      </c>
      <c r="C1001" s="16">
        <v>3</v>
      </c>
      <c r="D1001" s="16">
        <v>10440</v>
      </c>
      <c r="E1001" s="16">
        <v>10085</v>
      </c>
      <c r="F1001" s="16">
        <v>355</v>
      </c>
      <c r="G1001" s="16">
        <v>97</v>
      </c>
      <c r="H1001" s="16">
        <v>32768</v>
      </c>
      <c r="I1001" s="16">
        <v>1</v>
      </c>
      <c r="J1001" s="15" t="s">
        <v>1</v>
      </c>
      <c r="K1001" s="15" t="s">
        <v>10</v>
      </c>
      <c r="L1001" s="8">
        <f>UnilabUsage[[#This Row],[Used-MB]]-F991</f>
        <v>9</v>
      </c>
      <c r="M1001">
        <f>UnilabUsage[[#This Row],[Max]]-UnilabUsage[[#This Row],[Used-MB]]</f>
        <v>32413</v>
      </c>
      <c r="N1001" s="5">
        <f>IF($L1001&gt;0,UnilabUsage[[#This Row],[Free-of-Max]]/UnilabUsage[[#This Row],[Usage-Delta-MB]],UnilabUsage[[#This Row],[Free-of-Max]])</f>
        <v>3601.4444444444443</v>
      </c>
    </row>
    <row r="1002" spans="1:14" x14ac:dyDescent="0.25">
      <c r="A1002" s="3">
        <v>45250</v>
      </c>
      <c r="B1002" s="15" t="s">
        <v>7</v>
      </c>
      <c r="C1002" s="16">
        <v>95</v>
      </c>
      <c r="D1002" s="16">
        <v>2360</v>
      </c>
      <c r="E1002" s="16">
        <v>117</v>
      </c>
      <c r="F1002" s="16">
        <v>2243</v>
      </c>
      <c r="G1002" s="16">
        <v>5</v>
      </c>
      <c r="H1002" s="16">
        <v>32768</v>
      </c>
      <c r="I1002" s="16">
        <v>7</v>
      </c>
      <c r="J1002" s="15" t="s">
        <v>1</v>
      </c>
      <c r="K1002" s="15" t="s">
        <v>2</v>
      </c>
      <c r="L1002" s="8">
        <f>UnilabUsage[[#This Row],[Used-MB]]-F992</f>
        <v>-1</v>
      </c>
      <c r="M1002">
        <f>UnilabUsage[[#This Row],[Max]]-UnilabUsage[[#This Row],[Used-MB]]</f>
        <v>30525</v>
      </c>
      <c r="N1002" s="5">
        <f>IF($L1002&gt;0,UnilabUsage[[#This Row],[Free-of-Max]]/UnilabUsage[[#This Row],[Usage-Delta-MB]],UnilabUsage[[#This Row],[Free-of-Max]])</f>
        <v>30525</v>
      </c>
    </row>
    <row r="1003" spans="1:14" x14ac:dyDescent="0.25">
      <c r="A1003" s="3">
        <v>45250</v>
      </c>
      <c r="B1003" s="15" t="s">
        <v>0</v>
      </c>
      <c r="C1003" s="16">
        <v>100</v>
      </c>
      <c r="D1003" s="16">
        <v>23250</v>
      </c>
      <c r="E1003" s="16">
        <v>68</v>
      </c>
      <c r="F1003" s="16">
        <v>23182</v>
      </c>
      <c r="G1003" s="16">
        <v>0</v>
      </c>
      <c r="H1003" s="16">
        <v>32768</v>
      </c>
      <c r="I1003" s="16">
        <v>71</v>
      </c>
      <c r="J1003" s="15" t="s">
        <v>1</v>
      </c>
      <c r="K1003" s="15" t="s">
        <v>2</v>
      </c>
      <c r="L1003" s="8">
        <f>UnilabUsage[[#This Row],[Used-MB]]-F993</f>
        <v>64</v>
      </c>
      <c r="M1003">
        <f>UnilabUsage[[#This Row],[Max]]-UnilabUsage[[#This Row],[Used-MB]]</f>
        <v>9586</v>
      </c>
      <c r="N1003" s="5">
        <f>IF($L1003&gt;0,UnilabUsage[[#This Row],[Free-of-Max]]/UnilabUsage[[#This Row],[Usage-Delta-MB]],UnilabUsage[[#This Row],[Free-of-Max]])</f>
        <v>149.78125</v>
      </c>
    </row>
    <row r="1004" spans="1:14" x14ac:dyDescent="0.25">
      <c r="A1004" s="3">
        <v>45250</v>
      </c>
      <c r="B1004" s="15" t="s">
        <v>11</v>
      </c>
      <c r="C1004" s="16">
        <v>1</v>
      </c>
      <c r="D1004" s="16">
        <v>100</v>
      </c>
      <c r="E1004" s="16">
        <v>99</v>
      </c>
      <c r="F1004" s="16">
        <v>1</v>
      </c>
      <c r="G1004" s="16">
        <v>99</v>
      </c>
      <c r="H1004" s="16">
        <v>32768</v>
      </c>
      <c r="I1004" s="16">
        <v>0</v>
      </c>
      <c r="J1004" s="15" t="s">
        <v>1</v>
      </c>
      <c r="K1004" s="15" t="s">
        <v>2</v>
      </c>
      <c r="L1004" s="8">
        <f>UnilabUsage[[#This Row],[Used-MB]]-F994</f>
        <v>0</v>
      </c>
      <c r="M1004">
        <f>UnilabUsage[[#This Row],[Max]]-UnilabUsage[[#This Row],[Used-MB]]</f>
        <v>32767</v>
      </c>
      <c r="N1004" s="5">
        <f>IF($L1004&gt;0,UnilabUsage[[#This Row],[Free-of-Max]]/UnilabUsage[[#This Row],[Usage-Delta-MB]],UnilabUsage[[#This Row],[Free-of-Max]])</f>
        <v>32767</v>
      </c>
    </row>
    <row r="1005" spans="1:14" x14ac:dyDescent="0.25">
      <c r="A1005" s="3">
        <v>45250</v>
      </c>
      <c r="B1005" s="15" t="s">
        <v>6</v>
      </c>
      <c r="C1005" s="16">
        <v>95</v>
      </c>
      <c r="D1005" s="16">
        <v>7715</v>
      </c>
      <c r="E1005" s="16">
        <v>377</v>
      </c>
      <c r="F1005" s="16">
        <v>7339</v>
      </c>
      <c r="G1005" s="16">
        <v>5</v>
      </c>
      <c r="H1005" s="16">
        <v>32768</v>
      </c>
      <c r="I1005" s="16">
        <v>22</v>
      </c>
      <c r="J1005" s="15" t="s">
        <v>1</v>
      </c>
      <c r="K1005" s="15" t="s">
        <v>2</v>
      </c>
      <c r="L1005" s="8">
        <f>UnilabUsage[[#This Row],[Used-MB]]-F995</f>
        <v>1</v>
      </c>
      <c r="M1005">
        <f>UnilabUsage[[#This Row],[Max]]-UnilabUsage[[#This Row],[Used-MB]]</f>
        <v>25429</v>
      </c>
      <c r="N1005" s="5">
        <f>IF($L1005&gt;0,UnilabUsage[[#This Row],[Free-of-Max]]/UnilabUsage[[#This Row],[Usage-Delta-MB]],UnilabUsage[[#This Row],[Free-of-Max]])</f>
        <v>25429</v>
      </c>
    </row>
    <row r="1006" spans="1:14" x14ac:dyDescent="0.25">
      <c r="A1006" s="3">
        <v>45250</v>
      </c>
      <c r="B1006" s="15" t="s">
        <v>3</v>
      </c>
      <c r="C1006" s="16">
        <v>91</v>
      </c>
      <c r="D1006" s="16">
        <v>491518</v>
      </c>
      <c r="E1006" s="16">
        <v>43752</v>
      </c>
      <c r="F1006" s="16">
        <v>447765</v>
      </c>
      <c r="G1006" s="16">
        <v>9</v>
      </c>
      <c r="H1006" s="16">
        <v>491520</v>
      </c>
      <c r="I1006" s="16">
        <v>91</v>
      </c>
      <c r="J1006" s="15" t="s">
        <v>1</v>
      </c>
      <c r="K1006" s="15" t="s">
        <v>2</v>
      </c>
      <c r="L1006" s="8">
        <f>UnilabUsage[[#This Row],[Used-MB]]-F996</f>
        <v>545</v>
      </c>
      <c r="M1006">
        <f>UnilabUsage[[#This Row],[Max]]-UnilabUsage[[#This Row],[Used-MB]]</f>
        <v>43755</v>
      </c>
      <c r="N1006" s="5">
        <f>IF($L1006&gt;0,UnilabUsage[[#This Row],[Free-of-Max]]/UnilabUsage[[#This Row],[Usage-Delta-MB]],UnilabUsage[[#This Row],[Free-of-Max]])</f>
        <v>80.284403669724767</v>
      </c>
    </row>
    <row r="1007" spans="1:14" x14ac:dyDescent="0.25">
      <c r="A1007" s="3">
        <v>45250</v>
      </c>
      <c r="B1007" s="15" t="s">
        <v>5</v>
      </c>
      <c r="C1007" s="16">
        <v>95</v>
      </c>
      <c r="D1007" s="16">
        <v>23900</v>
      </c>
      <c r="E1007" s="16">
        <v>1199</v>
      </c>
      <c r="F1007" s="16">
        <v>22701</v>
      </c>
      <c r="G1007" s="16">
        <v>5</v>
      </c>
      <c r="H1007" s="16">
        <v>32768</v>
      </c>
      <c r="I1007" s="16">
        <v>69</v>
      </c>
      <c r="J1007" s="15" t="s">
        <v>1</v>
      </c>
      <c r="K1007" s="15" t="s">
        <v>2</v>
      </c>
      <c r="L1007" s="8">
        <f>UnilabUsage[[#This Row],[Used-MB]]-F997</f>
        <v>66</v>
      </c>
      <c r="M1007">
        <f>UnilabUsage[[#This Row],[Max]]-UnilabUsage[[#This Row],[Used-MB]]</f>
        <v>10067</v>
      </c>
      <c r="N1007" s="5">
        <f>IF($L1007&gt;0,UnilabUsage[[#This Row],[Free-of-Max]]/UnilabUsage[[#This Row],[Usage-Delta-MB]],UnilabUsage[[#This Row],[Free-of-Max]])</f>
        <v>152.53030303030303</v>
      </c>
    </row>
    <row r="1008" spans="1:14" x14ac:dyDescent="0.25">
      <c r="A1008" s="3">
        <v>45250</v>
      </c>
      <c r="B1008" s="15" t="s">
        <v>8</v>
      </c>
      <c r="C1008" s="16">
        <v>90</v>
      </c>
      <c r="D1008" s="16">
        <v>327680</v>
      </c>
      <c r="E1008" s="16">
        <v>33797</v>
      </c>
      <c r="F1008" s="16">
        <v>293883</v>
      </c>
      <c r="G1008" s="16">
        <v>10</v>
      </c>
      <c r="H1008" s="16">
        <v>327680</v>
      </c>
      <c r="I1008" s="16">
        <v>90</v>
      </c>
      <c r="J1008" s="15" t="s">
        <v>1</v>
      </c>
      <c r="K1008" s="15" t="s">
        <v>2</v>
      </c>
      <c r="L1008" s="8">
        <f>UnilabUsage[[#This Row],[Used-MB]]-F998</f>
        <v>392</v>
      </c>
      <c r="M1008">
        <f>UnilabUsage[[#This Row],[Max]]-UnilabUsage[[#This Row],[Used-MB]]</f>
        <v>33797</v>
      </c>
      <c r="N1008" s="5">
        <f>IF($L1008&gt;0,UnilabUsage[[#This Row],[Free-of-Max]]/UnilabUsage[[#This Row],[Usage-Delta-MB]],UnilabUsage[[#This Row],[Free-of-Max]])</f>
        <v>86.216836734693871</v>
      </c>
    </row>
    <row r="1009" spans="1:14" x14ac:dyDescent="0.25">
      <c r="A1009" s="3">
        <v>45250</v>
      </c>
      <c r="B1009" s="15" t="s">
        <v>4</v>
      </c>
      <c r="C1009" s="16">
        <v>94</v>
      </c>
      <c r="D1009" s="16">
        <v>99260</v>
      </c>
      <c r="E1009" s="16">
        <v>5579</v>
      </c>
      <c r="F1009" s="16">
        <v>93681</v>
      </c>
      <c r="G1009" s="16">
        <v>6</v>
      </c>
      <c r="H1009" s="16">
        <v>131072</v>
      </c>
      <c r="I1009" s="16">
        <v>71</v>
      </c>
      <c r="J1009" s="15" t="s">
        <v>1</v>
      </c>
      <c r="K1009" s="15" t="s">
        <v>2</v>
      </c>
      <c r="L1009" s="8">
        <f>UnilabUsage[[#This Row],[Used-MB]]-F999</f>
        <v>129</v>
      </c>
      <c r="M1009">
        <f>UnilabUsage[[#This Row],[Max]]-UnilabUsage[[#This Row],[Used-MB]]</f>
        <v>37391</v>
      </c>
      <c r="N1009" s="5">
        <f>IF($L1009&gt;0,UnilabUsage[[#This Row],[Free-of-Max]]/UnilabUsage[[#This Row],[Usage-Delta-MB]],UnilabUsage[[#This Row],[Free-of-Max]])</f>
        <v>289.85271317829455</v>
      </c>
    </row>
    <row r="1010" spans="1:14" x14ac:dyDescent="0.25">
      <c r="A1010" s="3">
        <v>45250</v>
      </c>
      <c r="B1010" s="15" t="s">
        <v>12</v>
      </c>
      <c r="C1010" s="16">
        <v>0</v>
      </c>
      <c r="D1010" s="16">
        <v>30720</v>
      </c>
      <c r="E1010" s="16">
        <v>30633</v>
      </c>
      <c r="F1010" s="16">
        <v>87</v>
      </c>
      <c r="G1010" s="16">
        <v>100</v>
      </c>
      <c r="H1010" s="16">
        <v>30720</v>
      </c>
      <c r="I1010" s="16">
        <v>0</v>
      </c>
      <c r="J1010" s="15" t="s">
        <v>1</v>
      </c>
      <c r="K1010" s="15" t="s">
        <v>13</v>
      </c>
      <c r="L1010" s="8">
        <f>UnilabUsage[[#This Row],[Used-MB]]-F1000</f>
        <v>15</v>
      </c>
      <c r="M1010">
        <f>UnilabUsage[[#This Row],[Max]]-UnilabUsage[[#This Row],[Used-MB]]</f>
        <v>30633</v>
      </c>
      <c r="N1010" s="5">
        <f>IF($L1010&gt;0,UnilabUsage[[#This Row],[Free-of-Max]]/UnilabUsage[[#This Row],[Usage-Delta-MB]],UnilabUsage[[#This Row],[Free-of-Max]])</f>
        <v>2042.2</v>
      </c>
    </row>
    <row r="1011" spans="1:14" x14ac:dyDescent="0.25">
      <c r="A1011" s="3">
        <v>45250</v>
      </c>
      <c r="B1011" s="15" t="s">
        <v>9</v>
      </c>
      <c r="C1011" s="16">
        <v>4</v>
      </c>
      <c r="D1011" s="16">
        <v>10440</v>
      </c>
      <c r="E1011" s="16">
        <v>9989</v>
      </c>
      <c r="F1011" s="16">
        <v>451</v>
      </c>
      <c r="G1011" s="16">
        <v>96</v>
      </c>
      <c r="H1011" s="16">
        <v>32768</v>
      </c>
      <c r="I1011" s="16">
        <v>1</v>
      </c>
      <c r="J1011" s="15" t="s">
        <v>1</v>
      </c>
      <c r="K1011" s="15" t="s">
        <v>10</v>
      </c>
      <c r="L1011" s="8">
        <f>UnilabUsage[[#This Row],[Used-MB]]-F1001</f>
        <v>96</v>
      </c>
      <c r="M1011">
        <f>UnilabUsage[[#This Row],[Max]]-UnilabUsage[[#This Row],[Used-MB]]</f>
        <v>32317</v>
      </c>
      <c r="N1011" s="5">
        <f>IF($L1011&gt;0,UnilabUsage[[#This Row],[Free-of-Max]]/UnilabUsage[[#This Row],[Usage-Delta-MB]],UnilabUsage[[#This Row],[Free-of-Max]])</f>
        <v>336.63541666666669</v>
      </c>
    </row>
    <row r="1012" spans="1:14" x14ac:dyDescent="0.25">
      <c r="A1012" s="3">
        <v>45257</v>
      </c>
      <c r="B1012" s="15" t="s">
        <v>7</v>
      </c>
      <c r="C1012" s="16">
        <v>95</v>
      </c>
      <c r="D1012" s="16">
        <v>2360</v>
      </c>
      <c r="E1012" s="16">
        <v>109</v>
      </c>
      <c r="F1012" s="16">
        <v>2251</v>
      </c>
      <c r="G1012" s="16">
        <v>5</v>
      </c>
      <c r="H1012" s="16">
        <v>32768</v>
      </c>
      <c r="I1012" s="16">
        <v>7</v>
      </c>
      <c r="J1012" s="15" t="s">
        <v>1</v>
      </c>
      <c r="K1012" s="15" t="s">
        <v>2</v>
      </c>
      <c r="L1012" s="8">
        <f>UnilabUsage[[#This Row],[Used-MB]]-F1002</f>
        <v>8</v>
      </c>
      <c r="M1012">
        <f>UnilabUsage[[#This Row],[Max]]-UnilabUsage[[#This Row],[Used-MB]]</f>
        <v>30517</v>
      </c>
      <c r="N1012" s="5">
        <f>IF($L1012&gt;0,UnilabUsage[[#This Row],[Free-of-Max]]/UnilabUsage[[#This Row],[Usage-Delta-MB]],UnilabUsage[[#This Row],[Free-of-Max]])</f>
        <v>3814.625</v>
      </c>
    </row>
    <row r="1013" spans="1:14" x14ac:dyDescent="0.25">
      <c r="A1013" s="3">
        <v>45257</v>
      </c>
      <c r="B1013" s="15" t="s">
        <v>0</v>
      </c>
      <c r="C1013" s="16">
        <v>100</v>
      </c>
      <c r="D1013" s="16">
        <v>23250</v>
      </c>
      <c r="E1013" s="16">
        <v>4</v>
      </c>
      <c r="F1013" s="16">
        <v>23246</v>
      </c>
      <c r="G1013" s="16">
        <v>0</v>
      </c>
      <c r="H1013" s="16">
        <v>32768</v>
      </c>
      <c r="I1013" s="16">
        <v>71</v>
      </c>
      <c r="J1013" s="15" t="s">
        <v>1</v>
      </c>
      <c r="K1013" s="15" t="s">
        <v>2</v>
      </c>
      <c r="L1013" s="8">
        <f>UnilabUsage[[#This Row],[Used-MB]]-F1003</f>
        <v>64</v>
      </c>
      <c r="M1013">
        <f>UnilabUsage[[#This Row],[Max]]-UnilabUsage[[#This Row],[Used-MB]]</f>
        <v>9522</v>
      </c>
      <c r="N1013" s="5">
        <f>IF($L1013&gt;0,UnilabUsage[[#This Row],[Free-of-Max]]/UnilabUsage[[#This Row],[Usage-Delta-MB]],UnilabUsage[[#This Row],[Free-of-Max]])</f>
        <v>148.78125</v>
      </c>
    </row>
    <row r="1014" spans="1:14" x14ac:dyDescent="0.25">
      <c r="A1014" s="3">
        <v>45257</v>
      </c>
      <c r="B1014" s="15" t="s">
        <v>11</v>
      </c>
      <c r="C1014" s="16">
        <v>1</v>
      </c>
      <c r="D1014" s="16">
        <v>100</v>
      </c>
      <c r="E1014" s="16">
        <v>99</v>
      </c>
      <c r="F1014" s="16">
        <v>1</v>
      </c>
      <c r="G1014" s="16">
        <v>99</v>
      </c>
      <c r="H1014" s="16">
        <v>32768</v>
      </c>
      <c r="I1014" s="16">
        <v>0</v>
      </c>
      <c r="J1014" s="15" t="s">
        <v>1</v>
      </c>
      <c r="K1014" s="15" t="s">
        <v>2</v>
      </c>
      <c r="L1014" s="8">
        <f>UnilabUsage[[#This Row],[Used-MB]]-F1004</f>
        <v>0</v>
      </c>
      <c r="M1014">
        <f>UnilabUsage[[#This Row],[Max]]-UnilabUsage[[#This Row],[Used-MB]]</f>
        <v>32767</v>
      </c>
      <c r="N1014" s="5">
        <f>IF($L1014&gt;0,UnilabUsage[[#This Row],[Free-of-Max]]/UnilabUsage[[#This Row],[Usage-Delta-MB]],UnilabUsage[[#This Row],[Free-of-Max]])</f>
        <v>32767</v>
      </c>
    </row>
    <row r="1015" spans="1:14" x14ac:dyDescent="0.25">
      <c r="A1015" s="3">
        <v>45257</v>
      </c>
      <c r="B1015" s="15" t="s">
        <v>6</v>
      </c>
      <c r="C1015" s="16">
        <v>95</v>
      </c>
      <c r="D1015" s="16">
        <v>7715</v>
      </c>
      <c r="E1015" s="16">
        <v>369</v>
      </c>
      <c r="F1015" s="16">
        <v>7347</v>
      </c>
      <c r="G1015" s="16">
        <v>5</v>
      </c>
      <c r="H1015" s="16">
        <v>32768</v>
      </c>
      <c r="I1015" s="16">
        <v>22</v>
      </c>
      <c r="J1015" s="15" t="s">
        <v>1</v>
      </c>
      <c r="K1015" s="15" t="s">
        <v>2</v>
      </c>
      <c r="L1015" s="8">
        <f>UnilabUsage[[#This Row],[Used-MB]]-F1005</f>
        <v>8</v>
      </c>
      <c r="M1015">
        <f>UnilabUsage[[#This Row],[Max]]-UnilabUsage[[#This Row],[Used-MB]]</f>
        <v>25421</v>
      </c>
      <c r="N1015" s="5">
        <f>IF($L1015&gt;0,UnilabUsage[[#This Row],[Free-of-Max]]/UnilabUsage[[#This Row],[Usage-Delta-MB]],UnilabUsage[[#This Row],[Free-of-Max]])</f>
        <v>3177.625</v>
      </c>
    </row>
    <row r="1016" spans="1:14" x14ac:dyDescent="0.25">
      <c r="A1016" s="3">
        <v>45257</v>
      </c>
      <c r="B1016" s="15" t="s">
        <v>3</v>
      </c>
      <c r="C1016" s="16">
        <v>91</v>
      </c>
      <c r="D1016" s="16">
        <v>491518</v>
      </c>
      <c r="E1016" s="16">
        <v>43143</v>
      </c>
      <c r="F1016" s="16">
        <v>448375</v>
      </c>
      <c r="G1016" s="16">
        <v>9</v>
      </c>
      <c r="H1016" s="16">
        <v>491520</v>
      </c>
      <c r="I1016" s="16">
        <v>91</v>
      </c>
      <c r="J1016" s="15" t="s">
        <v>1</v>
      </c>
      <c r="K1016" s="15" t="s">
        <v>2</v>
      </c>
      <c r="L1016" s="8">
        <f>UnilabUsage[[#This Row],[Used-MB]]-F1006</f>
        <v>610</v>
      </c>
      <c r="M1016">
        <f>UnilabUsage[[#This Row],[Max]]-UnilabUsage[[#This Row],[Used-MB]]</f>
        <v>43145</v>
      </c>
      <c r="N1016" s="5">
        <f>IF($L1016&gt;0,UnilabUsage[[#This Row],[Free-of-Max]]/UnilabUsage[[#This Row],[Usage-Delta-MB]],UnilabUsage[[#This Row],[Free-of-Max]])</f>
        <v>70.729508196721312</v>
      </c>
    </row>
    <row r="1017" spans="1:14" x14ac:dyDescent="0.25">
      <c r="A1017" s="3">
        <v>45257</v>
      </c>
      <c r="B1017" s="15" t="s">
        <v>5</v>
      </c>
      <c r="C1017" s="16">
        <v>95</v>
      </c>
      <c r="D1017" s="16">
        <v>23900</v>
      </c>
      <c r="E1017" s="16">
        <v>1127</v>
      </c>
      <c r="F1017" s="16">
        <v>22773</v>
      </c>
      <c r="G1017" s="16">
        <v>5</v>
      </c>
      <c r="H1017" s="16">
        <v>32768</v>
      </c>
      <c r="I1017" s="16">
        <v>69</v>
      </c>
      <c r="J1017" s="15" t="s">
        <v>1</v>
      </c>
      <c r="K1017" s="15" t="s">
        <v>2</v>
      </c>
      <c r="L1017" s="8">
        <f>UnilabUsage[[#This Row],[Used-MB]]-F1007</f>
        <v>72</v>
      </c>
      <c r="M1017">
        <f>UnilabUsage[[#This Row],[Max]]-UnilabUsage[[#This Row],[Used-MB]]</f>
        <v>9995</v>
      </c>
      <c r="N1017" s="5">
        <f>IF($L1017&gt;0,UnilabUsage[[#This Row],[Free-of-Max]]/UnilabUsage[[#This Row],[Usage-Delta-MB]],UnilabUsage[[#This Row],[Free-of-Max]])</f>
        <v>138.81944444444446</v>
      </c>
    </row>
    <row r="1018" spans="1:14" x14ac:dyDescent="0.25">
      <c r="A1018" s="3">
        <v>45257</v>
      </c>
      <c r="B1018" s="15" t="s">
        <v>8</v>
      </c>
      <c r="C1018" s="16">
        <v>90</v>
      </c>
      <c r="D1018" s="16">
        <v>327680</v>
      </c>
      <c r="E1018" s="16">
        <v>33447</v>
      </c>
      <c r="F1018" s="16">
        <v>294233</v>
      </c>
      <c r="G1018" s="16">
        <v>10</v>
      </c>
      <c r="H1018" s="16">
        <v>327680</v>
      </c>
      <c r="I1018" s="16">
        <v>90</v>
      </c>
      <c r="J1018" s="15" t="s">
        <v>1</v>
      </c>
      <c r="K1018" s="15" t="s">
        <v>2</v>
      </c>
      <c r="L1018" s="8">
        <f>UnilabUsage[[#This Row],[Used-MB]]-F1008</f>
        <v>350</v>
      </c>
      <c r="M1018">
        <f>UnilabUsage[[#This Row],[Max]]-UnilabUsage[[#This Row],[Used-MB]]</f>
        <v>33447</v>
      </c>
      <c r="N1018" s="5">
        <f>IF($L1018&gt;0,UnilabUsage[[#This Row],[Free-of-Max]]/UnilabUsage[[#This Row],[Usage-Delta-MB]],UnilabUsage[[#This Row],[Free-of-Max]])</f>
        <v>95.562857142857141</v>
      </c>
    </row>
    <row r="1019" spans="1:14" x14ac:dyDescent="0.25">
      <c r="A1019" s="3">
        <v>45257</v>
      </c>
      <c r="B1019" s="15" t="s">
        <v>4</v>
      </c>
      <c r="C1019" s="16">
        <v>95</v>
      </c>
      <c r="D1019" s="16">
        <v>99260</v>
      </c>
      <c r="E1019" s="16">
        <v>5387</v>
      </c>
      <c r="F1019" s="16">
        <v>93873</v>
      </c>
      <c r="G1019" s="16">
        <v>5</v>
      </c>
      <c r="H1019" s="16">
        <v>131072</v>
      </c>
      <c r="I1019" s="16">
        <v>72</v>
      </c>
      <c r="J1019" s="15" t="s">
        <v>1</v>
      </c>
      <c r="K1019" s="15" t="s">
        <v>2</v>
      </c>
      <c r="L1019" s="8">
        <f>UnilabUsage[[#This Row],[Used-MB]]-F1009</f>
        <v>192</v>
      </c>
      <c r="M1019">
        <f>UnilabUsage[[#This Row],[Max]]-UnilabUsage[[#This Row],[Used-MB]]</f>
        <v>37199</v>
      </c>
      <c r="N1019" s="5">
        <f>IF($L1019&gt;0,UnilabUsage[[#This Row],[Free-of-Max]]/UnilabUsage[[#This Row],[Usage-Delta-MB]],UnilabUsage[[#This Row],[Free-of-Max]])</f>
        <v>193.74479166666666</v>
      </c>
    </row>
    <row r="1020" spans="1:14" x14ac:dyDescent="0.25">
      <c r="A1020" s="3">
        <v>45257</v>
      </c>
      <c r="B1020" s="15" t="s">
        <v>12</v>
      </c>
      <c r="C1020" s="16">
        <v>0</v>
      </c>
      <c r="D1020" s="16">
        <v>30720</v>
      </c>
      <c r="E1020" s="16">
        <v>30637</v>
      </c>
      <c r="F1020" s="16">
        <v>83</v>
      </c>
      <c r="G1020" s="16">
        <v>100</v>
      </c>
      <c r="H1020" s="16">
        <v>30720</v>
      </c>
      <c r="I1020" s="16">
        <v>0</v>
      </c>
      <c r="J1020" s="15" t="s">
        <v>1</v>
      </c>
      <c r="K1020" s="15" t="s">
        <v>13</v>
      </c>
      <c r="L1020" s="8">
        <f>UnilabUsage[[#This Row],[Used-MB]]-F1010</f>
        <v>-4</v>
      </c>
      <c r="M1020">
        <f>UnilabUsage[[#This Row],[Max]]-UnilabUsage[[#This Row],[Used-MB]]</f>
        <v>30637</v>
      </c>
      <c r="N1020" s="5">
        <f>IF($L1020&gt;0,UnilabUsage[[#This Row],[Free-of-Max]]/UnilabUsage[[#This Row],[Usage-Delta-MB]],UnilabUsage[[#This Row],[Free-of-Max]])</f>
        <v>30637</v>
      </c>
    </row>
    <row r="1021" spans="1:14" x14ac:dyDescent="0.25">
      <c r="A1021" s="3">
        <v>45257</v>
      </c>
      <c r="B1021" s="15" t="s">
        <v>9</v>
      </c>
      <c r="C1021" s="16">
        <v>4</v>
      </c>
      <c r="D1021" s="16">
        <v>10440</v>
      </c>
      <c r="E1021" s="16">
        <v>10071</v>
      </c>
      <c r="F1021" s="16">
        <v>369</v>
      </c>
      <c r="G1021" s="16">
        <v>96</v>
      </c>
      <c r="H1021" s="16">
        <v>32768</v>
      </c>
      <c r="I1021" s="16">
        <v>1</v>
      </c>
      <c r="J1021" s="15" t="s">
        <v>1</v>
      </c>
      <c r="K1021" s="15" t="s">
        <v>10</v>
      </c>
      <c r="L1021" s="8">
        <f>UnilabUsage[[#This Row],[Used-MB]]-F1011</f>
        <v>-82</v>
      </c>
      <c r="M1021">
        <f>UnilabUsage[[#This Row],[Max]]-UnilabUsage[[#This Row],[Used-MB]]</f>
        <v>32399</v>
      </c>
      <c r="N1021" s="5">
        <f>IF($L1021&gt;0,UnilabUsage[[#This Row],[Free-of-Max]]/UnilabUsage[[#This Row],[Usage-Delta-MB]],UnilabUsage[[#This Row],[Free-of-Max]])</f>
        <v>32399</v>
      </c>
    </row>
    <row r="1022" spans="1:14" x14ac:dyDescent="0.25">
      <c r="A1022" s="3">
        <v>45264</v>
      </c>
      <c r="B1022" s="15" t="s">
        <v>7</v>
      </c>
      <c r="C1022" s="16">
        <v>95</v>
      </c>
      <c r="D1022" s="16">
        <v>2360</v>
      </c>
      <c r="E1022" s="16">
        <v>109</v>
      </c>
      <c r="F1022" s="16">
        <v>2251</v>
      </c>
      <c r="G1022" s="16">
        <v>5</v>
      </c>
      <c r="H1022" s="16">
        <v>32768</v>
      </c>
      <c r="I1022" s="16">
        <v>7</v>
      </c>
      <c r="J1022" s="15" t="s">
        <v>1</v>
      </c>
      <c r="K1022" s="15" t="s">
        <v>2</v>
      </c>
      <c r="L1022" s="8">
        <f>UnilabUsage[[#This Row],[Used-MB]]-F1012</f>
        <v>0</v>
      </c>
      <c r="M1022">
        <f>UnilabUsage[[#This Row],[Max]]-UnilabUsage[[#This Row],[Used-MB]]</f>
        <v>30517</v>
      </c>
      <c r="N1022" s="5">
        <f>IF($L1022&gt;0,UnilabUsage[[#This Row],[Free-of-Max]]/UnilabUsage[[#This Row],[Usage-Delta-MB]],UnilabUsage[[#This Row],[Free-of-Max]])</f>
        <v>30517</v>
      </c>
    </row>
    <row r="1023" spans="1:14" x14ac:dyDescent="0.25">
      <c r="A1023" s="3">
        <v>45264</v>
      </c>
      <c r="B1023" s="15" t="s">
        <v>0</v>
      </c>
      <c r="C1023" s="16">
        <v>100</v>
      </c>
      <c r="D1023" s="16">
        <v>23350</v>
      </c>
      <c r="E1023" s="16">
        <v>40</v>
      </c>
      <c r="F1023" s="16">
        <v>23310</v>
      </c>
      <c r="G1023" s="16">
        <v>0</v>
      </c>
      <c r="H1023" s="16">
        <v>32768</v>
      </c>
      <c r="I1023" s="16">
        <v>71</v>
      </c>
      <c r="J1023" s="15" t="s">
        <v>1</v>
      </c>
      <c r="K1023" s="15" t="s">
        <v>2</v>
      </c>
      <c r="L1023" s="8">
        <f>UnilabUsage[[#This Row],[Used-MB]]-F1013</f>
        <v>64</v>
      </c>
      <c r="M1023">
        <f>UnilabUsage[[#This Row],[Max]]-UnilabUsage[[#This Row],[Used-MB]]</f>
        <v>9458</v>
      </c>
      <c r="N1023" s="5">
        <f>IF($L1023&gt;0,UnilabUsage[[#This Row],[Free-of-Max]]/UnilabUsage[[#This Row],[Usage-Delta-MB]],UnilabUsage[[#This Row],[Free-of-Max]])</f>
        <v>147.78125</v>
      </c>
    </row>
    <row r="1024" spans="1:14" x14ac:dyDescent="0.25">
      <c r="A1024" s="3">
        <v>45264</v>
      </c>
      <c r="B1024" s="15" t="s">
        <v>11</v>
      </c>
      <c r="C1024" s="16">
        <v>1</v>
      </c>
      <c r="D1024" s="16">
        <v>100</v>
      </c>
      <c r="E1024" s="16">
        <v>99</v>
      </c>
      <c r="F1024" s="16">
        <v>1</v>
      </c>
      <c r="G1024" s="16">
        <v>99</v>
      </c>
      <c r="H1024" s="16">
        <v>32768</v>
      </c>
      <c r="I1024" s="16">
        <v>0</v>
      </c>
      <c r="J1024" s="15" t="s">
        <v>1</v>
      </c>
      <c r="K1024" s="15" t="s">
        <v>2</v>
      </c>
      <c r="L1024" s="8">
        <f>UnilabUsage[[#This Row],[Used-MB]]-F1014</f>
        <v>0</v>
      </c>
      <c r="M1024">
        <f>UnilabUsage[[#This Row],[Max]]-UnilabUsage[[#This Row],[Used-MB]]</f>
        <v>32767</v>
      </c>
      <c r="N1024" s="5">
        <f>IF($L1024&gt;0,UnilabUsage[[#This Row],[Free-of-Max]]/UnilabUsage[[#This Row],[Usage-Delta-MB]],UnilabUsage[[#This Row],[Free-of-Max]])</f>
        <v>32767</v>
      </c>
    </row>
    <row r="1025" spans="1:14" x14ac:dyDescent="0.25">
      <c r="A1025" s="3">
        <v>45264</v>
      </c>
      <c r="B1025" s="15" t="s">
        <v>6</v>
      </c>
      <c r="C1025" s="16">
        <v>95</v>
      </c>
      <c r="D1025" s="16">
        <v>7725</v>
      </c>
      <c r="E1025" s="16">
        <v>371</v>
      </c>
      <c r="F1025" s="16">
        <v>7355</v>
      </c>
      <c r="G1025" s="16">
        <v>5</v>
      </c>
      <c r="H1025" s="16">
        <v>32768</v>
      </c>
      <c r="I1025" s="16">
        <v>22</v>
      </c>
      <c r="J1025" s="15" t="s">
        <v>1</v>
      </c>
      <c r="K1025" s="15" t="s">
        <v>2</v>
      </c>
      <c r="L1025" s="8">
        <f>UnilabUsage[[#This Row],[Used-MB]]-F1015</f>
        <v>8</v>
      </c>
      <c r="M1025">
        <f>UnilabUsage[[#This Row],[Max]]-UnilabUsage[[#This Row],[Used-MB]]</f>
        <v>25413</v>
      </c>
      <c r="N1025" s="5">
        <f>IF($L1025&gt;0,UnilabUsage[[#This Row],[Free-of-Max]]/UnilabUsage[[#This Row],[Usage-Delta-MB]],UnilabUsage[[#This Row],[Free-of-Max]])</f>
        <v>3176.625</v>
      </c>
    </row>
    <row r="1026" spans="1:14" x14ac:dyDescent="0.25">
      <c r="A1026" s="3">
        <v>45264</v>
      </c>
      <c r="B1026" s="15" t="s">
        <v>3</v>
      </c>
      <c r="C1026" s="16">
        <v>91</v>
      </c>
      <c r="D1026" s="16">
        <v>491518</v>
      </c>
      <c r="E1026" s="16">
        <v>42534</v>
      </c>
      <c r="F1026" s="16">
        <v>448984</v>
      </c>
      <c r="G1026" s="16">
        <v>9</v>
      </c>
      <c r="H1026" s="16">
        <v>491520</v>
      </c>
      <c r="I1026" s="16">
        <v>91</v>
      </c>
      <c r="J1026" s="15" t="s">
        <v>1</v>
      </c>
      <c r="K1026" s="15" t="s">
        <v>2</v>
      </c>
      <c r="L1026" s="8">
        <f>UnilabUsage[[#This Row],[Used-MB]]-F1016</f>
        <v>609</v>
      </c>
      <c r="M1026">
        <f>UnilabUsage[[#This Row],[Max]]-UnilabUsage[[#This Row],[Used-MB]]</f>
        <v>42536</v>
      </c>
      <c r="N1026" s="5">
        <f>IF($L1026&gt;0,UnilabUsage[[#This Row],[Free-of-Max]]/UnilabUsage[[#This Row],[Usage-Delta-MB]],UnilabUsage[[#This Row],[Free-of-Max]])</f>
        <v>69.8456486042693</v>
      </c>
    </row>
    <row r="1027" spans="1:14" x14ac:dyDescent="0.25">
      <c r="A1027" s="3">
        <v>45264</v>
      </c>
      <c r="B1027" s="15" t="s">
        <v>5</v>
      </c>
      <c r="C1027" s="16">
        <v>95</v>
      </c>
      <c r="D1027" s="16">
        <v>23900</v>
      </c>
      <c r="E1027" s="16">
        <v>1124</v>
      </c>
      <c r="F1027" s="16">
        <v>22776</v>
      </c>
      <c r="G1027" s="16">
        <v>5</v>
      </c>
      <c r="H1027" s="16">
        <v>32768</v>
      </c>
      <c r="I1027" s="16">
        <v>70</v>
      </c>
      <c r="J1027" s="15" t="s">
        <v>1</v>
      </c>
      <c r="K1027" s="15" t="s">
        <v>2</v>
      </c>
      <c r="L1027" s="8">
        <f>UnilabUsage[[#This Row],[Used-MB]]-F1017</f>
        <v>3</v>
      </c>
      <c r="M1027">
        <f>UnilabUsage[[#This Row],[Max]]-UnilabUsage[[#This Row],[Used-MB]]</f>
        <v>9992</v>
      </c>
      <c r="N1027" s="5">
        <f>IF($L1027&gt;0,UnilabUsage[[#This Row],[Free-of-Max]]/UnilabUsage[[#This Row],[Usage-Delta-MB]],UnilabUsage[[#This Row],[Free-of-Max]])</f>
        <v>3330.6666666666665</v>
      </c>
    </row>
    <row r="1028" spans="1:14" x14ac:dyDescent="0.25">
      <c r="A1028" s="3">
        <v>45264</v>
      </c>
      <c r="B1028" s="15" t="s">
        <v>8</v>
      </c>
      <c r="C1028" s="16">
        <v>90</v>
      </c>
      <c r="D1028" s="16">
        <v>327680</v>
      </c>
      <c r="E1028" s="16">
        <v>32907</v>
      </c>
      <c r="F1028" s="16">
        <v>294773</v>
      </c>
      <c r="G1028" s="16">
        <v>10</v>
      </c>
      <c r="H1028" s="16">
        <v>327680</v>
      </c>
      <c r="I1028" s="16">
        <v>90</v>
      </c>
      <c r="J1028" s="15" t="s">
        <v>1</v>
      </c>
      <c r="K1028" s="15" t="s">
        <v>2</v>
      </c>
      <c r="L1028" s="8">
        <f>UnilabUsage[[#This Row],[Used-MB]]-F1018</f>
        <v>540</v>
      </c>
      <c r="M1028">
        <f>UnilabUsage[[#This Row],[Max]]-UnilabUsage[[#This Row],[Used-MB]]</f>
        <v>32907</v>
      </c>
      <c r="N1028" s="5">
        <f>IF($L1028&gt;0,UnilabUsage[[#This Row],[Free-of-Max]]/UnilabUsage[[#This Row],[Usage-Delta-MB]],UnilabUsage[[#This Row],[Free-of-Max]])</f>
        <v>60.93888888888889</v>
      </c>
    </row>
    <row r="1029" spans="1:14" x14ac:dyDescent="0.25">
      <c r="A1029" s="3">
        <v>45264</v>
      </c>
      <c r="B1029" s="15" t="s">
        <v>4</v>
      </c>
      <c r="C1029" s="16">
        <v>95</v>
      </c>
      <c r="D1029" s="16">
        <v>99260</v>
      </c>
      <c r="E1029" s="16">
        <v>5259</v>
      </c>
      <c r="F1029" s="16">
        <v>94001</v>
      </c>
      <c r="G1029" s="16">
        <v>5</v>
      </c>
      <c r="H1029" s="16">
        <v>131072</v>
      </c>
      <c r="I1029" s="16">
        <v>72</v>
      </c>
      <c r="J1029" s="15" t="s">
        <v>1</v>
      </c>
      <c r="K1029" s="15" t="s">
        <v>2</v>
      </c>
      <c r="L1029" s="8">
        <f>UnilabUsage[[#This Row],[Used-MB]]-F1019</f>
        <v>128</v>
      </c>
      <c r="M1029">
        <f>UnilabUsage[[#This Row],[Max]]-UnilabUsage[[#This Row],[Used-MB]]</f>
        <v>37071</v>
      </c>
      <c r="N1029" s="5">
        <f>IF($L1029&gt;0,UnilabUsage[[#This Row],[Free-of-Max]]/UnilabUsage[[#This Row],[Usage-Delta-MB]],UnilabUsage[[#This Row],[Free-of-Max]])</f>
        <v>289.6171875</v>
      </c>
    </row>
    <row r="1030" spans="1:14" x14ac:dyDescent="0.25">
      <c r="A1030" s="3">
        <v>45264</v>
      </c>
      <c r="B1030" s="15" t="s">
        <v>12</v>
      </c>
      <c r="C1030" s="16">
        <v>0</v>
      </c>
      <c r="D1030" s="16">
        <v>30720</v>
      </c>
      <c r="E1030" s="16">
        <v>30682</v>
      </c>
      <c r="F1030" s="16">
        <v>38</v>
      </c>
      <c r="G1030" s="16">
        <v>100</v>
      </c>
      <c r="H1030" s="16">
        <v>30720</v>
      </c>
      <c r="I1030" s="16">
        <v>0</v>
      </c>
      <c r="J1030" s="15" t="s">
        <v>1</v>
      </c>
      <c r="K1030" s="15" t="s">
        <v>13</v>
      </c>
      <c r="L1030" s="8">
        <f>UnilabUsage[[#This Row],[Used-MB]]-F1020</f>
        <v>-45</v>
      </c>
      <c r="M1030">
        <f>UnilabUsage[[#This Row],[Max]]-UnilabUsage[[#This Row],[Used-MB]]</f>
        <v>30682</v>
      </c>
      <c r="N1030" s="5">
        <f>IF($L1030&gt;0,UnilabUsage[[#This Row],[Free-of-Max]]/UnilabUsage[[#This Row],[Usage-Delta-MB]],UnilabUsage[[#This Row],[Free-of-Max]])</f>
        <v>30682</v>
      </c>
    </row>
    <row r="1031" spans="1:14" x14ac:dyDescent="0.25">
      <c r="A1031" s="3">
        <v>45264</v>
      </c>
      <c r="B1031" s="15" t="s">
        <v>9</v>
      </c>
      <c r="C1031" s="16">
        <v>4</v>
      </c>
      <c r="D1031" s="16">
        <v>10440</v>
      </c>
      <c r="E1031" s="16">
        <v>10075</v>
      </c>
      <c r="F1031" s="16">
        <v>366</v>
      </c>
      <c r="G1031" s="16">
        <v>96</v>
      </c>
      <c r="H1031" s="16">
        <v>32768</v>
      </c>
      <c r="I1031" s="16">
        <v>1</v>
      </c>
      <c r="J1031" s="15" t="s">
        <v>1</v>
      </c>
      <c r="K1031" s="15" t="s">
        <v>10</v>
      </c>
      <c r="L1031" s="8">
        <f>UnilabUsage[[#This Row],[Used-MB]]-F1021</f>
        <v>-3</v>
      </c>
      <c r="M1031">
        <f>UnilabUsage[[#This Row],[Max]]-UnilabUsage[[#This Row],[Used-MB]]</f>
        <v>32402</v>
      </c>
      <c r="N1031" s="5">
        <f>IF($L1031&gt;0,UnilabUsage[[#This Row],[Free-of-Max]]/UnilabUsage[[#This Row],[Usage-Delta-MB]],UnilabUsage[[#This Row],[Free-of-Max]])</f>
        <v>32402</v>
      </c>
    </row>
    <row r="1032" spans="1:14" x14ac:dyDescent="0.25">
      <c r="A1032" s="3">
        <v>45271</v>
      </c>
      <c r="B1032" s="15" t="s">
        <v>7</v>
      </c>
      <c r="C1032" s="16">
        <v>95</v>
      </c>
      <c r="D1032" s="16">
        <v>2360</v>
      </c>
      <c r="E1032" s="16">
        <v>109</v>
      </c>
      <c r="F1032" s="16">
        <v>2251</v>
      </c>
      <c r="G1032" s="16">
        <v>5</v>
      </c>
      <c r="H1032" s="16">
        <v>32768</v>
      </c>
      <c r="I1032" s="16">
        <v>7</v>
      </c>
      <c r="J1032" s="15" t="s">
        <v>1</v>
      </c>
      <c r="K1032" s="15" t="s">
        <v>2</v>
      </c>
      <c r="L1032" s="8">
        <f>UnilabUsage[[#This Row],[Used-MB]]-F1022</f>
        <v>0</v>
      </c>
      <c r="M1032">
        <f>UnilabUsage[[#This Row],[Max]]-UnilabUsage[[#This Row],[Used-MB]]</f>
        <v>30517</v>
      </c>
      <c r="N1032" s="5">
        <f>IF($L1032&gt;0,UnilabUsage[[#This Row],[Free-of-Max]]/UnilabUsage[[#This Row],[Usage-Delta-MB]],UnilabUsage[[#This Row],[Free-of-Max]])</f>
        <v>30517</v>
      </c>
    </row>
    <row r="1033" spans="1:14" x14ac:dyDescent="0.25">
      <c r="A1033" s="3">
        <v>45271</v>
      </c>
      <c r="B1033" s="15" t="s">
        <v>0</v>
      </c>
      <c r="C1033" s="16">
        <v>100</v>
      </c>
      <c r="D1033" s="16">
        <v>23450</v>
      </c>
      <c r="E1033" s="16">
        <v>76</v>
      </c>
      <c r="F1033" s="16">
        <v>23374</v>
      </c>
      <c r="G1033" s="16">
        <v>0</v>
      </c>
      <c r="H1033" s="16">
        <v>32768</v>
      </c>
      <c r="I1033" s="16">
        <v>71</v>
      </c>
      <c r="J1033" s="15" t="s">
        <v>1</v>
      </c>
      <c r="K1033" s="15" t="s">
        <v>2</v>
      </c>
      <c r="L1033" s="8">
        <f>UnilabUsage[[#This Row],[Used-MB]]-F1023</f>
        <v>64</v>
      </c>
      <c r="M1033">
        <f>UnilabUsage[[#This Row],[Max]]-UnilabUsage[[#This Row],[Used-MB]]</f>
        <v>9394</v>
      </c>
      <c r="N1033" s="5">
        <f>IF($L1033&gt;0,UnilabUsage[[#This Row],[Free-of-Max]]/UnilabUsage[[#This Row],[Usage-Delta-MB]],UnilabUsage[[#This Row],[Free-of-Max]])</f>
        <v>146.78125</v>
      </c>
    </row>
    <row r="1034" spans="1:14" x14ac:dyDescent="0.25">
      <c r="A1034" s="3">
        <v>45271</v>
      </c>
      <c r="B1034" s="15" t="s">
        <v>11</v>
      </c>
      <c r="C1034" s="16">
        <v>1</v>
      </c>
      <c r="D1034" s="16">
        <v>100</v>
      </c>
      <c r="E1034" s="16">
        <v>99</v>
      </c>
      <c r="F1034" s="16">
        <v>1</v>
      </c>
      <c r="G1034" s="16">
        <v>99</v>
      </c>
      <c r="H1034" s="16">
        <v>32768</v>
      </c>
      <c r="I1034" s="16">
        <v>0</v>
      </c>
      <c r="J1034" s="15" t="s">
        <v>1</v>
      </c>
      <c r="K1034" s="15" t="s">
        <v>2</v>
      </c>
      <c r="L1034" s="8">
        <f>UnilabUsage[[#This Row],[Used-MB]]-F1024</f>
        <v>0</v>
      </c>
      <c r="M1034">
        <f>UnilabUsage[[#This Row],[Max]]-UnilabUsage[[#This Row],[Used-MB]]</f>
        <v>32767</v>
      </c>
      <c r="N1034" s="5">
        <f>IF($L1034&gt;0,UnilabUsage[[#This Row],[Free-of-Max]]/UnilabUsage[[#This Row],[Usage-Delta-MB]],UnilabUsage[[#This Row],[Free-of-Max]])</f>
        <v>32767</v>
      </c>
    </row>
    <row r="1035" spans="1:14" x14ac:dyDescent="0.25">
      <c r="A1035" s="3">
        <v>45271</v>
      </c>
      <c r="B1035" s="15" t="s">
        <v>6</v>
      </c>
      <c r="C1035" s="16">
        <v>95</v>
      </c>
      <c r="D1035" s="16">
        <v>7725</v>
      </c>
      <c r="E1035" s="16">
        <v>370</v>
      </c>
      <c r="F1035" s="16">
        <v>7355</v>
      </c>
      <c r="G1035" s="16">
        <v>5</v>
      </c>
      <c r="H1035" s="16">
        <v>32768</v>
      </c>
      <c r="I1035" s="16">
        <v>22</v>
      </c>
      <c r="J1035" s="15" t="s">
        <v>1</v>
      </c>
      <c r="K1035" s="15" t="s">
        <v>2</v>
      </c>
      <c r="L1035" s="8">
        <f>UnilabUsage[[#This Row],[Used-MB]]-F1025</f>
        <v>0</v>
      </c>
      <c r="M1035">
        <f>UnilabUsage[[#This Row],[Max]]-UnilabUsage[[#This Row],[Used-MB]]</f>
        <v>25413</v>
      </c>
      <c r="N1035" s="5">
        <f>IF($L1035&gt;0,UnilabUsage[[#This Row],[Free-of-Max]]/UnilabUsage[[#This Row],[Usage-Delta-MB]],UnilabUsage[[#This Row],[Free-of-Max]])</f>
        <v>25413</v>
      </c>
    </row>
    <row r="1036" spans="1:14" x14ac:dyDescent="0.25">
      <c r="A1036" s="3">
        <v>45271</v>
      </c>
      <c r="B1036" s="15" t="s">
        <v>3</v>
      </c>
      <c r="C1036" s="16">
        <v>91</v>
      </c>
      <c r="D1036" s="16">
        <v>491518</v>
      </c>
      <c r="E1036" s="16">
        <v>41969</v>
      </c>
      <c r="F1036" s="16">
        <v>449549</v>
      </c>
      <c r="G1036" s="16">
        <v>9</v>
      </c>
      <c r="H1036" s="16">
        <v>491520</v>
      </c>
      <c r="I1036" s="16">
        <v>91</v>
      </c>
      <c r="J1036" s="15" t="s">
        <v>1</v>
      </c>
      <c r="K1036" s="15" t="s">
        <v>2</v>
      </c>
      <c r="L1036" s="8">
        <f>UnilabUsage[[#This Row],[Used-MB]]-F1026</f>
        <v>565</v>
      </c>
      <c r="M1036">
        <f>UnilabUsage[[#This Row],[Max]]-UnilabUsage[[#This Row],[Used-MB]]</f>
        <v>41971</v>
      </c>
      <c r="N1036" s="5">
        <f>IF($L1036&gt;0,UnilabUsage[[#This Row],[Free-of-Max]]/UnilabUsage[[#This Row],[Usage-Delta-MB]],UnilabUsage[[#This Row],[Free-of-Max]])</f>
        <v>74.284955752212383</v>
      </c>
    </row>
    <row r="1037" spans="1:14" x14ac:dyDescent="0.25">
      <c r="A1037" s="3">
        <v>45271</v>
      </c>
      <c r="B1037" s="15" t="s">
        <v>5</v>
      </c>
      <c r="C1037" s="16">
        <v>95</v>
      </c>
      <c r="D1037" s="16">
        <v>24100</v>
      </c>
      <c r="E1037" s="16">
        <v>1188</v>
      </c>
      <c r="F1037" s="16">
        <v>22912</v>
      </c>
      <c r="G1037" s="16">
        <v>5</v>
      </c>
      <c r="H1037" s="16">
        <v>32768</v>
      </c>
      <c r="I1037" s="16">
        <v>70</v>
      </c>
      <c r="J1037" s="15" t="s">
        <v>1</v>
      </c>
      <c r="K1037" s="15" t="s">
        <v>2</v>
      </c>
      <c r="L1037" s="8">
        <f>UnilabUsage[[#This Row],[Used-MB]]-F1027</f>
        <v>136</v>
      </c>
      <c r="M1037">
        <f>UnilabUsage[[#This Row],[Max]]-UnilabUsage[[#This Row],[Used-MB]]</f>
        <v>9856</v>
      </c>
      <c r="N1037" s="5">
        <f>IF($L1037&gt;0,UnilabUsage[[#This Row],[Free-of-Max]]/UnilabUsage[[#This Row],[Usage-Delta-MB]],UnilabUsage[[#This Row],[Free-of-Max]])</f>
        <v>72.470588235294116</v>
      </c>
    </row>
    <row r="1038" spans="1:14" x14ac:dyDescent="0.25">
      <c r="A1038" s="3">
        <v>45271</v>
      </c>
      <c r="B1038" s="15" t="s">
        <v>8</v>
      </c>
      <c r="C1038" s="16">
        <v>90</v>
      </c>
      <c r="D1038" s="16">
        <v>327680</v>
      </c>
      <c r="E1038" s="16">
        <v>32184</v>
      </c>
      <c r="F1038" s="16">
        <v>295495</v>
      </c>
      <c r="G1038" s="16">
        <v>10</v>
      </c>
      <c r="H1038" s="16">
        <v>327680</v>
      </c>
      <c r="I1038" s="16">
        <v>90</v>
      </c>
      <c r="J1038" s="15" t="s">
        <v>1</v>
      </c>
      <c r="K1038" s="15" t="s">
        <v>2</v>
      </c>
      <c r="L1038" s="8">
        <f>UnilabUsage[[#This Row],[Used-MB]]-F1028</f>
        <v>722</v>
      </c>
      <c r="M1038">
        <f>UnilabUsage[[#This Row],[Max]]-UnilabUsage[[#This Row],[Used-MB]]</f>
        <v>32185</v>
      </c>
      <c r="N1038" s="5">
        <f>IF($L1038&gt;0,UnilabUsage[[#This Row],[Free-of-Max]]/UnilabUsage[[#This Row],[Usage-Delta-MB]],UnilabUsage[[#This Row],[Free-of-Max]])</f>
        <v>44.577562326869803</v>
      </c>
    </row>
    <row r="1039" spans="1:14" x14ac:dyDescent="0.25">
      <c r="A1039" s="3">
        <v>45271</v>
      </c>
      <c r="B1039" s="15" t="s">
        <v>4</v>
      </c>
      <c r="C1039" s="16">
        <v>95</v>
      </c>
      <c r="D1039" s="16">
        <v>99260</v>
      </c>
      <c r="E1039" s="16">
        <v>5195</v>
      </c>
      <c r="F1039" s="16">
        <v>94065</v>
      </c>
      <c r="G1039" s="16">
        <v>5</v>
      </c>
      <c r="H1039" s="16">
        <v>131072</v>
      </c>
      <c r="I1039" s="16">
        <v>72</v>
      </c>
      <c r="J1039" s="15" t="s">
        <v>1</v>
      </c>
      <c r="K1039" s="15" t="s">
        <v>2</v>
      </c>
      <c r="L1039" s="8">
        <f>UnilabUsage[[#This Row],[Used-MB]]-F1029</f>
        <v>64</v>
      </c>
      <c r="M1039">
        <f>UnilabUsage[[#This Row],[Max]]-UnilabUsage[[#This Row],[Used-MB]]</f>
        <v>37007</v>
      </c>
      <c r="N1039" s="5">
        <f>IF($L1039&gt;0,UnilabUsage[[#This Row],[Free-of-Max]]/UnilabUsage[[#This Row],[Usage-Delta-MB]],UnilabUsage[[#This Row],[Free-of-Max]])</f>
        <v>578.234375</v>
      </c>
    </row>
    <row r="1040" spans="1:14" x14ac:dyDescent="0.25">
      <c r="A1040" s="3">
        <v>45271</v>
      </c>
      <c r="B1040" s="15" t="s">
        <v>12</v>
      </c>
      <c r="C1040" s="16">
        <v>0</v>
      </c>
      <c r="D1040" s="16">
        <v>30720</v>
      </c>
      <c r="E1040" s="16">
        <v>30631</v>
      </c>
      <c r="F1040" s="16">
        <v>89</v>
      </c>
      <c r="G1040" s="16">
        <v>100</v>
      </c>
      <c r="H1040" s="16">
        <v>30720</v>
      </c>
      <c r="I1040" s="16">
        <v>0</v>
      </c>
      <c r="J1040" s="15" t="s">
        <v>1</v>
      </c>
      <c r="K1040" s="15" t="s">
        <v>13</v>
      </c>
      <c r="L1040" s="8">
        <f>UnilabUsage[[#This Row],[Used-MB]]-F1030</f>
        <v>51</v>
      </c>
      <c r="M1040">
        <f>UnilabUsage[[#This Row],[Max]]-UnilabUsage[[#This Row],[Used-MB]]</f>
        <v>30631</v>
      </c>
      <c r="N1040" s="5">
        <f>IF($L1040&gt;0,UnilabUsage[[#This Row],[Free-of-Max]]/UnilabUsage[[#This Row],[Usage-Delta-MB]],UnilabUsage[[#This Row],[Free-of-Max]])</f>
        <v>600.60784313725492</v>
      </c>
    </row>
    <row r="1041" spans="1:14" x14ac:dyDescent="0.25">
      <c r="A1041" s="3">
        <v>45271</v>
      </c>
      <c r="B1041" s="15" t="s">
        <v>9</v>
      </c>
      <c r="C1041" s="16">
        <v>3</v>
      </c>
      <c r="D1041" s="16">
        <v>10440</v>
      </c>
      <c r="E1041" s="16">
        <v>10084</v>
      </c>
      <c r="F1041" s="16">
        <v>356</v>
      </c>
      <c r="G1041" s="16">
        <v>97</v>
      </c>
      <c r="H1041" s="16">
        <v>32768</v>
      </c>
      <c r="I1041" s="16">
        <v>1</v>
      </c>
      <c r="J1041" s="15" t="s">
        <v>1</v>
      </c>
      <c r="K1041" s="15" t="s">
        <v>10</v>
      </c>
      <c r="L1041" s="8">
        <f>UnilabUsage[[#This Row],[Used-MB]]-F1031</f>
        <v>-10</v>
      </c>
      <c r="M1041">
        <f>UnilabUsage[[#This Row],[Max]]-UnilabUsage[[#This Row],[Used-MB]]</f>
        <v>32412</v>
      </c>
      <c r="N1041" s="5">
        <f>IF($L1041&gt;0,UnilabUsage[[#This Row],[Free-of-Max]]/UnilabUsage[[#This Row],[Usage-Delta-MB]],UnilabUsage[[#This Row],[Free-of-Max]])</f>
        <v>32412</v>
      </c>
    </row>
    <row r="1042" spans="1:14" x14ac:dyDescent="0.25">
      <c r="A1042" s="3">
        <v>45278</v>
      </c>
      <c r="B1042" s="15" t="s">
        <v>7</v>
      </c>
      <c r="C1042" s="16">
        <v>95</v>
      </c>
      <c r="D1042" s="16">
        <v>2380</v>
      </c>
      <c r="E1042" s="16">
        <v>120</v>
      </c>
      <c r="F1042" s="16">
        <v>2260</v>
      </c>
      <c r="G1042" s="16">
        <v>5</v>
      </c>
      <c r="H1042" s="16">
        <v>32768</v>
      </c>
      <c r="I1042" s="16">
        <v>7</v>
      </c>
      <c r="J1042" s="15" t="s">
        <v>1</v>
      </c>
      <c r="K1042" s="15" t="s">
        <v>2</v>
      </c>
      <c r="L1042" s="8">
        <f>UnilabUsage[[#This Row],[Used-MB]]-F1032</f>
        <v>9</v>
      </c>
      <c r="M1042">
        <f>UnilabUsage[[#This Row],[Max]]-UnilabUsage[[#This Row],[Used-MB]]</f>
        <v>30508</v>
      </c>
      <c r="N1042" s="5">
        <f>IF($L1042&gt;0,UnilabUsage[[#This Row],[Free-of-Max]]/UnilabUsage[[#This Row],[Usage-Delta-MB]],UnilabUsage[[#This Row],[Free-of-Max]])</f>
        <v>3389.7777777777778</v>
      </c>
    </row>
    <row r="1043" spans="1:14" x14ac:dyDescent="0.25">
      <c r="A1043" s="3">
        <v>45278</v>
      </c>
      <c r="B1043" s="15" t="s">
        <v>0</v>
      </c>
      <c r="C1043" s="16">
        <v>100</v>
      </c>
      <c r="D1043" s="16">
        <v>23450</v>
      </c>
      <c r="E1043" s="16">
        <v>12</v>
      </c>
      <c r="F1043" s="16">
        <v>23438</v>
      </c>
      <c r="G1043" s="16">
        <v>0</v>
      </c>
      <c r="H1043" s="16">
        <v>32768</v>
      </c>
      <c r="I1043" s="16">
        <v>72</v>
      </c>
      <c r="J1043" s="15" t="s">
        <v>1</v>
      </c>
      <c r="K1043" s="15" t="s">
        <v>2</v>
      </c>
      <c r="L1043" s="8">
        <f>UnilabUsage[[#This Row],[Used-MB]]-F1033</f>
        <v>64</v>
      </c>
      <c r="M1043">
        <f>UnilabUsage[[#This Row],[Max]]-UnilabUsage[[#This Row],[Used-MB]]</f>
        <v>9330</v>
      </c>
      <c r="N1043" s="5">
        <f>IF($L1043&gt;0,UnilabUsage[[#This Row],[Free-of-Max]]/UnilabUsage[[#This Row],[Usage-Delta-MB]],UnilabUsage[[#This Row],[Free-of-Max]])</f>
        <v>145.78125</v>
      </c>
    </row>
    <row r="1044" spans="1:14" x14ac:dyDescent="0.25">
      <c r="A1044" s="3">
        <v>45278</v>
      </c>
      <c r="B1044" s="15" t="s">
        <v>11</v>
      </c>
      <c r="C1044" s="16">
        <v>1</v>
      </c>
      <c r="D1044" s="16">
        <v>100</v>
      </c>
      <c r="E1044" s="16">
        <v>99</v>
      </c>
      <c r="F1044" s="16">
        <v>1</v>
      </c>
      <c r="G1044" s="16">
        <v>99</v>
      </c>
      <c r="H1044" s="16">
        <v>32768</v>
      </c>
      <c r="I1044" s="16">
        <v>0</v>
      </c>
      <c r="J1044" s="15" t="s">
        <v>1</v>
      </c>
      <c r="K1044" s="15" t="s">
        <v>2</v>
      </c>
      <c r="L1044" s="8">
        <f>UnilabUsage[[#This Row],[Used-MB]]-F1034</f>
        <v>0</v>
      </c>
      <c r="M1044">
        <f>UnilabUsage[[#This Row],[Max]]-UnilabUsage[[#This Row],[Used-MB]]</f>
        <v>32767</v>
      </c>
      <c r="N1044" s="5">
        <f>IF($L1044&gt;0,UnilabUsage[[#This Row],[Free-of-Max]]/UnilabUsage[[#This Row],[Usage-Delta-MB]],UnilabUsage[[#This Row],[Free-of-Max]])</f>
        <v>32767</v>
      </c>
    </row>
    <row r="1045" spans="1:14" x14ac:dyDescent="0.25">
      <c r="A1045" s="3">
        <v>45278</v>
      </c>
      <c r="B1045" s="15" t="s">
        <v>6</v>
      </c>
      <c r="C1045" s="16">
        <v>95</v>
      </c>
      <c r="D1045" s="16">
        <v>7725</v>
      </c>
      <c r="E1045" s="16">
        <v>369</v>
      </c>
      <c r="F1045" s="16">
        <v>7356</v>
      </c>
      <c r="G1045" s="16">
        <v>5</v>
      </c>
      <c r="H1045" s="16">
        <v>32768</v>
      </c>
      <c r="I1045" s="16">
        <v>22</v>
      </c>
      <c r="J1045" s="15" t="s">
        <v>1</v>
      </c>
      <c r="K1045" s="15" t="s">
        <v>2</v>
      </c>
      <c r="L1045" s="8">
        <f>UnilabUsage[[#This Row],[Used-MB]]-F1035</f>
        <v>1</v>
      </c>
      <c r="M1045">
        <f>UnilabUsage[[#This Row],[Max]]-UnilabUsage[[#This Row],[Used-MB]]</f>
        <v>25412</v>
      </c>
      <c r="N1045" s="5">
        <f>IF($L1045&gt;0,UnilabUsage[[#This Row],[Free-of-Max]]/UnilabUsage[[#This Row],[Usage-Delta-MB]],UnilabUsage[[#This Row],[Free-of-Max]])</f>
        <v>25412</v>
      </c>
    </row>
    <row r="1046" spans="1:14" x14ac:dyDescent="0.25">
      <c r="A1046" s="3">
        <v>45278</v>
      </c>
      <c r="B1046" s="15" t="s">
        <v>3</v>
      </c>
      <c r="C1046" s="16">
        <v>92</v>
      </c>
      <c r="D1046" s="16">
        <v>491518</v>
      </c>
      <c r="E1046" s="16">
        <v>41311</v>
      </c>
      <c r="F1046" s="16">
        <v>450207</v>
      </c>
      <c r="G1046" s="16">
        <v>8</v>
      </c>
      <c r="H1046" s="16">
        <v>491520</v>
      </c>
      <c r="I1046" s="16">
        <v>92</v>
      </c>
      <c r="J1046" s="15" t="s">
        <v>1</v>
      </c>
      <c r="K1046" s="15" t="s">
        <v>2</v>
      </c>
      <c r="L1046" s="8">
        <f>UnilabUsage[[#This Row],[Used-MB]]-F1036</f>
        <v>658</v>
      </c>
      <c r="M1046">
        <f>UnilabUsage[[#This Row],[Max]]-UnilabUsage[[#This Row],[Used-MB]]</f>
        <v>41313</v>
      </c>
      <c r="N1046" s="5">
        <f>IF($L1046&gt;0,UnilabUsage[[#This Row],[Free-of-Max]]/UnilabUsage[[#This Row],[Usage-Delta-MB]],UnilabUsage[[#This Row],[Free-of-Max]])</f>
        <v>62.785714285714285</v>
      </c>
    </row>
    <row r="1047" spans="1:14" x14ac:dyDescent="0.25">
      <c r="A1047" s="3">
        <v>45278</v>
      </c>
      <c r="B1047" s="15" t="s">
        <v>5</v>
      </c>
      <c r="C1047" s="16">
        <v>95</v>
      </c>
      <c r="D1047" s="16">
        <v>24100</v>
      </c>
      <c r="E1047" s="16">
        <v>1188</v>
      </c>
      <c r="F1047" s="16">
        <v>22912</v>
      </c>
      <c r="G1047" s="16">
        <v>5</v>
      </c>
      <c r="H1047" s="16">
        <v>32768</v>
      </c>
      <c r="I1047" s="16">
        <v>70</v>
      </c>
      <c r="J1047" s="15" t="s">
        <v>1</v>
      </c>
      <c r="K1047" s="15" t="s">
        <v>2</v>
      </c>
      <c r="L1047" s="8">
        <f>UnilabUsage[[#This Row],[Used-MB]]-F1037</f>
        <v>0</v>
      </c>
      <c r="M1047">
        <f>UnilabUsage[[#This Row],[Max]]-UnilabUsage[[#This Row],[Used-MB]]</f>
        <v>9856</v>
      </c>
      <c r="N1047" s="5">
        <f>IF($L1047&gt;0,UnilabUsage[[#This Row],[Free-of-Max]]/UnilabUsage[[#This Row],[Usage-Delta-MB]],UnilabUsage[[#This Row],[Free-of-Max]])</f>
        <v>9856</v>
      </c>
    </row>
    <row r="1048" spans="1:14" x14ac:dyDescent="0.25">
      <c r="A1048" s="3">
        <v>45278</v>
      </c>
      <c r="B1048" s="15" t="s">
        <v>8</v>
      </c>
      <c r="C1048" s="16">
        <v>90</v>
      </c>
      <c r="D1048" s="16">
        <v>327680</v>
      </c>
      <c r="E1048" s="16">
        <v>31751</v>
      </c>
      <c r="F1048" s="16">
        <v>295928</v>
      </c>
      <c r="G1048" s="16">
        <v>10</v>
      </c>
      <c r="H1048" s="16">
        <v>327680</v>
      </c>
      <c r="I1048" s="16">
        <v>90</v>
      </c>
      <c r="J1048" s="15" t="s">
        <v>1</v>
      </c>
      <c r="K1048" s="15" t="s">
        <v>2</v>
      </c>
      <c r="L1048" s="8">
        <f>UnilabUsage[[#This Row],[Used-MB]]-F1038</f>
        <v>433</v>
      </c>
      <c r="M1048">
        <f>UnilabUsage[[#This Row],[Max]]-UnilabUsage[[#This Row],[Used-MB]]</f>
        <v>31752</v>
      </c>
      <c r="N1048" s="5">
        <f>IF($L1048&gt;0,UnilabUsage[[#This Row],[Free-of-Max]]/UnilabUsage[[#This Row],[Usage-Delta-MB]],UnilabUsage[[#This Row],[Free-of-Max]])</f>
        <v>73.330254041570441</v>
      </c>
    </row>
    <row r="1049" spans="1:14" x14ac:dyDescent="0.25">
      <c r="A1049" s="3">
        <v>45278</v>
      </c>
      <c r="B1049" s="15" t="s">
        <v>4</v>
      </c>
      <c r="C1049" s="16">
        <v>95</v>
      </c>
      <c r="D1049" s="16">
        <v>99260</v>
      </c>
      <c r="E1049" s="16">
        <v>5060</v>
      </c>
      <c r="F1049" s="16">
        <v>94200</v>
      </c>
      <c r="G1049" s="16">
        <v>5</v>
      </c>
      <c r="H1049" s="16">
        <v>131072</v>
      </c>
      <c r="I1049" s="16">
        <v>72</v>
      </c>
      <c r="J1049" s="15" t="s">
        <v>1</v>
      </c>
      <c r="K1049" s="15" t="s">
        <v>2</v>
      </c>
      <c r="L1049" s="8">
        <f>UnilabUsage[[#This Row],[Used-MB]]-F1039</f>
        <v>135</v>
      </c>
      <c r="M1049">
        <f>UnilabUsage[[#This Row],[Max]]-UnilabUsage[[#This Row],[Used-MB]]</f>
        <v>36872</v>
      </c>
      <c r="N1049" s="5">
        <f>IF($L1049&gt;0,UnilabUsage[[#This Row],[Free-of-Max]]/UnilabUsage[[#This Row],[Usage-Delta-MB]],UnilabUsage[[#This Row],[Free-of-Max]])</f>
        <v>273.12592592592591</v>
      </c>
    </row>
    <row r="1050" spans="1:14" x14ac:dyDescent="0.25">
      <c r="A1050" s="3">
        <v>45278</v>
      </c>
      <c r="B1050" s="15" t="s">
        <v>12</v>
      </c>
      <c r="C1050" s="16">
        <v>0</v>
      </c>
      <c r="D1050" s="16">
        <v>30720</v>
      </c>
      <c r="E1050" s="16">
        <v>30626</v>
      </c>
      <c r="F1050" s="16">
        <v>94</v>
      </c>
      <c r="G1050" s="16">
        <v>100</v>
      </c>
      <c r="H1050" s="16">
        <v>30720</v>
      </c>
      <c r="I1050" s="16">
        <v>0</v>
      </c>
      <c r="J1050" s="15" t="s">
        <v>1</v>
      </c>
      <c r="K1050" s="15" t="s">
        <v>13</v>
      </c>
      <c r="L1050" s="8">
        <f>UnilabUsage[[#This Row],[Used-MB]]-F1040</f>
        <v>5</v>
      </c>
      <c r="M1050">
        <f>UnilabUsage[[#This Row],[Max]]-UnilabUsage[[#This Row],[Used-MB]]</f>
        <v>30626</v>
      </c>
      <c r="N1050" s="5">
        <f>IF($L1050&gt;0,UnilabUsage[[#This Row],[Free-of-Max]]/UnilabUsage[[#This Row],[Usage-Delta-MB]],UnilabUsage[[#This Row],[Free-of-Max]])</f>
        <v>6125.2</v>
      </c>
    </row>
    <row r="1051" spans="1:14" x14ac:dyDescent="0.25">
      <c r="A1051" s="3">
        <v>45278</v>
      </c>
      <c r="B1051" s="15" t="s">
        <v>9</v>
      </c>
      <c r="C1051" s="16">
        <v>3</v>
      </c>
      <c r="D1051" s="16">
        <v>10440</v>
      </c>
      <c r="E1051" s="16">
        <v>10079</v>
      </c>
      <c r="F1051" s="16">
        <v>361</v>
      </c>
      <c r="G1051" s="16">
        <v>97</v>
      </c>
      <c r="H1051" s="16">
        <v>32768</v>
      </c>
      <c r="I1051" s="16">
        <v>1</v>
      </c>
      <c r="J1051" s="15" t="s">
        <v>1</v>
      </c>
      <c r="K1051" s="15" t="s">
        <v>10</v>
      </c>
      <c r="L1051" s="8">
        <f>UnilabUsage[[#This Row],[Used-MB]]-F1041</f>
        <v>5</v>
      </c>
      <c r="M1051">
        <f>UnilabUsage[[#This Row],[Max]]-UnilabUsage[[#This Row],[Used-MB]]</f>
        <v>32407</v>
      </c>
      <c r="N1051" s="5">
        <f>IF($L1051&gt;0,UnilabUsage[[#This Row],[Free-of-Max]]/UnilabUsage[[#This Row],[Usage-Delta-MB]],UnilabUsage[[#This Row],[Free-of-Max]])</f>
        <v>6481.4</v>
      </c>
    </row>
    <row r="1052" spans="1:14" x14ac:dyDescent="0.25">
      <c r="A1052" s="3">
        <v>45299</v>
      </c>
      <c r="B1052" s="15" t="s">
        <v>7</v>
      </c>
      <c r="C1052" s="16">
        <v>95</v>
      </c>
      <c r="D1052" s="16">
        <v>2440</v>
      </c>
      <c r="E1052" s="16">
        <v>118</v>
      </c>
      <c r="F1052" s="16">
        <v>2322</v>
      </c>
      <c r="G1052" s="16">
        <v>5</v>
      </c>
      <c r="H1052" s="16">
        <v>32768</v>
      </c>
      <c r="I1052" s="16">
        <v>7</v>
      </c>
      <c r="J1052" s="15" t="s">
        <v>1</v>
      </c>
      <c r="K1052" s="15" t="s">
        <v>2</v>
      </c>
      <c r="L1052" s="8">
        <f>UnilabUsage[[#This Row],[Used-MB]]-F1042</f>
        <v>62</v>
      </c>
      <c r="M1052">
        <f>UnilabUsage[[#This Row],[Max]]-UnilabUsage[[#This Row],[Used-MB]]</f>
        <v>30446</v>
      </c>
      <c r="N1052" s="5">
        <f>IF($L1052&gt;0,UnilabUsage[[#This Row],[Free-of-Max]]/UnilabUsage[[#This Row],[Usage-Delta-MB]],UnilabUsage[[#This Row],[Free-of-Max]])</f>
        <v>491.06451612903226</v>
      </c>
    </row>
    <row r="1053" spans="1:14" x14ac:dyDescent="0.25">
      <c r="A1053" s="3">
        <v>45299</v>
      </c>
      <c r="B1053" s="15" t="s">
        <v>0</v>
      </c>
      <c r="C1053" s="16">
        <v>100</v>
      </c>
      <c r="D1053" s="16">
        <v>23650</v>
      </c>
      <c r="E1053" s="16">
        <v>19</v>
      </c>
      <c r="F1053" s="16">
        <v>23631</v>
      </c>
      <c r="G1053" s="16">
        <v>0</v>
      </c>
      <c r="H1053" s="16">
        <v>32768</v>
      </c>
      <c r="I1053" s="16">
        <v>72</v>
      </c>
      <c r="J1053" s="15" t="s">
        <v>1</v>
      </c>
      <c r="K1053" s="15" t="s">
        <v>2</v>
      </c>
      <c r="L1053" s="8">
        <f>UnilabUsage[[#This Row],[Used-MB]]-F1043</f>
        <v>193</v>
      </c>
      <c r="M1053">
        <f>UnilabUsage[[#This Row],[Max]]-UnilabUsage[[#This Row],[Used-MB]]</f>
        <v>9137</v>
      </c>
      <c r="N1053" s="5">
        <f>IF($L1053&gt;0,UnilabUsage[[#This Row],[Free-of-Max]]/UnilabUsage[[#This Row],[Usage-Delta-MB]],UnilabUsage[[#This Row],[Free-of-Max]])</f>
        <v>47.3419689119171</v>
      </c>
    </row>
    <row r="1054" spans="1:14" x14ac:dyDescent="0.25">
      <c r="A1054" s="3">
        <v>45299</v>
      </c>
      <c r="B1054" s="15" t="s">
        <v>11</v>
      </c>
      <c r="C1054" s="16">
        <v>1</v>
      </c>
      <c r="D1054" s="16">
        <v>100</v>
      </c>
      <c r="E1054" s="16">
        <v>99</v>
      </c>
      <c r="F1054" s="16">
        <v>1</v>
      </c>
      <c r="G1054" s="16">
        <v>99</v>
      </c>
      <c r="H1054" s="16">
        <v>32768</v>
      </c>
      <c r="I1054" s="16">
        <v>0</v>
      </c>
      <c r="J1054" s="15" t="s">
        <v>1</v>
      </c>
      <c r="K1054" s="15" t="s">
        <v>2</v>
      </c>
      <c r="L1054" s="8">
        <f>UnilabUsage[[#This Row],[Used-MB]]-F1044</f>
        <v>0</v>
      </c>
      <c r="M1054">
        <f>UnilabUsage[[#This Row],[Max]]-UnilabUsage[[#This Row],[Used-MB]]</f>
        <v>32767</v>
      </c>
      <c r="N1054" s="5">
        <f>IF($L1054&gt;0,UnilabUsage[[#This Row],[Free-of-Max]]/UnilabUsage[[#This Row],[Usage-Delta-MB]],UnilabUsage[[#This Row],[Free-of-Max]])</f>
        <v>32767</v>
      </c>
    </row>
    <row r="1055" spans="1:14" x14ac:dyDescent="0.25">
      <c r="A1055" s="3">
        <v>45299</v>
      </c>
      <c r="B1055" s="15" t="s">
        <v>6</v>
      </c>
      <c r="C1055" s="16">
        <v>95</v>
      </c>
      <c r="D1055" s="16">
        <v>7735</v>
      </c>
      <c r="E1055" s="16">
        <v>371</v>
      </c>
      <c r="F1055" s="16">
        <v>7364</v>
      </c>
      <c r="G1055" s="16">
        <v>5</v>
      </c>
      <c r="H1055" s="16">
        <v>32768</v>
      </c>
      <c r="I1055" s="16">
        <v>22</v>
      </c>
      <c r="J1055" s="15" t="s">
        <v>1</v>
      </c>
      <c r="K1055" s="15" t="s">
        <v>2</v>
      </c>
      <c r="L1055" s="8">
        <f>UnilabUsage[[#This Row],[Used-MB]]-F1045</f>
        <v>8</v>
      </c>
      <c r="M1055">
        <f>UnilabUsage[[#This Row],[Max]]-UnilabUsage[[#This Row],[Used-MB]]</f>
        <v>25404</v>
      </c>
      <c r="N1055" s="5">
        <f>IF($L1055&gt;0,UnilabUsage[[#This Row],[Free-of-Max]]/UnilabUsage[[#This Row],[Usage-Delta-MB]],UnilabUsage[[#This Row],[Free-of-Max]])</f>
        <v>3175.5</v>
      </c>
    </row>
    <row r="1056" spans="1:14" x14ac:dyDescent="0.25">
      <c r="A1056" s="3">
        <v>45299</v>
      </c>
      <c r="B1056" s="15" t="s">
        <v>3</v>
      </c>
      <c r="C1056" s="16">
        <v>92</v>
      </c>
      <c r="D1056" s="16">
        <v>491518</v>
      </c>
      <c r="E1056" s="16">
        <v>40411</v>
      </c>
      <c r="F1056" s="16">
        <v>451107</v>
      </c>
      <c r="G1056" s="16">
        <v>8</v>
      </c>
      <c r="H1056" s="16">
        <v>491520</v>
      </c>
      <c r="I1056" s="16">
        <v>92</v>
      </c>
      <c r="J1056" s="15" t="s">
        <v>1</v>
      </c>
      <c r="K1056" s="15" t="s">
        <v>2</v>
      </c>
      <c r="L1056" s="8">
        <f>UnilabUsage[[#This Row],[Used-MB]]-F1046</f>
        <v>900</v>
      </c>
      <c r="M1056">
        <f>UnilabUsage[[#This Row],[Max]]-UnilabUsage[[#This Row],[Used-MB]]</f>
        <v>40413</v>
      </c>
      <c r="N1056" s="5">
        <f>IF($L1056&gt;0,UnilabUsage[[#This Row],[Free-of-Max]]/UnilabUsage[[#This Row],[Usage-Delta-MB]],UnilabUsage[[#This Row],[Free-of-Max]])</f>
        <v>44.903333333333336</v>
      </c>
    </row>
    <row r="1057" spans="1:14" x14ac:dyDescent="0.25">
      <c r="A1057" s="3">
        <v>45299</v>
      </c>
      <c r="B1057" s="15" t="s">
        <v>5</v>
      </c>
      <c r="C1057" s="16">
        <v>95</v>
      </c>
      <c r="D1057" s="16">
        <v>24100</v>
      </c>
      <c r="E1057" s="16">
        <v>1122</v>
      </c>
      <c r="F1057" s="16">
        <v>22978</v>
      </c>
      <c r="G1057" s="16">
        <v>5</v>
      </c>
      <c r="H1057" s="16">
        <v>32768</v>
      </c>
      <c r="I1057" s="16">
        <v>70</v>
      </c>
      <c r="J1057" s="15" t="s">
        <v>1</v>
      </c>
      <c r="K1057" s="15" t="s">
        <v>2</v>
      </c>
      <c r="L1057" s="8">
        <f>UnilabUsage[[#This Row],[Used-MB]]-F1047</f>
        <v>66</v>
      </c>
      <c r="M1057">
        <f>UnilabUsage[[#This Row],[Max]]-UnilabUsage[[#This Row],[Used-MB]]</f>
        <v>9790</v>
      </c>
      <c r="N1057" s="5">
        <f>IF($L1057&gt;0,UnilabUsage[[#This Row],[Free-of-Max]]/UnilabUsage[[#This Row],[Usage-Delta-MB]],UnilabUsage[[#This Row],[Free-of-Max]])</f>
        <v>148.33333333333334</v>
      </c>
    </row>
    <row r="1058" spans="1:14" x14ac:dyDescent="0.25">
      <c r="A1058" s="3">
        <v>45299</v>
      </c>
      <c r="B1058" s="15" t="s">
        <v>8</v>
      </c>
      <c r="C1058" s="16">
        <v>91</v>
      </c>
      <c r="D1058" s="16">
        <v>327680</v>
      </c>
      <c r="E1058" s="16">
        <v>30904</v>
      </c>
      <c r="F1058" s="16">
        <v>296776</v>
      </c>
      <c r="G1058" s="16">
        <v>9</v>
      </c>
      <c r="H1058" s="16">
        <v>327680</v>
      </c>
      <c r="I1058" s="16">
        <v>91</v>
      </c>
      <c r="J1058" s="15" t="s">
        <v>1</v>
      </c>
      <c r="K1058" s="15" t="s">
        <v>2</v>
      </c>
      <c r="L1058" s="8">
        <f>UnilabUsage[[#This Row],[Used-MB]]-F1048</f>
        <v>848</v>
      </c>
      <c r="M1058">
        <f>UnilabUsage[[#This Row],[Max]]-UnilabUsage[[#This Row],[Used-MB]]</f>
        <v>30904</v>
      </c>
      <c r="N1058" s="5">
        <f>IF($L1058&gt;0,UnilabUsage[[#This Row],[Free-of-Max]]/UnilabUsage[[#This Row],[Usage-Delta-MB]],UnilabUsage[[#This Row],[Free-of-Max]])</f>
        <v>36.443396226415096</v>
      </c>
    </row>
    <row r="1059" spans="1:14" x14ac:dyDescent="0.25">
      <c r="A1059" s="3">
        <v>45299</v>
      </c>
      <c r="B1059" s="15" t="s">
        <v>4</v>
      </c>
      <c r="C1059" s="16">
        <v>95</v>
      </c>
      <c r="D1059" s="16">
        <v>99260</v>
      </c>
      <c r="E1059" s="16">
        <v>4932</v>
      </c>
      <c r="F1059" s="16">
        <v>94328</v>
      </c>
      <c r="G1059" s="16">
        <v>5</v>
      </c>
      <c r="H1059" s="16">
        <v>131072</v>
      </c>
      <c r="I1059" s="16">
        <v>72</v>
      </c>
      <c r="J1059" s="15" t="s">
        <v>1</v>
      </c>
      <c r="K1059" s="15" t="s">
        <v>2</v>
      </c>
      <c r="L1059" s="8">
        <f>UnilabUsage[[#This Row],[Used-MB]]-F1049</f>
        <v>128</v>
      </c>
      <c r="M1059">
        <f>UnilabUsage[[#This Row],[Max]]-UnilabUsage[[#This Row],[Used-MB]]</f>
        <v>36744</v>
      </c>
      <c r="N1059" s="5">
        <f>IF($L1059&gt;0,UnilabUsage[[#This Row],[Free-of-Max]]/UnilabUsage[[#This Row],[Usage-Delta-MB]],UnilabUsage[[#This Row],[Free-of-Max]])</f>
        <v>287.0625</v>
      </c>
    </row>
    <row r="1060" spans="1:14" x14ac:dyDescent="0.25">
      <c r="A1060" s="3">
        <v>45299</v>
      </c>
      <c r="B1060" s="15" t="s">
        <v>12</v>
      </c>
      <c r="C1060" s="16">
        <v>0</v>
      </c>
      <c r="D1060" s="16">
        <v>30720</v>
      </c>
      <c r="E1060" s="16">
        <v>30626</v>
      </c>
      <c r="F1060" s="16">
        <v>94</v>
      </c>
      <c r="G1060" s="16">
        <v>100</v>
      </c>
      <c r="H1060" s="16">
        <v>30720</v>
      </c>
      <c r="I1060" s="16">
        <v>0</v>
      </c>
      <c r="J1060" s="15" t="s">
        <v>1</v>
      </c>
      <c r="K1060" s="15" t="s">
        <v>13</v>
      </c>
      <c r="L1060" s="8">
        <f>UnilabUsage[[#This Row],[Used-MB]]-F1050</f>
        <v>0</v>
      </c>
      <c r="M1060">
        <f>UnilabUsage[[#This Row],[Max]]-UnilabUsage[[#This Row],[Used-MB]]</f>
        <v>30626</v>
      </c>
      <c r="N1060" s="5">
        <f>IF($L1060&gt;0,UnilabUsage[[#This Row],[Free-of-Max]]/UnilabUsage[[#This Row],[Usage-Delta-MB]],UnilabUsage[[#This Row],[Free-of-Max]])</f>
        <v>30626</v>
      </c>
    </row>
    <row r="1061" spans="1:14" x14ac:dyDescent="0.25">
      <c r="A1061" s="3">
        <v>45299</v>
      </c>
      <c r="B1061" s="15" t="s">
        <v>9</v>
      </c>
      <c r="C1061" s="16">
        <v>6</v>
      </c>
      <c r="D1061" s="16">
        <v>10440</v>
      </c>
      <c r="E1061" s="16">
        <v>9831</v>
      </c>
      <c r="F1061" s="16">
        <v>609</v>
      </c>
      <c r="G1061" s="16">
        <v>94</v>
      </c>
      <c r="H1061" s="16">
        <v>32768</v>
      </c>
      <c r="I1061" s="16">
        <v>2</v>
      </c>
      <c r="J1061" s="15" t="s">
        <v>1</v>
      </c>
      <c r="K1061" s="15" t="s">
        <v>10</v>
      </c>
      <c r="L1061" s="8">
        <f>UnilabUsage[[#This Row],[Used-MB]]-F1051</f>
        <v>248</v>
      </c>
      <c r="M1061">
        <f>UnilabUsage[[#This Row],[Max]]-UnilabUsage[[#This Row],[Used-MB]]</f>
        <v>32159</v>
      </c>
      <c r="N1061" s="5">
        <f>IF($L1061&gt;0,UnilabUsage[[#This Row],[Free-of-Max]]/UnilabUsage[[#This Row],[Usage-Delta-MB]],UnilabUsage[[#This Row],[Free-of-Max]])</f>
        <v>129.67338709677421</v>
      </c>
    </row>
    <row r="1062" spans="1:14" x14ac:dyDescent="0.25">
      <c r="A1062" s="3">
        <v>45306</v>
      </c>
      <c r="B1062" s="15" t="s">
        <v>7</v>
      </c>
      <c r="C1062" s="16">
        <v>95</v>
      </c>
      <c r="D1062" s="16">
        <v>2440</v>
      </c>
      <c r="E1062" s="16">
        <v>110</v>
      </c>
      <c r="F1062" s="16">
        <v>2330</v>
      </c>
      <c r="G1062" s="16">
        <v>5</v>
      </c>
      <c r="H1062" s="16">
        <v>32768</v>
      </c>
      <c r="I1062" s="16">
        <v>7</v>
      </c>
      <c r="J1062" s="15" t="s">
        <v>1</v>
      </c>
      <c r="K1062" s="15" t="s">
        <v>2</v>
      </c>
      <c r="L1062" s="8">
        <f>UnilabUsage[[#This Row],[Used-MB]]-F1052</f>
        <v>8</v>
      </c>
      <c r="M1062">
        <f>UnilabUsage[[#This Row],[Max]]-UnilabUsage[[#This Row],[Used-MB]]</f>
        <v>30438</v>
      </c>
      <c r="N1062" s="5">
        <f>IF($L1062&gt;0,UnilabUsage[[#This Row],[Free-of-Max]]/UnilabUsage[[#This Row],[Usage-Delta-MB]],UnilabUsage[[#This Row],[Free-of-Max]])</f>
        <v>3804.75</v>
      </c>
    </row>
    <row r="1063" spans="1:14" x14ac:dyDescent="0.25">
      <c r="A1063" s="3">
        <v>45306</v>
      </c>
      <c r="B1063" s="15" t="s">
        <v>0</v>
      </c>
      <c r="C1063" s="16">
        <v>100</v>
      </c>
      <c r="D1063" s="16">
        <v>23750</v>
      </c>
      <c r="E1063" s="16">
        <v>55</v>
      </c>
      <c r="F1063" s="16">
        <v>23695</v>
      </c>
      <c r="G1063" s="16">
        <v>0</v>
      </c>
      <c r="H1063" s="16">
        <v>32768</v>
      </c>
      <c r="I1063" s="16">
        <v>72</v>
      </c>
      <c r="J1063" s="15" t="s">
        <v>1</v>
      </c>
      <c r="K1063" s="15" t="s">
        <v>2</v>
      </c>
      <c r="L1063" s="8">
        <f>UnilabUsage[[#This Row],[Used-MB]]-F1053</f>
        <v>64</v>
      </c>
      <c r="M1063">
        <f>UnilabUsage[[#This Row],[Max]]-UnilabUsage[[#This Row],[Used-MB]]</f>
        <v>9073</v>
      </c>
      <c r="N1063" s="5">
        <f>IF($L1063&gt;0,UnilabUsage[[#This Row],[Free-of-Max]]/UnilabUsage[[#This Row],[Usage-Delta-MB]],UnilabUsage[[#This Row],[Free-of-Max]])</f>
        <v>141.765625</v>
      </c>
    </row>
    <row r="1064" spans="1:14" x14ac:dyDescent="0.25">
      <c r="A1064" s="3">
        <v>45306</v>
      </c>
      <c r="B1064" s="15" t="s">
        <v>11</v>
      </c>
      <c r="C1064" s="16">
        <v>1</v>
      </c>
      <c r="D1064" s="16">
        <v>100</v>
      </c>
      <c r="E1064" s="16">
        <v>99</v>
      </c>
      <c r="F1064" s="16">
        <v>1</v>
      </c>
      <c r="G1064" s="16">
        <v>99</v>
      </c>
      <c r="H1064" s="16">
        <v>32768</v>
      </c>
      <c r="I1064" s="16">
        <v>0</v>
      </c>
      <c r="J1064" s="15" t="s">
        <v>1</v>
      </c>
      <c r="K1064" s="15" t="s">
        <v>2</v>
      </c>
      <c r="L1064" s="8">
        <f>UnilabUsage[[#This Row],[Used-MB]]-F1054</f>
        <v>0</v>
      </c>
      <c r="M1064">
        <f>UnilabUsage[[#This Row],[Max]]-UnilabUsage[[#This Row],[Used-MB]]</f>
        <v>32767</v>
      </c>
      <c r="N1064" s="5">
        <f>IF($L1064&gt;0,UnilabUsage[[#This Row],[Free-of-Max]]/UnilabUsage[[#This Row],[Usage-Delta-MB]],UnilabUsage[[#This Row],[Free-of-Max]])</f>
        <v>32767</v>
      </c>
    </row>
    <row r="1065" spans="1:14" x14ac:dyDescent="0.25">
      <c r="A1065" s="3">
        <v>45306</v>
      </c>
      <c r="B1065" s="15" t="s">
        <v>6</v>
      </c>
      <c r="C1065" s="16">
        <v>95</v>
      </c>
      <c r="D1065" s="16">
        <v>7735</v>
      </c>
      <c r="E1065" s="16">
        <v>370</v>
      </c>
      <c r="F1065" s="16">
        <v>7365</v>
      </c>
      <c r="G1065" s="16">
        <v>5</v>
      </c>
      <c r="H1065" s="16">
        <v>32768</v>
      </c>
      <c r="I1065" s="16">
        <v>22</v>
      </c>
      <c r="J1065" s="15" t="s">
        <v>1</v>
      </c>
      <c r="K1065" s="15" t="s">
        <v>2</v>
      </c>
      <c r="L1065" s="8">
        <f>UnilabUsage[[#This Row],[Used-MB]]-F1055</f>
        <v>1</v>
      </c>
      <c r="M1065">
        <f>UnilabUsage[[#This Row],[Max]]-UnilabUsage[[#This Row],[Used-MB]]</f>
        <v>25403</v>
      </c>
      <c r="N1065" s="5">
        <f>IF($L1065&gt;0,UnilabUsage[[#This Row],[Free-of-Max]]/UnilabUsage[[#This Row],[Usage-Delta-MB]],UnilabUsage[[#This Row],[Free-of-Max]])</f>
        <v>25403</v>
      </c>
    </row>
    <row r="1066" spans="1:14" x14ac:dyDescent="0.25">
      <c r="A1066" s="3">
        <v>45306</v>
      </c>
      <c r="B1066" s="15" t="s">
        <v>3</v>
      </c>
      <c r="C1066" s="16">
        <v>92</v>
      </c>
      <c r="D1066" s="16">
        <v>491518</v>
      </c>
      <c r="E1066" s="16">
        <v>39705</v>
      </c>
      <c r="F1066" s="16">
        <v>451813</v>
      </c>
      <c r="G1066" s="16">
        <v>8</v>
      </c>
      <c r="H1066" s="16">
        <v>491520</v>
      </c>
      <c r="I1066" s="16">
        <v>92</v>
      </c>
      <c r="J1066" s="15" t="s">
        <v>1</v>
      </c>
      <c r="K1066" s="15" t="s">
        <v>2</v>
      </c>
      <c r="L1066" s="8">
        <f>UnilabUsage[[#This Row],[Used-MB]]-F1056</f>
        <v>706</v>
      </c>
      <c r="M1066">
        <f>UnilabUsage[[#This Row],[Max]]-UnilabUsage[[#This Row],[Used-MB]]</f>
        <v>39707</v>
      </c>
      <c r="N1066" s="5">
        <f>IF($L1066&gt;0,UnilabUsage[[#This Row],[Free-of-Max]]/UnilabUsage[[#This Row],[Usage-Delta-MB]],UnilabUsage[[#This Row],[Free-of-Max]])</f>
        <v>56.242209631728045</v>
      </c>
    </row>
    <row r="1067" spans="1:14" x14ac:dyDescent="0.25">
      <c r="A1067" s="3">
        <v>45306</v>
      </c>
      <c r="B1067" s="15" t="s">
        <v>5</v>
      </c>
      <c r="C1067" s="16">
        <v>95</v>
      </c>
      <c r="D1067" s="16">
        <v>24100</v>
      </c>
      <c r="E1067" s="16">
        <v>1104</v>
      </c>
      <c r="F1067" s="16">
        <v>22996</v>
      </c>
      <c r="G1067" s="16">
        <v>5</v>
      </c>
      <c r="H1067" s="16">
        <v>32768</v>
      </c>
      <c r="I1067" s="16">
        <v>70</v>
      </c>
      <c r="J1067" s="15" t="s">
        <v>1</v>
      </c>
      <c r="K1067" s="15" t="s">
        <v>2</v>
      </c>
      <c r="L1067" s="8">
        <f>UnilabUsage[[#This Row],[Used-MB]]-F1057</f>
        <v>18</v>
      </c>
      <c r="M1067">
        <f>UnilabUsage[[#This Row],[Max]]-UnilabUsage[[#This Row],[Used-MB]]</f>
        <v>9772</v>
      </c>
      <c r="N1067" s="5">
        <f>IF($L1067&gt;0,UnilabUsage[[#This Row],[Free-of-Max]]/UnilabUsage[[#This Row],[Usage-Delta-MB]],UnilabUsage[[#This Row],[Free-of-Max]])</f>
        <v>542.88888888888891</v>
      </c>
    </row>
    <row r="1068" spans="1:14" x14ac:dyDescent="0.25">
      <c r="A1068" s="3">
        <v>45306</v>
      </c>
      <c r="B1068" s="15" t="s">
        <v>8</v>
      </c>
      <c r="C1068" s="16">
        <v>91</v>
      </c>
      <c r="D1068" s="16">
        <v>327680</v>
      </c>
      <c r="E1068" s="16">
        <v>30559</v>
      </c>
      <c r="F1068" s="16">
        <v>297121</v>
      </c>
      <c r="G1068" s="16">
        <v>9</v>
      </c>
      <c r="H1068" s="16">
        <v>327680</v>
      </c>
      <c r="I1068" s="16">
        <v>91</v>
      </c>
      <c r="J1068" s="15" t="s">
        <v>1</v>
      </c>
      <c r="K1068" s="15" t="s">
        <v>2</v>
      </c>
      <c r="L1068" s="8">
        <f>UnilabUsage[[#This Row],[Used-MB]]-F1058</f>
        <v>345</v>
      </c>
      <c r="M1068">
        <f>UnilabUsage[[#This Row],[Max]]-UnilabUsage[[#This Row],[Used-MB]]</f>
        <v>30559</v>
      </c>
      <c r="N1068" s="5">
        <f>IF($L1068&gt;0,UnilabUsage[[#This Row],[Free-of-Max]]/UnilabUsage[[#This Row],[Usage-Delta-MB]],UnilabUsage[[#This Row],[Free-of-Max]])</f>
        <v>88.576811594202894</v>
      </c>
    </row>
    <row r="1069" spans="1:14" x14ac:dyDescent="0.25">
      <c r="A1069" s="3">
        <v>45306</v>
      </c>
      <c r="B1069" s="15" t="s">
        <v>4</v>
      </c>
      <c r="C1069" s="16">
        <v>95</v>
      </c>
      <c r="D1069" s="16">
        <v>99260</v>
      </c>
      <c r="E1069" s="16">
        <v>4868</v>
      </c>
      <c r="F1069" s="16">
        <v>94392</v>
      </c>
      <c r="G1069" s="16">
        <v>5</v>
      </c>
      <c r="H1069" s="16">
        <v>131072</v>
      </c>
      <c r="I1069" s="16">
        <v>72</v>
      </c>
      <c r="J1069" s="15" t="s">
        <v>1</v>
      </c>
      <c r="K1069" s="15" t="s">
        <v>2</v>
      </c>
      <c r="L1069" s="8">
        <f>UnilabUsage[[#This Row],[Used-MB]]-F1059</f>
        <v>64</v>
      </c>
      <c r="M1069">
        <f>UnilabUsage[[#This Row],[Max]]-UnilabUsage[[#This Row],[Used-MB]]</f>
        <v>36680</v>
      </c>
      <c r="N1069" s="5">
        <f>IF($L1069&gt;0,UnilabUsage[[#This Row],[Free-of-Max]]/UnilabUsage[[#This Row],[Usage-Delta-MB]],UnilabUsage[[#This Row],[Free-of-Max]])</f>
        <v>573.125</v>
      </c>
    </row>
    <row r="1070" spans="1:14" x14ac:dyDescent="0.25">
      <c r="A1070" s="3">
        <v>45306</v>
      </c>
      <c r="B1070" s="15" t="s">
        <v>12</v>
      </c>
      <c r="C1070" s="16">
        <v>0</v>
      </c>
      <c r="D1070" s="16">
        <v>30720</v>
      </c>
      <c r="E1070" s="16">
        <v>30663</v>
      </c>
      <c r="F1070" s="16">
        <v>57</v>
      </c>
      <c r="G1070" s="16">
        <v>100</v>
      </c>
      <c r="H1070" s="16">
        <v>30720</v>
      </c>
      <c r="I1070" s="16">
        <v>0</v>
      </c>
      <c r="J1070" s="15" t="s">
        <v>1</v>
      </c>
      <c r="K1070" s="15" t="s">
        <v>13</v>
      </c>
      <c r="L1070" s="8">
        <f>UnilabUsage[[#This Row],[Used-MB]]-F1060</f>
        <v>-37</v>
      </c>
      <c r="M1070">
        <f>UnilabUsage[[#This Row],[Max]]-UnilabUsage[[#This Row],[Used-MB]]</f>
        <v>30663</v>
      </c>
      <c r="N1070" s="5">
        <f>IF($L1070&gt;0,UnilabUsage[[#This Row],[Free-of-Max]]/UnilabUsage[[#This Row],[Usage-Delta-MB]],UnilabUsage[[#This Row],[Free-of-Max]])</f>
        <v>30663</v>
      </c>
    </row>
    <row r="1071" spans="1:14" x14ac:dyDescent="0.25">
      <c r="A1071" s="3">
        <v>45306</v>
      </c>
      <c r="B1071" s="15" t="s">
        <v>9</v>
      </c>
      <c r="C1071" s="16">
        <v>4</v>
      </c>
      <c r="D1071" s="16">
        <v>10440</v>
      </c>
      <c r="E1071" s="16">
        <v>10062</v>
      </c>
      <c r="F1071" s="16">
        <v>378</v>
      </c>
      <c r="G1071" s="16">
        <v>96</v>
      </c>
      <c r="H1071" s="16">
        <v>32768</v>
      </c>
      <c r="I1071" s="16">
        <v>1</v>
      </c>
      <c r="J1071" s="15" t="s">
        <v>1</v>
      </c>
      <c r="K1071" s="15" t="s">
        <v>10</v>
      </c>
      <c r="L1071" s="8">
        <f>UnilabUsage[[#This Row],[Used-MB]]-F1061</f>
        <v>-231</v>
      </c>
      <c r="M1071">
        <f>UnilabUsage[[#This Row],[Max]]-UnilabUsage[[#This Row],[Used-MB]]</f>
        <v>32390</v>
      </c>
      <c r="N1071" s="5">
        <f>IF($L1071&gt;0,UnilabUsage[[#This Row],[Free-of-Max]]/UnilabUsage[[#This Row],[Usage-Delta-MB]],UnilabUsage[[#This Row],[Free-of-Max]])</f>
        <v>32390</v>
      </c>
    </row>
    <row r="1072" spans="1:14" x14ac:dyDescent="0.25">
      <c r="A1072" s="3">
        <v>45320</v>
      </c>
      <c r="B1072" s="15" t="s">
        <v>7</v>
      </c>
      <c r="C1072" s="16">
        <v>96</v>
      </c>
      <c r="D1072" s="16">
        <v>2440</v>
      </c>
      <c r="E1072" s="16">
        <v>109</v>
      </c>
      <c r="F1072" s="16">
        <v>2331</v>
      </c>
      <c r="G1072" s="16">
        <v>4</v>
      </c>
      <c r="H1072" s="16">
        <v>32768</v>
      </c>
      <c r="I1072" s="16">
        <v>7</v>
      </c>
      <c r="J1072" s="15" t="s">
        <v>1</v>
      </c>
      <c r="K1072" s="15" t="s">
        <v>2</v>
      </c>
      <c r="L1072" s="8">
        <f>UnilabUsage[[#This Row],[Used-MB]]-F1062</f>
        <v>1</v>
      </c>
      <c r="M1072">
        <f>UnilabUsage[[#This Row],[Max]]-UnilabUsage[[#This Row],[Used-MB]]</f>
        <v>30437</v>
      </c>
      <c r="N1072" s="5">
        <f>IF($L1072&gt;0,UnilabUsage[[#This Row],[Free-of-Max]]/UnilabUsage[[#This Row],[Usage-Delta-MB]],UnilabUsage[[#This Row],[Free-of-Max]])</f>
        <v>30437</v>
      </c>
    </row>
    <row r="1073" spans="1:14" x14ac:dyDescent="0.25">
      <c r="A1073" s="3">
        <v>45320</v>
      </c>
      <c r="B1073" s="15" t="s">
        <v>0</v>
      </c>
      <c r="C1073" s="16">
        <v>100</v>
      </c>
      <c r="D1073" s="16">
        <v>23850</v>
      </c>
      <c r="E1073" s="16">
        <v>91</v>
      </c>
      <c r="F1073" s="16">
        <v>23759</v>
      </c>
      <c r="G1073" s="16">
        <v>0</v>
      </c>
      <c r="H1073" s="16">
        <v>32768</v>
      </c>
      <c r="I1073" s="16">
        <v>73</v>
      </c>
      <c r="J1073" s="15" t="s">
        <v>1</v>
      </c>
      <c r="K1073" s="15" t="s">
        <v>2</v>
      </c>
      <c r="L1073" s="8">
        <f>UnilabUsage[[#This Row],[Used-MB]]-F1063</f>
        <v>64</v>
      </c>
      <c r="M1073">
        <f>UnilabUsage[[#This Row],[Max]]-UnilabUsage[[#This Row],[Used-MB]]</f>
        <v>9009</v>
      </c>
      <c r="N1073" s="5">
        <f>IF($L1073&gt;0,UnilabUsage[[#This Row],[Free-of-Max]]/UnilabUsage[[#This Row],[Usage-Delta-MB]],UnilabUsage[[#This Row],[Free-of-Max]])</f>
        <v>140.765625</v>
      </c>
    </row>
    <row r="1074" spans="1:14" x14ac:dyDescent="0.25">
      <c r="A1074" s="3">
        <v>45320</v>
      </c>
      <c r="B1074" s="15" t="s">
        <v>11</v>
      </c>
      <c r="C1074" s="16">
        <v>1</v>
      </c>
      <c r="D1074" s="16">
        <v>100</v>
      </c>
      <c r="E1074" s="16">
        <v>99</v>
      </c>
      <c r="F1074" s="16">
        <v>1</v>
      </c>
      <c r="G1074" s="16">
        <v>99</v>
      </c>
      <c r="H1074" s="16">
        <v>32768</v>
      </c>
      <c r="I1074" s="16">
        <v>0</v>
      </c>
      <c r="J1074" s="15" t="s">
        <v>1</v>
      </c>
      <c r="K1074" s="15" t="s">
        <v>2</v>
      </c>
      <c r="L1074" s="8">
        <f>UnilabUsage[[#This Row],[Used-MB]]-F1064</f>
        <v>0</v>
      </c>
      <c r="M1074">
        <f>UnilabUsage[[#This Row],[Max]]-UnilabUsage[[#This Row],[Used-MB]]</f>
        <v>32767</v>
      </c>
      <c r="N1074" s="5">
        <f>IF($L1074&gt;0,UnilabUsage[[#This Row],[Free-of-Max]]/UnilabUsage[[#This Row],[Usage-Delta-MB]],UnilabUsage[[#This Row],[Free-of-Max]])</f>
        <v>32767</v>
      </c>
    </row>
    <row r="1075" spans="1:14" x14ac:dyDescent="0.25">
      <c r="A1075" s="3">
        <v>45320</v>
      </c>
      <c r="B1075" s="15" t="s">
        <v>6</v>
      </c>
      <c r="C1075" s="16">
        <v>95</v>
      </c>
      <c r="D1075" s="16">
        <v>7745</v>
      </c>
      <c r="E1075" s="16">
        <v>377</v>
      </c>
      <c r="F1075" s="16">
        <v>7368</v>
      </c>
      <c r="G1075" s="16">
        <v>5</v>
      </c>
      <c r="H1075" s="16">
        <v>32768</v>
      </c>
      <c r="I1075" s="16">
        <v>22</v>
      </c>
      <c r="J1075" s="15" t="s">
        <v>1</v>
      </c>
      <c r="K1075" s="15" t="s">
        <v>2</v>
      </c>
      <c r="L1075" s="8">
        <f>UnilabUsage[[#This Row],[Used-MB]]-F1065</f>
        <v>3</v>
      </c>
      <c r="M1075">
        <f>UnilabUsage[[#This Row],[Max]]-UnilabUsage[[#This Row],[Used-MB]]</f>
        <v>25400</v>
      </c>
      <c r="N1075" s="5">
        <f>IF($L1075&gt;0,UnilabUsage[[#This Row],[Free-of-Max]]/UnilabUsage[[#This Row],[Usage-Delta-MB]],UnilabUsage[[#This Row],[Free-of-Max]])</f>
        <v>8466.6666666666661</v>
      </c>
    </row>
    <row r="1076" spans="1:14" x14ac:dyDescent="0.25">
      <c r="A1076" s="3">
        <v>45320</v>
      </c>
      <c r="B1076" s="15" t="s">
        <v>3</v>
      </c>
      <c r="C1076" s="16">
        <v>92</v>
      </c>
      <c r="D1076" s="16">
        <v>491518</v>
      </c>
      <c r="E1076" s="16">
        <v>38741</v>
      </c>
      <c r="F1076" s="16">
        <v>452777</v>
      </c>
      <c r="G1076" s="16">
        <v>8</v>
      </c>
      <c r="H1076" s="16">
        <v>491520</v>
      </c>
      <c r="I1076" s="16">
        <v>92</v>
      </c>
      <c r="J1076" s="15" t="s">
        <v>1</v>
      </c>
      <c r="K1076" s="15" t="s">
        <v>2</v>
      </c>
      <c r="L1076" s="8">
        <f>UnilabUsage[[#This Row],[Used-MB]]-F1066</f>
        <v>964</v>
      </c>
      <c r="M1076">
        <f>UnilabUsage[[#This Row],[Max]]-UnilabUsage[[#This Row],[Used-MB]]</f>
        <v>38743</v>
      </c>
      <c r="N1076" s="5">
        <f>IF($L1076&gt;0,UnilabUsage[[#This Row],[Free-of-Max]]/UnilabUsage[[#This Row],[Usage-Delta-MB]],UnilabUsage[[#This Row],[Free-of-Max]])</f>
        <v>40.189834024896264</v>
      </c>
    </row>
    <row r="1077" spans="1:14" x14ac:dyDescent="0.25">
      <c r="A1077" s="3">
        <v>45320</v>
      </c>
      <c r="B1077" s="15" t="s">
        <v>5</v>
      </c>
      <c r="C1077" s="16">
        <v>95</v>
      </c>
      <c r="D1077" s="16">
        <v>24300</v>
      </c>
      <c r="E1077" s="16">
        <v>1220</v>
      </c>
      <c r="F1077" s="16">
        <v>23080</v>
      </c>
      <c r="G1077" s="16">
        <v>5</v>
      </c>
      <c r="H1077" s="16">
        <v>32768</v>
      </c>
      <c r="I1077" s="16">
        <v>70</v>
      </c>
      <c r="J1077" s="15" t="s">
        <v>1</v>
      </c>
      <c r="K1077" s="15" t="s">
        <v>2</v>
      </c>
      <c r="L1077" s="8">
        <f>UnilabUsage[[#This Row],[Used-MB]]-F1067</f>
        <v>84</v>
      </c>
      <c r="M1077">
        <f>UnilabUsage[[#This Row],[Max]]-UnilabUsage[[#This Row],[Used-MB]]</f>
        <v>9688</v>
      </c>
      <c r="N1077" s="5">
        <f>IF($L1077&gt;0,UnilabUsage[[#This Row],[Free-of-Max]]/UnilabUsage[[#This Row],[Usage-Delta-MB]],UnilabUsage[[#This Row],[Free-of-Max]])</f>
        <v>115.33333333333333</v>
      </c>
    </row>
    <row r="1078" spans="1:14" x14ac:dyDescent="0.25">
      <c r="A1078" s="3">
        <v>45320</v>
      </c>
      <c r="B1078" s="15" t="s">
        <v>8</v>
      </c>
      <c r="C1078" s="16">
        <v>91</v>
      </c>
      <c r="D1078" s="16">
        <v>327680</v>
      </c>
      <c r="E1078" s="16">
        <v>29442</v>
      </c>
      <c r="F1078" s="16">
        <v>298238</v>
      </c>
      <c r="G1078" s="16">
        <v>9</v>
      </c>
      <c r="H1078" s="16">
        <v>327680</v>
      </c>
      <c r="I1078" s="16">
        <v>91</v>
      </c>
      <c r="J1078" s="15" t="s">
        <v>1</v>
      </c>
      <c r="K1078" s="15" t="s">
        <v>2</v>
      </c>
      <c r="L1078" s="8">
        <f>UnilabUsage[[#This Row],[Used-MB]]-F1068</f>
        <v>1117</v>
      </c>
      <c r="M1078">
        <f>UnilabUsage[[#This Row],[Max]]-UnilabUsage[[#This Row],[Used-MB]]</f>
        <v>29442</v>
      </c>
      <c r="N1078" s="5">
        <f>IF($L1078&gt;0,UnilabUsage[[#This Row],[Free-of-Max]]/UnilabUsage[[#This Row],[Usage-Delta-MB]],UnilabUsage[[#This Row],[Free-of-Max]])</f>
        <v>26.358102059086839</v>
      </c>
    </row>
    <row r="1079" spans="1:14" x14ac:dyDescent="0.25">
      <c r="A1079" s="3">
        <v>45320</v>
      </c>
      <c r="B1079" s="15" t="s">
        <v>4</v>
      </c>
      <c r="C1079" s="16">
        <v>95</v>
      </c>
      <c r="D1079" s="16">
        <v>99260</v>
      </c>
      <c r="E1079" s="16">
        <v>4676</v>
      </c>
      <c r="F1079" s="16">
        <v>94584</v>
      </c>
      <c r="G1079" s="16">
        <v>5</v>
      </c>
      <c r="H1079" s="16">
        <v>131072</v>
      </c>
      <c r="I1079" s="16">
        <v>72</v>
      </c>
      <c r="J1079" s="15" t="s">
        <v>1</v>
      </c>
      <c r="K1079" s="15" t="s">
        <v>2</v>
      </c>
      <c r="L1079" s="8">
        <f>UnilabUsage[[#This Row],[Used-MB]]-F1069</f>
        <v>192</v>
      </c>
      <c r="M1079">
        <f>UnilabUsage[[#This Row],[Max]]-UnilabUsage[[#This Row],[Used-MB]]</f>
        <v>36488</v>
      </c>
      <c r="N1079" s="5">
        <f>IF($L1079&gt;0,UnilabUsage[[#This Row],[Free-of-Max]]/UnilabUsage[[#This Row],[Usage-Delta-MB]],UnilabUsage[[#This Row],[Free-of-Max]])</f>
        <v>190.04166666666666</v>
      </c>
    </row>
    <row r="1080" spans="1:14" x14ac:dyDescent="0.25">
      <c r="A1080" s="3">
        <v>45320</v>
      </c>
      <c r="B1080" s="15" t="s">
        <v>12</v>
      </c>
      <c r="C1080" s="16">
        <v>0</v>
      </c>
      <c r="D1080" s="16">
        <v>30720</v>
      </c>
      <c r="E1080" s="16">
        <v>30647</v>
      </c>
      <c r="F1080" s="16">
        <v>73</v>
      </c>
      <c r="G1080" s="16">
        <v>100</v>
      </c>
      <c r="H1080" s="16">
        <v>30720</v>
      </c>
      <c r="I1080" s="16">
        <v>0</v>
      </c>
      <c r="J1080" s="15" t="s">
        <v>1</v>
      </c>
      <c r="K1080" s="15" t="s">
        <v>13</v>
      </c>
      <c r="L1080" s="8">
        <f>UnilabUsage[[#This Row],[Used-MB]]-F1070</f>
        <v>16</v>
      </c>
      <c r="M1080">
        <f>UnilabUsage[[#This Row],[Max]]-UnilabUsage[[#This Row],[Used-MB]]</f>
        <v>30647</v>
      </c>
      <c r="N1080" s="5">
        <f>IF($L1080&gt;0,UnilabUsage[[#This Row],[Free-of-Max]]/UnilabUsage[[#This Row],[Usage-Delta-MB]],UnilabUsage[[#This Row],[Free-of-Max]])</f>
        <v>1915.4375</v>
      </c>
    </row>
    <row r="1081" spans="1:14" x14ac:dyDescent="0.25">
      <c r="A1081" s="3">
        <v>45320</v>
      </c>
      <c r="B1081" s="15" t="s">
        <v>9</v>
      </c>
      <c r="C1081" s="16">
        <v>3</v>
      </c>
      <c r="D1081" s="16">
        <v>10440</v>
      </c>
      <c r="E1081" s="16">
        <v>10096</v>
      </c>
      <c r="F1081" s="16">
        <v>344</v>
      </c>
      <c r="G1081" s="16">
        <v>97</v>
      </c>
      <c r="H1081" s="16">
        <v>32768</v>
      </c>
      <c r="I1081" s="16">
        <v>1</v>
      </c>
      <c r="J1081" s="15" t="s">
        <v>1</v>
      </c>
      <c r="K1081" s="15" t="s">
        <v>10</v>
      </c>
      <c r="L1081" s="8">
        <f>UnilabUsage[[#This Row],[Used-MB]]-F1071</f>
        <v>-34</v>
      </c>
      <c r="M1081">
        <f>UnilabUsage[[#This Row],[Max]]-UnilabUsage[[#This Row],[Used-MB]]</f>
        <v>32424</v>
      </c>
      <c r="N1081" s="5">
        <f>IF($L1081&gt;0,UnilabUsage[[#This Row],[Free-of-Max]]/UnilabUsage[[#This Row],[Usage-Delta-MB]],UnilabUsage[[#This Row],[Free-of-Max]])</f>
        <v>32424</v>
      </c>
    </row>
    <row r="1082" spans="1:14" x14ac:dyDescent="0.25">
      <c r="A1082" s="3">
        <v>45327</v>
      </c>
      <c r="B1082" s="15" t="s">
        <v>7</v>
      </c>
      <c r="C1082" s="16">
        <v>95</v>
      </c>
      <c r="D1082" s="16">
        <v>2460</v>
      </c>
      <c r="E1082" s="16">
        <v>120</v>
      </c>
      <c r="F1082" s="16">
        <v>2340</v>
      </c>
      <c r="G1082" s="16">
        <v>5</v>
      </c>
      <c r="H1082" s="16">
        <v>32768</v>
      </c>
      <c r="I1082" s="16">
        <v>7</v>
      </c>
      <c r="J1082" s="15" t="s">
        <v>1</v>
      </c>
      <c r="K1082" s="15" t="s">
        <v>2</v>
      </c>
      <c r="L1082" s="8">
        <f>UnilabUsage[[#This Row],[Used-MB]]-F1072</f>
        <v>9</v>
      </c>
      <c r="M1082">
        <f>UnilabUsage[[#This Row],[Max]]-UnilabUsage[[#This Row],[Used-MB]]</f>
        <v>30428</v>
      </c>
      <c r="N1082" s="5">
        <f>IF($L1082&gt;0,UnilabUsage[[#This Row],[Free-of-Max]]/UnilabUsage[[#This Row],[Usage-Delta-MB]],UnilabUsage[[#This Row],[Free-of-Max]])</f>
        <v>3380.8888888888887</v>
      </c>
    </row>
    <row r="1083" spans="1:14" x14ac:dyDescent="0.25">
      <c r="A1083" s="3">
        <v>45327</v>
      </c>
      <c r="B1083" s="15" t="s">
        <v>0</v>
      </c>
      <c r="C1083" s="16">
        <v>100</v>
      </c>
      <c r="D1083" s="16">
        <v>23950</v>
      </c>
      <c r="E1083" s="16">
        <v>75</v>
      </c>
      <c r="F1083" s="16">
        <v>23875</v>
      </c>
      <c r="G1083" s="16">
        <v>0</v>
      </c>
      <c r="H1083" s="16">
        <v>32768</v>
      </c>
      <c r="I1083" s="16">
        <v>73</v>
      </c>
      <c r="J1083" s="15" t="s">
        <v>1</v>
      </c>
      <c r="K1083" s="15" t="s">
        <v>2</v>
      </c>
      <c r="L1083" s="8">
        <f>UnilabUsage[[#This Row],[Used-MB]]-F1073</f>
        <v>116</v>
      </c>
      <c r="M1083">
        <f>UnilabUsage[[#This Row],[Max]]-UnilabUsage[[#This Row],[Used-MB]]</f>
        <v>8893</v>
      </c>
      <c r="N1083" s="5">
        <f>IF($L1083&gt;0,UnilabUsage[[#This Row],[Free-of-Max]]/UnilabUsage[[#This Row],[Usage-Delta-MB]],UnilabUsage[[#This Row],[Free-of-Max]])</f>
        <v>76.66379310344827</v>
      </c>
    </row>
    <row r="1084" spans="1:14" x14ac:dyDescent="0.25">
      <c r="A1084" s="3">
        <v>45327</v>
      </c>
      <c r="B1084" s="15" t="s">
        <v>11</v>
      </c>
      <c r="C1084" s="16">
        <v>1</v>
      </c>
      <c r="D1084" s="16">
        <v>100</v>
      </c>
      <c r="E1084" s="16">
        <v>99</v>
      </c>
      <c r="F1084" s="16">
        <v>1</v>
      </c>
      <c r="G1084" s="16">
        <v>99</v>
      </c>
      <c r="H1084" s="16">
        <v>32768</v>
      </c>
      <c r="I1084" s="16">
        <v>0</v>
      </c>
      <c r="J1084" s="15" t="s">
        <v>1</v>
      </c>
      <c r="K1084" s="15" t="s">
        <v>2</v>
      </c>
      <c r="L1084" s="8">
        <f>UnilabUsage[[#This Row],[Used-MB]]-F1074</f>
        <v>0</v>
      </c>
      <c r="M1084">
        <f>UnilabUsage[[#This Row],[Max]]-UnilabUsage[[#This Row],[Used-MB]]</f>
        <v>32767</v>
      </c>
      <c r="N1084" s="5">
        <f>IF($L1084&gt;0,UnilabUsage[[#This Row],[Free-of-Max]]/UnilabUsage[[#This Row],[Usage-Delta-MB]],UnilabUsage[[#This Row],[Free-of-Max]])</f>
        <v>32767</v>
      </c>
    </row>
    <row r="1085" spans="1:14" x14ac:dyDescent="0.25">
      <c r="A1085" s="3">
        <v>45327</v>
      </c>
      <c r="B1085" s="15" t="s">
        <v>6</v>
      </c>
      <c r="C1085" s="16">
        <v>95</v>
      </c>
      <c r="D1085" s="16">
        <v>7755</v>
      </c>
      <c r="E1085" s="16">
        <v>378</v>
      </c>
      <c r="F1085" s="16">
        <v>7377</v>
      </c>
      <c r="G1085" s="16">
        <v>5</v>
      </c>
      <c r="H1085" s="16">
        <v>32768</v>
      </c>
      <c r="I1085" s="16">
        <v>23</v>
      </c>
      <c r="J1085" s="15" t="s">
        <v>1</v>
      </c>
      <c r="K1085" s="15" t="s">
        <v>2</v>
      </c>
      <c r="L1085" s="8">
        <f>UnilabUsage[[#This Row],[Used-MB]]-F1075</f>
        <v>9</v>
      </c>
      <c r="M1085">
        <f>UnilabUsage[[#This Row],[Max]]-UnilabUsage[[#This Row],[Used-MB]]</f>
        <v>25391</v>
      </c>
      <c r="N1085" s="5">
        <f>IF($L1085&gt;0,UnilabUsage[[#This Row],[Free-of-Max]]/UnilabUsage[[#This Row],[Usage-Delta-MB]],UnilabUsage[[#This Row],[Free-of-Max]])</f>
        <v>2821.2222222222222</v>
      </c>
    </row>
    <row r="1086" spans="1:14" x14ac:dyDescent="0.25">
      <c r="A1086" s="3">
        <v>45327</v>
      </c>
      <c r="B1086" s="15" t="s">
        <v>3</v>
      </c>
      <c r="C1086" s="16">
        <v>92</v>
      </c>
      <c r="D1086" s="16">
        <v>491518</v>
      </c>
      <c r="E1086" s="16">
        <v>37964</v>
      </c>
      <c r="F1086" s="16">
        <v>453554</v>
      </c>
      <c r="G1086" s="16">
        <v>8</v>
      </c>
      <c r="H1086" s="16">
        <v>491520</v>
      </c>
      <c r="I1086" s="16">
        <v>92</v>
      </c>
      <c r="J1086" s="15" t="s">
        <v>1</v>
      </c>
      <c r="K1086" s="15" t="s">
        <v>2</v>
      </c>
      <c r="L1086" s="8">
        <f>UnilabUsage[[#This Row],[Used-MB]]-F1076</f>
        <v>777</v>
      </c>
      <c r="M1086">
        <f>UnilabUsage[[#This Row],[Max]]-UnilabUsage[[#This Row],[Used-MB]]</f>
        <v>37966</v>
      </c>
      <c r="N1086" s="5">
        <f>IF($L1086&gt;0,UnilabUsage[[#This Row],[Free-of-Max]]/UnilabUsage[[#This Row],[Usage-Delta-MB]],UnilabUsage[[#This Row],[Free-of-Max]])</f>
        <v>48.862290862290862</v>
      </c>
    </row>
    <row r="1087" spans="1:14" x14ac:dyDescent="0.25">
      <c r="A1087" s="3">
        <v>45327</v>
      </c>
      <c r="B1087" s="15" t="s">
        <v>5</v>
      </c>
      <c r="C1087" s="16">
        <v>95</v>
      </c>
      <c r="D1087" s="16">
        <v>24300</v>
      </c>
      <c r="E1087" s="16">
        <v>1145</v>
      </c>
      <c r="F1087" s="16">
        <v>23155</v>
      </c>
      <c r="G1087" s="16">
        <v>5</v>
      </c>
      <c r="H1087" s="16">
        <v>32768</v>
      </c>
      <c r="I1087" s="16">
        <v>71</v>
      </c>
      <c r="J1087" s="15" t="s">
        <v>1</v>
      </c>
      <c r="K1087" s="15" t="s">
        <v>2</v>
      </c>
      <c r="L1087" s="8">
        <f>UnilabUsage[[#This Row],[Used-MB]]-F1077</f>
        <v>75</v>
      </c>
      <c r="M1087">
        <f>UnilabUsage[[#This Row],[Max]]-UnilabUsage[[#This Row],[Used-MB]]</f>
        <v>9613</v>
      </c>
      <c r="N1087" s="5">
        <f>IF($L1087&gt;0,UnilabUsage[[#This Row],[Free-of-Max]]/UnilabUsage[[#This Row],[Usage-Delta-MB]],UnilabUsage[[#This Row],[Free-of-Max]])</f>
        <v>128.17333333333335</v>
      </c>
    </row>
    <row r="1088" spans="1:14" x14ac:dyDescent="0.25">
      <c r="A1088" s="3">
        <v>45327</v>
      </c>
      <c r="B1088" s="15" t="s">
        <v>8</v>
      </c>
      <c r="C1088" s="16">
        <v>91</v>
      </c>
      <c r="D1088" s="16">
        <v>327680</v>
      </c>
      <c r="E1088" s="16">
        <v>28811</v>
      </c>
      <c r="F1088" s="16">
        <v>298869</v>
      </c>
      <c r="G1088" s="16">
        <v>9</v>
      </c>
      <c r="H1088" s="16">
        <v>327680</v>
      </c>
      <c r="I1088" s="16">
        <v>91</v>
      </c>
      <c r="J1088" s="15" t="s">
        <v>1</v>
      </c>
      <c r="K1088" s="15" t="s">
        <v>2</v>
      </c>
      <c r="L1088" s="8">
        <f>UnilabUsage[[#This Row],[Used-MB]]-F1078</f>
        <v>631</v>
      </c>
      <c r="M1088">
        <f>UnilabUsage[[#This Row],[Max]]-UnilabUsage[[#This Row],[Used-MB]]</f>
        <v>28811</v>
      </c>
      <c r="N1088" s="5">
        <f>IF($L1088&gt;0,UnilabUsage[[#This Row],[Free-of-Max]]/UnilabUsage[[#This Row],[Usage-Delta-MB]],UnilabUsage[[#This Row],[Free-of-Max]])</f>
        <v>45.659270998415217</v>
      </c>
    </row>
    <row r="1089" spans="1:14" x14ac:dyDescent="0.25">
      <c r="A1089" s="3">
        <v>45327</v>
      </c>
      <c r="B1089" s="15" t="s">
        <v>4</v>
      </c>
      <c r="C1089" s="16">
        <v>95</v>
      </c>
      <c r="D1089" s="16">
        <v>99260</v>
      </c>
      <c r="E1089" s="16">
        <v>4484</v>
      </c>
      <c r="F1089" s="16">
        <v>94776</v>
      </c>
      <c r="G1089" s="16">
        <v>5</v>
      </c>
      <c r="H1089" s="16">
        <v>131072</v>
      </c>
      <c r="I1089" s="16">
        <v>72</v>
      </c>
      <c r="J1089" s="15" t="s">
        <v>1</v>
      </c>
      <c r="K1089" s="15" t="s">
        <v>2</v>
      </c>
      <c r="L1089" s="8">
        <f>UnilabUsage[[#This Row],[Used-MB]]-F1079</f>
        <v>192</v>
      </c>
      <c r="M1089">
        <f>UnilabUsage[[#This Row],[Max]]-UnilabUsage[[#This Row],[Used-MB]]</f>
        <v>36296</v>
      </c>
      <c r="N1089" s="5">
        <f>IF($L1089&gt;0,UnilabUsage[[#This Row],[Free-of-Max]]/UnilabUsage[[#This Row],[Usage-Delta-MB]],UnilabUsage[[#This Row],[Free-of-Max]])</f>
        <v>189.04166666666666</v>
      </c>
    </row>
    <row r="1090" spans="1:14" x14ac:dyDescent="0.25">
      <c r="A1090" s="3">
        <v>45327</v>
      </c>
      <c r="B1090" s="15" t="s">
        <v>12</v>
      </c>
      <c r="C1090" s="16">
        <v>0</v>
      </c>
      <c r="D1090" s="16">
        <v>30720</v>
      </c>
      <c r="E1090" s="16">
        <v>30634</v>
      </c>
      <c r="F1090" s="16">
        <v>86</v>
      </c>
      <c r="G1090" s="16">
        <v>100</v>
      </c>
      <c r="H1090" s="16">
        <v>30720</v>
      </c>
      <c r="I1090" s="16">
        <v>0</v>
      </c>
      <c r="J1090" s="15" t="s">
        <v>1</v>
      </c>
      <c r="K1090" s="15" t="s">
        <v>13</v>
      </c>
      <c r="L1090" s="8">
        <f>UnilabUsage[[#This Row],[Used-MB]]-F1080</f>
        <v>13</v>
      </c>
      <c r="M1090">
        <f>UnilabUsage[[#This Row],[Max]]-UnilabUsage[[#This Row],[Used-MB]]</f>
        <v>30634</v>
      </c>
      <c r="N1090" s="5">
        <f>IF($L1090&gt;0,UnilabUsage[[#This Row],[Free-of-Max]]/UnilabUsage[[#This Row],[Usage-Delta-MB]],UnilabUsage[[#This Row],[Free-of-Max]])</f>
        <v>2356.4615384615386</v>
      </c>
    </row>
    <row r="1091" spans="1:14" x14ac:dyDescent="0.25">
      <c r="A1091" s="3">
        <v>45327</v>
      </c>
      <c r="B1091" s="15" t="s">
        <v>9</v>
      </c>
      <c r="C1091" s="16">
        <v>3</v>
      </c>
      <c r="D1091" s="16">
        <v>10440</v>
      </c>
      <c r="E1091" s="16">
        <v>10095</v>
      </c>
      <c r="F1091" s="16">
        <v>345</v>
      </c>
      <c r="G1091" s="16">
        <v>97</v>
      </c>
      <c r="H1091" s="16">
        <v>32768</v>
      </c>
      <c r="I1091" s="16">
        <v>1</v>
      </c>
      <c r="J1091" s="15" t="s">
        <v>1</v>
      </c>
      <c r="K1091" s="15" t="s">
        <v>10</v>
      </c>
      <c r="L1091" s="8">
        <f>UnilabUsage[[#This Row],[Used-MB]]-F1081</f>
        <v>1</v>
      </c>
      <c r="M1091">
        <f>UnilabUsage[[#This Row],[Max]]-UnilabUsage[[#This Row],[Used-MB]]</f>
        <v>32423</v>
      </c>
      <c r="N1091" s="5">
        <f>IF($L1091&gt;0,UnilabUsage[[#This Row],[Free-of-Max]]/UnilabUsage[[#This Row],[Usage-Delta-MB]],UnilabUsage[[#This Row],[Free-of-Max]])</f>
        <v>32423</v>
      </c>
    </row>
    <row r="1092" spans="1:14" x14ac:dyDescent="0.25">
      <c r="A1092" s="3">
        <v>45334</v>
      </c>
      <c r="B1092" s="15" t="s">
        <v>7</v>
      </c>
      <c r="C1092" s="16">
        <v>95</v>
      </c>
      <c r="D1092" s="16">
        <v>2460</v>
      </c>
      <c r="E1092" s="16">
        <v>120</v>
      </c>
      <c r="F1092" s="16">
        <v>2340</v>
      </c>
      <c r="G1092" s="16">
        <v>5</v>
      </c>
      <c r="H1092" s="16">
        <v>32768</v>
      </c>
      <c r="I1092" s="16">
        <v>7</v>
      </c>
      <c r="J1092" s="15" t="s">
        <v>1</v>
      </c>
      <c r="K1092" s="15" t="s">
        <v>2</v>
      </c>
      <c r="L1092" s="8">
        <f>UnilabUsage[[#This Row],[Used-MB]]-F1082</f>
        <v>0</v>
      </c>
      <c r="M1092">
        <f>UnilabUsage[[#This Row],[Max]]-UnilabUsage[[#This Row],[Used-MB]]</f>
        <v>30428</v>
      </c>
      <c r="N1092" s="5">
        <f>IF($L1092&gt;0,UnilabUsage[[#This Row],[Free-of-Max]]/UnilabUsage[[#This Row],[Usage-Delta-MB]],UnilabUsage[[#This Row],[Free-of-Max]])</f>
        <v>30428</v>
      </c>
    </row>
    <row r="1093" spans="1:14" x14ac:dyDescent="0.25">
      <c r="A1093" s="3">
        <v>45334</v>
      </c>
      <c r="B1093" s="15" t="s">
        <v>0</v>
      </c>
      <c r="C1093" s="16">
        <v>100</v>
      </c>
      <c r="D1093" s="16">
        <v>23950</v>
      </c>
      <c r="E1093" s="16">
        <v>11</v>
      </c>
      <c r="F1093" s="16">
        <v>23939</v>
      </c>
      <c r="G1093" s="16">
        <v>0</v>
      </c>
      <c r="H1093" s="16">
        <v>32768</v>
      </c>
      <c r="I1093" s="16">
        <v>73</v>
      </c>
      <c r="J1093" s="15" t="s">
        <v>1</v>
      </c>
      <c r="K1093" s="15" t="s">
        <v>2</v>
      </c>
      <c r="L1093" s="8">
        <f>UnilabUsage[[#This Row],[Used-MB]]-F1083</f>
        <v>64</v>
      </c>
      <c r="M1093">
        <f>UnilabUsage[[#This Row],[Max]]-UnilabUsage[[#This Row],[Used-MB]]</f>
        <v>8829</v>
      </c>
      <c r="N1093" s="5">
        <f>IF($L1093&gt;0,UnilabUsage[[#This Row],[Free-of-Max]]/UnilabUsage[[#This Row],[Usage-Delta-MB]],UnilabUsage[[#This Row],[Free-of-Max]])</f>
        <v>137.953125</v>
      </c>
    </row>
    <row r="1094" spans="1:14" x14ac:dyDescent="0.25">
      <c r="A1094" s="3">
        <v>45334</v>
      </c>
      <c r="B1094" s="15" t="s">
        <v>11</v>
      </c>
      <c r="C1094" s="16">
        <v>1</v>
      </c>
      <c r="D1094" s="16">
        <v>100</v>
      </c>
      <c r="E1094" s="16">
        <v>99</v>
      </c>
      <c r="F1094" s="16">
        <v>1</v>
      </c>
      <c r="G1094" s="16">
        <v>99</v>
      </c>
      <c r="H1094" s="16">
        <v>32768</v>
      </c>
      <c r="I1094" s="16">
        <v>0</v>
      </c>
      <c r="J1094" s="15" t="s">
        <v>1</v>
      </c>
      <c r="K1094" s="15" t="s">
        <v>2</v>
      </c>
      <c r="L1094" s="8">
        <f>UnilabUsage[[#This Row],[Used-MB]]-F1084</f>
        <v>0</v>
      </c>
      <c r="M1094">
        <f>UnilabUsage[[#This Row],[Max]]-UnilabUsage[[#This Row],[Used-MB]]</f>
        <v>32767</v>
      </c>
      <c r="N1094" s="5">
        <f>IF($L1094&gt;0,UnilabUsage[[#This Row],[Free-of-Max]]/UnilabUsage[[#This Row],[Usage-Delta-MB]],UnilabUsage[[#This Row],[Free-of-Max]])</f>
        <v>32767</v>
      </c>
    </row>
    <row r="1095" spans="1:14" x14ac:dyDescent="0.25">
      <c r="A1095" s="3">
        <v>45334</v>
      </c>
      <c r="B1095" s="15" t="s">
        <v>6</v>
      </c>
      <c r="C1095" s="16">
        <v>95</v>
      </c>
      <c r="D1095" s="16">
        <v>7755</v>
      </c>
      <c r="E1095" s="16">
        <v>375</v>
      </c>
      <c r="F1095" s="16">
        <v>7380</v>
      </c>
      <c r="G1095" s="16">
        <v>5</v>
      </c>
      <c r="H1095" s="16">
        <v>32768</v>
      </c>
      <c r="I1095" s="16">
        <v>23</v>
      </c>
      <c r="J1095" s="15" t="s">
        <v>1</v>
      </c>
      <c r="K1095" s="15" t="s">
        <v>2</v>
      </c>
      <c r="L1095" s="8">
        <f>UnilabUsage[[#This Row],[Used-MB]]-F1085</f>
        <v>3</v>
      </c>
      <c r="M1095">
        <f>UnilabUsage[[#This Row],[Max]]-UnilabUsage[[#This Row],[Used-MB]]</f>
        <v>25388</v>
      </c>
      <c r="N1095" s="5">
        <f>IF($L1095&gt;0,UnilabUsage[[#This Row],[Free-of-Max]]/UnilabUsage[[#This Row],[Usage-Delta-MB]],UnilabUsage[[#This Row],[Free-of-Max]])</f>
        <v>8462.6666666666661</v>
      </c>
    </row>
    <row r="1096" spans="1:14" x14ac:dyDescent="0.25">
      <c r="A1096" s="3">
        <v>45334</v>
      </c>
      <c r="B1096" s="15" t="s">
        <v>3</v>
      </c>
      <c r="C1096" s="16">
        <v>92</v>
      </c>
      <c r="D1096" s="16">
        <v>491518</v>
      </c>
      <c r="E1096" s="16">
        <v>37553</v>
      </c>
      <c r="F1096" s="16">
        <v>453965</v>
      </c>
      <c r="G1096" s="16">
        <v>8</v>
      </c>
      <c r="H1096" s="16">
        <v>491520</v>
      </c>
      <c r="I1096" s="16">
        <v>92</v>
      </c>
      <c r="J1096" s="15" t="s">
        <v>1</v>
      </c>
      <c r="K1096" s="15" t="s">
        <v>2</v>
      </c>
      <c r="L1096" s="8">
        <f>UnilabUsage[[#This Row],[Used-MB]]-F1086</f>
        <v>411</v>
      </c>
      <c r="M1096">
        <f>UnilabUsage[[#This Row],[Max]]-UnilabUsage[[#This Row],[Used-MB]]</f>
        <v>37555</v>
      </c>
      <c r="N1096" s="5">
        <f>IF($L1096&gt;0,UnilabUsage[[#This Row],[Free-of-Max]]/UnilabUsage[[#This Row],[Usage-Delta-MB]],UnilabUsage[[#This Row],[Free-of-Max]])</f>
        <v>91.374695863746965</v>
      </c>
    </row>
    <row r="1097" spans="1:14" x14ac:dyDescent="0.25">
      <c r="A1097" s="3">
        <v>45334</v>
      </c>
      <c r="B1097" s="15" t="s">
        <v>5</v>
      </c>
      <c r="C1097" s="16">
        <v>95</v>
      </c>
      <c r="D1097" s="16">
        <v>24300</v>
      </c>
      <c r="E1097" s="16">
        <v>1143</v>
      </c>
      <c r="F1097" s="16">
        <v>23157</v>
      </c>
      <c r="G1097" s="16">
        <v>5</v>
      </c>
      <c r="H1097" s="16">
        <v>32768</v>
      </c>
      <c r="I1097" s="16">
        <v>71</v>
      </c>
      <c r="J1097" s="15" t="s">
        <v>1</v>
      </c>
      <c r="K1097" s="15" t="s">
        <v>2</v>
      </c>
      <c r="L1097" s="8">
        <f>UnilabUsage[[#This Row],[Used-MB]]-F1087</f>
        <v>2</v>
      </c>
      <c r="M1097">
        <f>UnilabUsage[[#This Row],[Max]]-UnilabUsage[[#This Row],[Used-MB]]</f>
        <v>9611</v>
      </c>
      <c r="N1097" s="5">
        <f>IF($L1097&gt;0,UnilabUsage[[#This Row],[Free-of-Max]]/UnilabUsage[[#This Row],[Usage-Delta-MB]],UnilabUsage[[#This Row],[Free-of-Max]])</f>
        <v>4805.5</v>
      </c>
    </row>
    <row r="1098" spans="1:14" x14ac:dyDescent="0.25">
      <c r="A1098" s="3">
        <v>45334</v>
      </c>
      <c r="B1098" s="15" t="s">
        <v>8</v>
      </c>
      <c r="C1098" s="16">
        <v>91</v>
      </c>
      <c r="D1098" s="16">
        <v>327680</v>
      </c>
      <c r="E1098" s="16">
        <v>28428</v>
      </c>
      <c r="F1098" s="16">
        <v>299252</v>
      </c>
      <c r="G1098" s="16">
        <v>9</v>
      </c>
      <c r="H1098" s="16">
        <v>327680</v>
      </c>
      <c r="I1098" s="16">
        <v>91</v>
      </c>
      <c r="J1098" s="15" t="s">
        <v>1</v>
      </c>
      <c r="K1098" s="15" t="s">
        <v>2</v>
      </c>
      <c r="L1098" s="8">
        <f>UnilabUsage[[#This Row],[Used-MB]]-F1088</f>
        <v>383</v>
      </c>
      <c r="M1098">
        <f>UnilabUsage[[#This Row],[Max]]-UnilabUsage[[#This Row],[Used-MB]]</f>
        <v>28428</v>
      </c>
      <c r="N1098" s="5">
        <f>IF($L1098&gt;0,UnilabUsage[[#This Row],[Free-of-Max]]/UnilabUsage[[#This Row],[Usage-Delta-MB]],UnilabUsage[[#This Row],[Free-of-Max]])</f>
        <v>74.224543080939952</v>
      </c>
    </row>
    <row r="1099" spans="1:14" x14ac:dyDescent="0.25">
      <c r="A1099" s="3">
        <v>45334</v>
      </c>
      <c r="B1099" s="15" t="s">
        <v>4</v>
      </c>
      <c r="C1099" s="16">
        <v>96</v>
      </c>
      <c r="D1099" s="16">
        <v>99260</v>
      </c>
      <c r="E1099" s="16">
        <v>4420</v>
      </c>
      <c r="F1099" s="16">
        <v>94840</v>
      </c>
      <c r="G1099" s="16">
        <v>4</v>
      </c>
      <c r="H1099" s="16">
        <v>131072</v>
      </c>
      <c r="I1099" s="16">
        <v>72</v>
      </c>
      <c r="J1099" s="15" t="s">
        <v>1</v>
      </c>
      <c r="K1099" s="15" t="s">
        <v>2</v>
      </c>
      <c r="L1099" s="8">
        <f>UnilabUsage[[#This Row],[Used-MB]]-F1089</f>
        <v>64</v>
      </c>
      <c r="M1099">
        <f>UnilabUsage[[#This Row],[Max]]-UnilabUsage[[#This Row],[Used-MB]]</f>
        <v>36232</v>
      </c>
      <c r="N1099" s="5">
        <f>IF($L1099&gt;0,UnilabUsage[[#This Row],[Free-of-Max]]/UnilabUsage[[#This Row],[Usage-Delta-MB]],UnilabUsage[[#This Row],[Free-of-Max]])</f>
        <v>566.125</v>
      </c>
    </row>
    <row r="1100" spans="1:14" x14ac:dyDescent="0.25">
      <c r="A1100" s="3">
        <v>45334</v>
      </c>
      <c r="B1100" s="15" t="s">
        <v>12</v>
      </c>
      <c r="C1100" s="16">
        <v>0</v>
      </c>
      <c r="D1100" s="16">
        <v>30720</v>
      </c>
      <c r="E1100" s="16">
        <v>30666</v>
      </c>
      <c r="F1100" s="16">
        <v>54</v>
      </c>
      <c r="G1100" s="16">
        <v>100</v>
      </c>
      <c r="H1100" s="16">
        <v>30720</v>
      </c>
      <c r="I1100" s="16">
        <v>0</v>
      </c>
      <c r="J1100" s="15" t="s">
        <v>1</v>
      </c>
      <c r="K1100" s="15" t="s">
        <v>13</v>
      </c>
      <c r="L1100" s="8">
        <f>UnilabUsage[[#This Row],[Used-MB]]-F1090</f>
        <v>-32</v>
      </c>
      <c r="M1100">
        <f>UnilabUsage[[#This Row],[Max]]-UnilabUsage[[#This Row],[Used-MB]]</f>
        <v>30666</v>
      </c>
      <c r="N1100" s="5">
        <f>IF($L1100&gt;0,UnilabUsage[[#This Row],[Free-of-Max]]/UnilabUsage[[#This Row],[Usage-Delta-MB]],UnilabUsage[[#This Row],[Free-of-Max]])</f>
        <v>30666</v>
      </c>
    </row>
    <row r="1101" spans="1:14" x14ac:dyDescent="0.25">
      <c r="A1101" s="3">
        <v>45334</v>
      </c>
      <c r="B1101" s="15" t="s">
        <v>9</v>
      </c>
      <c r="C1101" s="16">
        <v>4</v>
      </c>
      <c r="D1101" s="16">
        <v>10440</v>
      </c>
      <c r="E1101" s="16">
        <v>9981</v>
      </c>
      <c r="F1101" s="16">
        <v>459</v>
      </c>
      <c r="G1101" s="16">
        <v>96</v>
      </c>
      <c r="H1101" s="16">
        <v>32768</v>
      </c>
      <c r="I1101" s="16">
        <v>1</v>
      </c>
      <c r="J1101" s="15" t="s">
        <v>1</v>
      </c>
      <c r="K1101" s="15" t="s">
        <v>10</v>
      </c>
      <c r="L1101" s="8">
        <f>UnilabUsage[[#This Row],[Used-MB]]-F1091</f>
        <v>114</v>
      </c>
      <c r="M1101">
        <f>UnilabUsage[[#This Row],[Max]]-UnilabUsage[[#This Row],[Used-MB]]</f>
        <v>32309</v>
      </c>
      <c r="N1101" s="5">
        <f>IF($L1101&gt;0,UnilabUsage[[#This Row],[Free-of-Max]]/UnilabUsage[[#This Row],[Usage-Delta-MB]],UnilabUsage[[#This Row],[Free-of-Max]])</f>
        <v>283.41228070175441</v>
      </c>
    </row>
    <row r="1102" spans="1:14" x14ac:dyDescent="0.25">
      <c r="A1102" s="3">
        <v>45341</v>
      </c>
      <c r="B1102" s="15" t="s">
        <v>7</v>
      </c>
      <c r="C1102" s="16">
        <v>95</v>
      </c>
      <c r="D1102" s="16">
        <v>2460</v>
      </c>
      <c r="E1102" s="16">
        <v>121</v>
      </c>
      <c r="F1102" s="16">
        <v>2340</v>
      </c>
      <c r="G1102" s="16">
        <v>5</v>
      </c>
      <c r="H1102" s="16">
        <v>32768</v>
      </c>
      <c r="I1102" s="16">
        <v>7</v>
      </c>
      <c r="J1102" s="15" t="s">
        <v>1</v>
      </c>
      <c r="K1102" s="15" t="s">
        <v>2</v>
      </c>
      <c r="L1102" s="8">
        <f>UnilabUsage[[#This Row],[Used-MB]]-F1092</f>
        <v>0</v>
      </c>
      <c r="M1102">
        <f>UnilabUsage[[#This Row],[Max]]-UnilabUsage[[#This Row],[Used-MB]]</f>
        <v>30428</v>
      </c>
      <c r="N1102" s="5">
        <f>IF($L1102&gt;0,UnilabUsage[[#This Row],[Free-of-Max]]/UnilabUsage[[#This Row],[Usage-Delta-MB]],UnilabUsage[[#This Row],[Free-of-Max]])</f>
        <v>30428</v>
      </c>
    </row>
    <row r="1103" spans="1:14" x14ac:dyDescent="0.25">
      <c r="A1103" s="3">
        <v>45341</v>
      </c>
      <c r="B1103" s="15" t="s">
        <v>0</v>
      </c>
      <c r="C1103" s="16">
        <v>100</v>
      </c>
      <c r="D1103" s="16">
        <v>23950</v>
      </c>
      <c r="E1103" s="16">
        <v>11</v>
      </c>
      <c r="F1103" s="16">
        <v>23939</v>
      </c>
      <c r="G1103" s="16">
        <v>0</v>
      </c>
      <c r="H1103" s="16">
        <v>32768</v>
      </c>
      <c r="I1103" s="16">
        <v>73</v>
      </c>
      <c r="J1103" s="15" t="s">
        <v>1</v>
      </c>
      <c r="K1103" s="15" t="s">
        <v>2</v>
      </c>
      <c r="L1103" s="8">
        <f>UnilabUsage[[#This Row],[Used-MB]]-F1093</f>
        <v>0</v>
      </c>
      <c r="M1103">
        <f>UnilabUsage[[#This Row],[Max]]-UnilabUsage[[#This Row],[Used-MB]]</f>
        <v>8829</v>
      </c>
      <c r="N1103" s="5">
        <f>IF($L1103&gt;0,UnilabUsage[[#This Row],[Free-of-Max]]/UnilabUsage[[#This Row],[Usage-Delta-MB]],UnilabUsage[[#This Row],[Free-of-Max]])</f>
        <v>8829</v>
      </c>
    </row>
    <row r="1104" spans="1:14" x14ac:dyDescent="0.25">
      <c r="A1104" s="3">
        <v>45341</v>
      </c>
      <c r="B1104" s="15" t="s">
        <v>11</v>
      </c>
      <c r="C1104" s="16">
        <v>1</v>
      </c>
      <c r="D1104" s="16">
        <v>100</v>
      </c>
      <c r="E1104" s="16">
        <v>99</v>
      </c>
      <c r="F1104" s="16">
        <v>1</v>
      </c>
      <c r="G1104" s="16">
        <v>99</v>
      </c>
      <c r="H1104" s="16">
        <v>32768</v>
      </c>
      <c r="I1104" s="16">
        <v>0</v>
      </c>
      <c r="J1104" s="15" t="s">
        <v>1</v>
      </c>
      <c r="K1104" s="15" t="s">
        <v>2</v>
      </c>
      <c r="L1104" s="8">
        <f>UnilabUsage[[#This Row],[Used-MB]]-F1094</f>
        <v>0</v>
      </c>
      <c r="M1104">
        <f>UnilabUsage[[#This Row],[Max]]-UnilabUsage[[#This Row],[Used-MB]]</f>
        <v>32767</v>
      </c>
      <c r="N1104" s="5">
        <f>IF($L1104&gt;0,UnilabUsage[[#This Row],[Free-of-Max]]/UnilabUsage[[#This Row],[Usage-Delta-MB]],UnilabUsage[[#This Row],[Free-of-Max]])</f>
        <v>32767</v>
      </c>
    </row>
    <row r="1105" spans="1:14" x14ac:dyDescent="0.25">
      <c r="A1105" s="3">
        <v>45341</v>
      </c>
      <c r="B1105" s="15" t="s">
        <v>6</v>
      </c>
      <c r="C1105" s="16">
        <v>95</v>
      </c>
      <c r="D1105" s="16">
        <v>7755</v>
      </c>
      <c r="E1105" s="16">
        <v>374</v>
      </c>
      <c r="F1105" s="16">
        <v>7381</v>
      </c>
      <c r="G1105" s="16">
        <v>5</v>
      </c>
      <c r="H1105" s="16">
        <v>32768</v>
      </c>
      <c r="I1105" s="16">
        <v>23</v>
      </c>
      <c r="J1105" s="15" t="s">
        <v>1</v>
      </c>
      <c r="K1105" s="15" t="s">
        <v>2</v>
      </c>
      <c r="L1105" s="8">
        <f>UnilabUsage[[#This Row],[Used-MB]]-F1095</f>
        <v>1</v>
      </c>
      <c r="M1105">
        <f>UnilabUsage[[#This Row],[Max]]-UnilabUsage[[#This Row],[Used-MB]]</f>
        <v>25387</v>
      </c>
      <c r="N1105" s="5">
        <f>IF($L1105&gt;0,UnilabUsage[[#This Row],[Free-of-Max]]/UnilabUsage[[#This Row],[Usage-Delta-MB]],UnilabUsage[[#This Row],[Free-of-Max]])</f>
        <v>25387</v>
      </c>
    </row>
    <row r="1106" spans="1:14" x14ac:dyDescent="0.25">
      <c r="A1106" s="3">
        <v>45341</v>
      </c>
      <c r="B1106" s="15" t="s">
        <v>3</v>
      </c>
      <c r="C1106" s="16">
        <v>92</v>
      </c>
      <c r="D1106" s="16">
        <v>491518</v>
      </c>
      <c r="E1106" s="16">
        <v>37088</v>
      </c>
      <c r="F1106" s="16">
        <v>454430</v>
      </c>
      <c r="G1106" s="16">
        <v>8</v>
      </c>
      <c r="H1106" s="16">
        <v>491520</v>
      </c>
      <c r="I1106" s="16">
        <v>92</v>
      </c>
      <c r="J1106" s="15" t="s">
        <v>1</v>
      </c>
      <c r="K1106" s="15" t="s">
        <v>2</v>
      </c>
      <c r="L1106" s="8">
        <f>UnilabUsage[[#This Row],[Used-MB]]-F1096</f>
        <v>465</v>
      </c>
      <c r="M1106">
        <f>UnilabUsage[[#This Row],[Max]]-UnilabUsage[[#This Row],[Used-MB]]</f>
        <v>37090</v>
      </c>
      <c r="N1106" s="5">
        <f>IF($L1106&gt;0,UnilabUsage[[#This Row],[Free-of-Max]]/UnilabUsage[[#This Row],[Usage-Delta-MB]],UnilabUsage[[#This Row],[Free-of-Max]])</f>
        <v>79.763440860215056</v>
      </c>
    </row>
    <row r="1107" spans="1:14" x14ac:dyDescent="0.25">
      <c r="A1107" s="3">
        <v>45341</v>
      </c>
      <c r="B1107" s="15" t="s">
        <v>5</v>
      </c>
      <c r="C1107" s="16">
        <v>96</v>
      </c>
      <c r="D1107" s="16">
        <v>24300</v>
      </c>
      <c r="E1107" s="16">
        <v>1061</v>
      </c>
      <c r="F1107" s="16">
        <v>23239</v>
      </c>
      <c r="G1107" s="16">
        <v>4</v>
      </c>
      <c r="H1107" s="16">
        <v>32768</v>
      </c>
      <c r="I1107" s="16">
        <v>71</v>
      </c>
      <c r="J1107" s="15" t="s">
        <v>1</v>
      </c>
      <c r="K1107" s="15" t="s">
        <v>2</v>
      </c>
      <c r="L1107" s="8">
        <f>UnilabUsage[[#This Row],[Used-MB]]-F1097</f>
        <v>82</v>
      </c>
      <c r="M1107">
        <f>UnilabUsage[[#This Row],[Max]]-UnilabUsage[[#This Row],[Used-MB]]</f>
        <v>9529</v>
      </c>
      <c r="N1107" s="5">
        <f>IF($L1107&gt;0,UnilabUsage[[#This Row],[Free-of-Max]]/UnilabUsage[[#This Row],[Usage-Delta-MB]],UnilabUsage[[#This Row],[Free-of-Max]])</f>
        <v>116.20731707317073</v>
      </c>
    </row>
    <row r="1108" spans="1:14" x14ac:dyDescent="0.25">
      <c r="A1108" s="3">
        <v>45341</v>
      </c>
      <c r="B1108" s="15" t="s">
        <v>8</v>
      </c>
      <c r="C1108" s="16">
        <v>91</v>
      </c>
      <c r="D1108" s="16">
        <v>327680</v>
      </c>
      <c r="E1108" s="16">
        <v>27993</v>
      </c>
      <c r="F1108" s="16">
        <v>299686</v>
      </c>
      <c r="G1108" s="16">
        <v>9</v>
      </c>
      <c r="H1108" s="16">
        <v>327680</v>
      </c>
      <c r="I1108" s="16">
        <v>91</v>
      </c>
      <c r="J1108" s="15" t="s">
        <v>1</v>
      </c>
      <c r="K1108" s="15" t="s">
        <v>2</v>
      </c>
      <c r="L1108" s="8">
        <f>UnilabUsage[[#This Row],[Used-MB]]-F1098</f>
        <v>434</v>
      </c>
      <c r="M1108">
        <f>UnilabUsage[[#This Row],[Max]]-UnilabUsage[[#This Row],[Used-MB]]</f>
        <v>27994</v>
      </c>
      <c r="N1108" s="5">
        <f>IF($L1108&gt;0,UnilabUsage[[#This Row],[Free-of-Max]]/UnilabUsage[[#This Row],[Usage-Delta-MB]],UnilabUsage[[#This Row],[Free-of-Max]])</f>
        <v>64.502304147465438</v>
      </c>
    </row>
    <row r="1109" spans="1:14" x14ac:dyDescent="0.25">
      <c r="A1109" s="3">
        <v>45341</v>
      </c>
      <c r="B1109" s="15" t="s">
        <v>4</v>
      </c>
      <c r="C1109" s="16">
        <v>96</v>
      </c>
      <c r="D1109" s="16">
        <v>99260</v>
      </c>
      <c r="E1109" s="16">
        <v>4228</v>
      </c>
      <c r="F1109" s="16">
        <v>95032</v>
      </c>
      <c r="G1109" s="16">
        <v>4</v>
      </c>
      <c r="H1109" s="16">
        <v>131072</v>
      </c>
      <c r="I1109" s="16">
        <v>73</v>
      </c>
      <c r="J1109" s="15" t="s">
        <v>1</v>
      </c>
      <c r="K1109" s="15" t="s">
        <v>2</v>
      </c>
      <c r="L1109" s="8">
        <f>UnilabUsage[[#This Row],[Used-MB]]-F1099</f>
        <v>192</v>
      </c>
      <c r="M1109">
        <f>UnilabUsage[[#This Row],[Max]]-UnilabUsage[[#This Row],[Used-MB]]</f>
        <v>36040</v>
      </c>
      <c r="N1109" s="5">
        <f>IF($L1109&gt;0,UnilabUsage[[#This Row],[Free-of-Max]]/UnilabUsage[[#This Row],[Usage-Delta-MB]],UnilabUsage[[#This Row],[Free-of-Max]])</f>
        <v>187.70833333333334</v>
      </c>
    </row>
    <row r="1110" spans="1:14" x14ac:dyDescent="0.25">
      <c r="A1110" s="3">
        <v>45341</v>
      </c>
      <c r="B1110" s="15" t="s">
        <v>12</v>
      </c>
      <c r="C1110" s="16">
        <v>0</v>
      </c>
      <c r="D1110" s="16">
        <v>30720</v>
      </c>
      <c r="E1110" s="16">
        <v>30642</v>
      </c>
      <c r="F1110" s="16">
        <v>78</v>
      </c>
      <c r="G1110" s="16">
        <v>100</v>
      </c>
      <c r="H1110" s="16">
        <v>30720</v>
      </c>
      <c r="I1110" s="16">
        <v>0</v>
      </c>
      <c r="J1110" s="15" t="s">
        <v>1</v>
      </c>
      <c r="K1110" s="15" t="s">
        <v>13</v>
      </c>
      <c r="L1110" s="8">
        <f>UnilabUsage[[#This Row],[Used-MB]]-F1100</f>
        <v>24</v>
      </c>
      <c r="M1110">
        <f>UnilabUsage[[#This Row],[Max]]-UnilabUsage[[#This Row],[Used-MB]]</f>
        <v>30642</v>
      </c>
      <c r="N1110" s="5">
        <f>IF($L1110&gt;0,UnilabUsage[[#This Row],[Free-of-Max]]/UnilabUsage[[#This Row],[Usage-Delta-MB]],UnilabUsage[[#This Row],[Free-of-Max]])</f>
        <v>1276.75</v>
      </c>
    </row>
    <row r="1111" spans="1:14" x14ac:dyDescent="0.25">
      <c r="A1111" s="3">
        <v>45341</v>
      </c>
      <c r="B1111" s="15" t="s">
        <v>9</v>
      </c>
      <c r="C1111" s="16">
        <v>3</v>
      </c>
      <c r="D1111" s="16">
        <v>10440</v>
      </c>
      <c r="E1111" s="16">
        <v>10087</v>
      </c>
      <c r="F1111" s="16">
        <v>353</v>
      </c>
      <c r="G1111" s="16">
        <v>97</v>
      </c>
      <c r="H1111" s="16">
        <v>32768</v>
      </c>
      <c r="I1111" s="16">
        <v>1</v>
      </c>
      <c r="J1111" s="15" t="s">
        <v>1</v>
      </c>
      <c r="K1111" s="15" t="s">
        <v>10</v>
      </c>
      <c r="L1111" s="8">
        <f>UnilabUsage[[#This Row],[Used-MB]]-F1101</f>
        <v>-106</v>
      </c>
      <c r="M1111">
        <f>UnilabUsage[[#This Row],[Max]]-UnilabUsage[[#This Row],[Used-MB]]</f>
        <v>32415</v>
      </c>
      <c r="N1111" s="5">
        <f>IF($L1111&gt;0,UnilabUsage[[#This Row],[Free-of-Max]]/UnilabUsage[[#This Row],[Usage-Delta-MB]],UnilabUsage[[#This Row],[Free-of-Max]])</f>
        <v>32415</v>
      </c>
    </row>
    <row r="1112" spans="1:14" x14ac:dyDescent="0.25">
      <c r="A1112" s="3">
        <v>45348</v>
      </c>
      <c r="B1112" s="15" t="s">
        <v>7</v>
      </c>
      <c r="C1112" s="16">
        <v>95</v>
      </c>
      <c r="D1112" s="16">
        <v>2460</v>
      </c>
      <c r="E1112" s="16">
        <v>112</v>
      </c>
      <c r="F1112" s="16">
        <v>2348</v>
      </c>
      <c r="G1112" s="16">
        <v>5</v>
      </c>
      <c r="H1112" s="16">
        <v>32768</v>
      </c>
      <c r="I1112" s="16">
        <v>7</v>
      </c>
      <c r="J1112" s="15" t="s">
        <v>1</v>
      </c>
      <c r="K1112" s="15" t="s">
        <v>2</v>
      </c>
      <c r="L1112" s="8">
        <f>UnilabUsage[[#This Row],[Used-MB]]-F1102</f>
        <v>8</v>
      </c>
      <c r="M1112">
        <f>UnilabUsage[[#This Row],[Max]]-UnilabUsage[[#This Row],[Used-MB]]</f>
        <v>30420</v>
      </c>
      <c r="N1112" s="5">
        <f>IF($L1112&gt;0,UnilabUsage[[#This Row],[Free-of-Max]]/UnilabUsage[[#This Row],[Usage-Delta-MB]],UnilabUsage[[#This Row],[Free-of-Max]])</f>
        <v>3802.5</v>
      </c>
    </row>
    <row r="1113" spans="1:14" x14ac:dyDescent="0.25">
      <c r="A1113" s="3">
        <v>45348</v>
      </c>
      <c r="B1113" s="15" t="s">
        <v>0</v>
      </c>
      <c r="C1113" s="16">
        <v>100</v>
      </c>
      <c r="D1113" s="16">
        <v>24050</v>
      </c>
      <c r="E1113" s="16">
        <v>46</v>
      </c>
      <c r="F1113" s="16">
        <v>24004</v>
      </c>
      <c r="G1113" s="16">
        <v>0</v>
      </c>
      <c r="H1113" s="16">
        <v>32768</v>
      </c>
      <c r="I1113" s="16">
        <v>73</v>
      </c>
      <c r="J1113" s="15" t="s">
        <v>1</v>
      </c>
      <c r="K1113" s="15" t="s">
        <v>2</v>
      </c>
      <c r="L1113" s="8">
        <f>UnilabUsage[[#This Row],[Used-MB]]-F1103</f>
        <v>65</v>
      </c>
      <c r="M1113">
        <f>UnilabUsage[[#This Row],[Max]]-UnilabUsage[[#This Row],[Used-MB]]</f>
        <v>8764</v>
      </c>
      <c r="N1113" s="5">
        <f>IF($L1113&gt;0,UnilabUsage[[#This Row],[Free-of-Max]]/UnilabUsage[[#This Row],[Usage-Delta-MB]],UnilabUsage[[#This Row],[Free-of-Max]])</f>
        <v>134.83076923076922</v>
      </c>
    </row>
    <row r="1114" spans="1:14" x14ac:dyDescent="0.25">
      <c r="A1114" s="3">
        <v>45348</v>
      </c>
      <c r="B1114" s="15" t="s">
        <v>11</v>
      </c>
      <c r="C1114" s="16">
        <v>1</v>
      </c>
      <c r="D1114" s="16">
        <v>100</v>
      </c>
      <c r="E1114" s="16">
        <v>99</v>
      </c>
      <c r="F1114" s="16">
        <v>1</v>
      </c>
      <c r="G1114" s="16">
        <v>99</v>
      </c>
      <c r="H1114" s="16">
        <v>32768</v>
      </c>
      <c r="I1114" s="16">
        <v>0</v>
      </c>
      <c r="J1114" s="15" t="s">
        <v>1</v>
      </c>
      <c r="K1114" s="15" t="s">
        <v>2</v>
      </c>
      <c r="L1114" s="8">
        <f>UnilabUsage[[#This Row],[Used-MB]]-F1104</f>
        <v>0</v>
      </c>
      <c r="M1114">
        <f>UnilabUsage[[#This Row],[Max]]-UnilabUsage[[#This Row],[Used-MB]]</f>
        <v>32767</v>
      </c>
      <c r="N1114" s="5">
        <f>IF($L1114&gt;0,UnilabUsage[[#This Row],[Free-of-Max]]/UnilabUsage[[#This Row],[Usage-Delta-MB]],UnilabUsage[[#This Row],[Free-of-Max]])</f>
        <v>32767</v>
      </c>
    </row>
    <row r="1115" spans="1:14" x14ac:dyDescent="0.25">
      <c r="A1115" s="3">
        <v>45348</v>
      </c>
      <c r="B1115" s="15" t="s">
        <v>6</v>
      </c>
      <c r="C1115" s="16">
        <v>95</v>
      </c>
      <c r="D1115" s="16">
        <v>7775</v>
      </c>
      <c r="E1115" s="16">
        <v>378</v>
      </c>
      <c r="F1115" s="16">
        <v>7397</v>
      </c>
      <c r="G1115" s="16">
        <v>5</v>
      </c>
      <c r="H1115" s="16">
        <v>32768</v>
      </c>
      <c r="I1115" s="16">
        <v>23</v>
      </c>
      <c r="J1115" s="15" t="s">
        <v>1</v>
      </c>
      <c r="K1115" s="15" t="s">
        <v>2</v>
      </c>
      <c r="L1115" s="8">
        <f>UnilabUsage[[#This Row],[Used-MB]]-F1105</f>
        <v>16</v>
      </c>
      <c r="M1115">
        <f>UnilabUsage[[#This Row],[Max]]-UnilabUsage[[#This Row],[Used-MB]]</f>
        <v>25371</v>
      </c>
      <c r="N1115" s="5">
        <f>IF($L1115&gt;0,UnilabUsage[[#This Row],[Free-of-Max]]/UnilabUsage[[#This Row],[Usage-Delta-MB]],UnilabUsage[[#This Row],[Free-of-Max]])</f>
        <v>1585.6875</v>
      </c>
    </row>
    <row r="1116" spans="1:14" x14ac:dyDescent="0.25">
      <c r="A1116" s="3">
        <v>45348</v>
      </c>
      <c r="B1116" s="15" t="s">
        <v>3</v>
      </c>
      <c r="C1116" s="16">
        <v>93</v>
      </c>
      <c r="D1116" s="16">
        <v>491518</v>
      </c>
      <c r="E1116" s="16">
        <v>36383</v>
      </c>
      <c r="F1116" s="16">
        <v>455135</v>
      </c>
      <c r="G1116" s="16">
        <v>7</v>
      </c>
      <c r="H1116" s="16">
        <v>491520</v>
      </c>
      <c r="I1116" s="16">
        <v>93</v>
      </c>
      <c r="J1116" s="15" t="s">
        <v>1</v>
      </c>
      <c r="K1116" s="15" t="s">
        <v>2</v>
      </c>
      <c r="L1116" s="8">
        <f>UnilabUsage[[#This Row],[Used-MB]]-F1106</f>
        <v>705</v>
      </c>
      <c r="M1116">
        <f>UnilabUsage[[#This Row],[Max]]-UnilabUsage[[#This Row],[Used-MB]]</f>
        <v>36385</v>
      </c>
      <c r="N1116" s="5">
        <f>IF($L1116&gt;0,UnilabUsage[[#This Row],[Free-of-Max]]/UnilabUsage[[#This Row],[Usage-Delta-MB]],UnilabUsage[[#This Row],[Free-of-Max]])</f>
        <v>51.609929078014183</v>
      </c>
    </row>
    <row r="1117" spans="1:14" x14ac:dyDescent="0.25">
      <c r="A1117" s="3">
        <v>45348</v>
      </c>
      <c r="B1117" s="15" t="s">
        <v>5</v>
      </c>
      <c r="C1117" s="16">
        <v>95</v>
      </c>
      <c r="D1117" s="16">
        <v>24500</v>
      </c>
      <c r="E1117" s="16">
        <v>1197</v>
      </c>
      <c r="F1117" s="16">
        <v>23303</v>
      </c>
      <c r="G1117" s="16">
        <v>5</v>
      </c>
      <c r="H1117" s="16">
        <v>32768</v>
      </c>
      <c r="I1117" s="16">
        <v>71</v>
      </c>
      <c r="J1117" s="15" t="s">
        <v>1</v>
      </c>
      <c r="K1117" s="15" t="s">
        <v>2</v>
      </c>
      <c r="L1117" s="8">
        <f>UnilabUsage[[#This Row],[Used-MB]]-F1107</f>
        <v>64</v>
      </c>
      <c r="M1117">
        <f>UnilabUsage[[#This Row],[Max]]-UnilabUsage[[#This Row],[Used-MB]]</f>
        <v>9465</v>
      </c>
      <c r="N1117" s="5">
        <f>IF($L1117&gt;0,UnilabUsage[[#This Row],[Free-of-Max]]/UnilabUsage[[#This Row],[Usage-Delta-MB]],UnilabUsage[[#This Row],[Free-of-Max]])</f>
        <v>147.890625</v>
      </c>
    </row>
    <row r="1118" spans="1:14" x14ac:dyDescent="0.25">
      <c r="A1118" s="3">
        <v>45348</v>
      </c>
      <c r="B1118" s="15" t="s">
        <v>8</v>
      </c>
      <c r="C1118" s="16">
        <v>92</v>
      </c>
      <c r="D1118" s="16">
        <v>327680</v>
      </c>
      <c r="E1118" s="16">
        <v>27412</v>
      </c>
      <c r="F1118" s="16">
        <v>300268</v>
      </c>
      <c r="G1118" s="16">
        <v>8</v>
      </c>
      <c r="H1118" s="16">
        <v>327680</v>
      </c>
      <c r="I1118" s="16">
        <v>92</v>
      </c>
      <c r="J1118" s="15" t="s">
        <v>1</v>
      </c>
      <c r="K1118" s="15" t="s">
        <v>2</v>
      </c>
      <c r="L1118" s="8">
        <f>UnilabUsage[[#This Row],[Used-MB]]-F1108</f>
        <v>582</v>
      </c>
      <c r="M1118">
        <f>UnilabUsage[[#This Row],[Max]]-UnilabUsage[[#This Row],[Used-MB]]</f>
        <v>27412</v>
      </c>
      <c r="N1118" s="5">
        <f>IF($L1118&gt;0,UnilabUsage[[#This Row],[Free-of-Max]]/UnilabUsage[[#This Row],[Usage-Delta-MB]],UnilabUsage[[#This Row],[Free-of-Max]])</f>
        <v>47.099656357388319</v>
      </c>
    </row>
    <row r="1119" spans="1:14" x14ac:dyDescent="0.25">
      <c r="A1119" s="3">
        <v>45348</v>
      </c>
      <c r="B1119" s="15" t="s">
        <v>4</v>
      </c>
      <c r="C1119" s="16">
        <v>96</v>
      </c>
      <c r="D1119" s="16">
        <v>99260</v>
      </c>
      <c r="E1119" s="16">
        <v>4099</v>
      </c>
      <c r="F1119" s="16">
        <v>95161</v>
      </c>
      <c r="G1119" s="16">
        <v>4</v>
      </c>
      <c r="H1119" s="16">
        <v>131072</v>
      </c>
      <c r="I1119" s="16">
        <v>73</v>
      </c>
      <c r="J1119" s="15" t="s">
        <v>1</v>
      </c>
      <c r="K1119" s="15" t="s">
        <v>2</v>
      </c>
      <c r="L1119" s="8">
        <f>UnilabUsage[[#This Row],[Used-MB]]-F1109</f>
        <v>129</v>
      </c>
      <c r="M1119">
        <f>UnilabUsage[[#This Row],[Max]]-UnilabUsage[[#This Row],[Used-MB]]</f>
        <v>35911</v>
      </c>
      <c r="N1119" s="5">
        <f>IF($L1119&gt;0,UnilabUsage[[#This Row],[Free-of-Max]]/UnilabUsage[[#This Row],[Usage-Delta-MB]],UnilabUsage[[#This Row],[Free-of-Max]])</f>
        <v>278.37984496124034</v>
      </c>
    </row>
    <row r="1120" spans="1:14" x14ac:dyDescent="0.25">
      <c r="A1120" s="3">
        <v>45348</v>
      </c>
      <c r="B1120" s="15" t="s">
        <v>12</v>
      </c>
      <c r="C1120" s="16">
        <v>0</v>
      </c>
      <c r="D1120" s="16">
        <v>30720</v>
      </c>
      <c r="E1120" s="16">
        <v>30645</v>
      </c>
      <c r="F1120" s="16">
        <v>75</v>
      </c>
      <c r="G1120" s="16">
        <v>100</v>
      </c>
      <c r="H1120" s="16">
        <v>30720</v>
      </c>
      <c r="I1120" s="16">
        <v>0</v>
      </c>
      <c r="J1120" s="15" t="s">
        <v>1</v>
      </c>
      <c r="K1120" s="15" t="s">
        <v>13</v>
      </c>
      <c r="L1120" s="8">
        <f>UnilabUsage[[#This Row],[Used-MB]]-F1110</f>
        <v>-3</v>
      </c>
      <c r="M1120">
        <f>UnilabUsage[[#This Row],[Max]]-UnilabUsage[[#This Row],[Used-MB]]</f>
        <v>30645</v>
      </c>
      <c r="N1120" s="5">
        <f>IF($L1120&gt;0,UnilabUsage[[#This Row],[Free-of-Max]]/UnilabUsage[[#This Row],[Usage-Delta-MB]],UnilabUsage[[#This Row],[Free-of-Max]])</f>
        <v>30645</v>
      </c>
    </row>
    <row r="1121" spans="1:14" x14ac:dyDescent="0.25">
      <c r="A1121" s="3">
        <v>45348</v>
      </c>
      <c r="B1121" s="15" t="s">
        <v>9</v>
      </c>
      <c r="C1121" s="16">
        <v>4</v>
      </c>
      <c r="D1121" s="16">
        <v>10440</v>
      </c>
      <c r="E1121" s="16">
        <v>10073</v>
      </c>
      <c r="F1121" s="16">
        <v>367</v>
      </c>
      <c r="G1121" s="16">
        <v>96</v>
      </c>
      <c r="H1121" s="16">
        <v>32768</v>
      </c>
      <c r="I1121" s="16">
        <v>1</v>
      </c>
      <c r="J1121" s="15" t="s">
        <v>1</v>
      </c>
      <c r="K1121" s="15" t="s">
        <v>10</v>
      </c>
      <c r="L1121" s="8">
        <f>UnilabUsage[[#This Row],[Used-MB]]-F1111</f>
        <v>14</v>
      </c>
      <c r="M1121">
        <f>UnilabUsage[[#This Row],[Max]]-UnilabUsage[[#This Row],[Used-MB]]</f>
        <v>32401</v>
      </c>
      <c r="N1121" s="5">
        <f>IF($L1121&gt;0,UnilabUsage[[#This Row],[Free-of-Max]]/UnilabUsage[[#This Row],[Usage-Delta-MB]],UnilabUsage[[#This Row],[Free-of-Max]])</f>
        <v>2314.3571428571427</v>
      </c>
    </row>
    <row r="1122" spans="1:14" x14ac:dyDescent="0.25">
      <c r="A1122" s="3">
        <v>45355</v>
      </c>
      <c r="B1122" s="15" t="s">
        <v>7</v>
      </c>
      <c r="C1122" s="16">
        <v>95</v>
      </c>
      <c r="D1122" s="16">
        <v>2460</v>
      </c>
      <c r="E1122" s="16">
        <v>112</v>
      </c>
      <c r="F1122" s="16">
        <v>2348</v>
      </c>
      <c r="G1122" s="16">
        <v>5</v>
      </c>
      <c r="H1122" s="16">
        <v>32768</v>
      </c>
      <c r="I1122" s="16">
        <v>7</v>
      </c>
      <c r="J1122" s="15" t="s">
        <v>1</v>
      </c>
      <c r="K1122" s="15" t="s">
        <v>2</v>
      </c>
      <c r="L1122" s="8">
        <f>UnilabUsage[[#This Row],[Used-MB]]-F1112</f>
        <v>0</v>
      </c>
      <c r="M1122">
        <f>UnilabUsage[[#This Row],[Max]]-UnilabUsage[[#This Row],[Used-MB]]</f>
        <v>30420</v>
      </c>
      <c r="N1122" s="5">
        <f>IF($L1122&gt;0,UnilabUsage[[#This Row],[Free-of-Max]]/UnilabUsage[[#This Row],[Usage-Delta-MB]],UnilabUsage[[#This Row],[Free-of-Max]])</f>
        <v>30420</v>
      </c>
    </row>
    <row r="1123" spans="1:14" x14ac:dyDescent="0.25">
      <c r="A1123" s="3">
        <v>45355</v>
      </c>
      <c r="B1123" s="15" t="s">
        <v>0</v>
      </c>
      <c r="C1123" s="16">
        <v>100</v>
      </c>
      <c r="D1123" s="16">
        <v>24150</v>
      </c>
      <c r="E1123" s="16">
        <v>82</v>
      </c>
      <c r="F1123" s="16">
        <v>24068</v>
      </c>
      <c r="G1123" s="16">
        <v>0</v>
      </c>
      <c r="H1123" s="16">
        <v>32768</v>
      </c>
      <c r="I1123" s="16">
        <v>73</v>
      </c>
      <c r="J1123" s="15" t="s">
        <v>1</v>
      </c>
      <c r="K1123" s="15" t="s">
        <v>2</v>
      </c>
      <c r="L1123" s="8">
        <f>UnilabUsage[[#This Row],[Used-MB]]-F1113</f>
        <v>64</v>
      </c>
      <c r="M1123">
        <f>UnilabUsage[[#This Row],[Max]]-UnilabUsage[[#This Row],[Used-MB]]</f>
        <v>8700</v>
      </c>
      <c r="N1123" s="5">
        <f>IF($L1123&gt;0,UnilabUsage[[#This Row],[Free-of-Max]]/UnilabUsage[[#This Row],[Usage-Delta-MB]],UnilabUsage[[#This Row],[Free-of-Max]])</f>
        <v>135.9375</v>
      </c>
    </row>
    <row r="1124" spans="1:14" x14ac:dyDescent="0.25">
      <c r="A1124" s="3">
        <v>45355</v>
      </c>
      <c r="B1124" s="15" t="s">
        <v>11</v>
      </c>
      <c r="C1124" s="16">
        <v>1</v>
      </c>
      <c r="D1124" s="16">
        <v>100</v>
      </c>
      <c r="E1124" s="16">
        <v>99</v>
      </c>
      <c r="F1124" s="16">
        <v>1</v>
      </c>
      <c r="G1124" s="16">
        <v>99</v>
      </c>
      <c r="H1124" s="16">
        <v>32768</v>
      </c>
      <c r="I1124" s="16">
        <v>0</v>
      </c>
      <c r="J1124" s="15" t="s">
        <v>1</v>
      </c>
      <c r="K1124" s="15" t="s">
        <v>2</v>
      </c>
      <c r="L1124" s="8">
        <f>UnilabUsage[[#This Row],[Used-MB]]-F1114</f>
        <v>0</v>
      </c>
      <c r="M1124">
        <f>UnilabUsage[[#This Row],[Max]]-UnilabUsage[[#This Row],[Used-MB]]</f>
        <v>32767</v>
      </c>
      <c r="N1124" s="5">
        <f>IF($L1124&gt;0,UnilabUsage[[#This Row],[Free-of-Max]]/UnilabUsage[[#This Row],[Usage-Delta-MB]],UnilabUsage[[#This Row],[Free-of-Max]])</f>
        <v>32767</v>
      </c>
    </row>
    <row r="1125" spans="1:14" x14ac:dyDescent="0.25">
      <c r="A1125" s="3">
        <v>45355</v>
      </c>
      <c r="B1125" s="15" t="s">
        <v>6</v>
      </c>
      <c r="C1125" s="16">
        <v>95</v>
      </c>
      <c r="D1125" s="16">
        <v>7775</v>
      </c>
      <c r="E1125" s="16">
        <v>377</v>
      </c>
      <c r="F1125" s="16">
        <v>7398</v>
      </c>
      <c r="G1125" s="16">
        <v>5</v>
      </c>
      <c r="H1125" s="16">
        <v>32768</v>
      </c>
      <c r="I1125" s="16">
        <v>23</v>
      </c>
      <c r="J1125" s="15" t="s">
        <v>1</v>
      </c>
      <c r="K1125" s="15" t="s">
        <v>2</v>
      </c>
      <c r="L1125" s="8">
        <f>UnilabUsage[[#This Row],[Used-MB]]-F1115</f>
        <v>1</v>
      </c>
      <c r="M1125">
        <f>UnilabUsage[[#This Row],[Max]]-UnilabUsage[[#This Row],[Used-MB]]</f>
        <v>25370</v>
      </c>
      <c r="N1125" s="5">
        <f>IF($L1125&gt;0,UnilabUsage[[#This Row],[Free-of-Max]]/UnilabUsage[[#This Row],[Usage-Delta-MB]],UnilabUsage[[#This Row],[Free-of-Max]])</f>
        <v>25370</v>
      </c>
    </row>
    <row r="1126" spans="1:14" x14ac:dyDescent="0.25">
      <c r="A1126" s="3">
        <v>45355</v>
      </c>
      <c r="B1126" s="15" t="s">
        <v>3</v>
      </c>
      <c r="C1126" s="16">
        <v>93</v>
      </c>
      <c r="D1126" s="16">
        <v>491518</v>
      </c>
      <c r="E1126" s="16">
        <v>35516</v>
      </c>
      <c r="F1126" s="16">
        <v>456001</v>
      </c>
      <c r="G1126" s="16">
        <v>7</v>
      </c>
      <c r="H1126" s="16">
        <v>491520</v>
      </c>
      <c r="I1126" s="16">
        <v>93</v>
      </c>
      <c r="J1126" s="15" t="s">
        <v>1</v>
      </c>
      <c r="K1126" s="15" t="s">
        <v>2</v>
      </c>
      <c r="L1126" s="8">
        <f>UnilabUsage[[#This Row],[Used-MB]]-F1116</f>
        <v>866</v>
      </c>
      <c r="M1126">
        <f>UnilabUsage[[#This Row],[Max]]-UnilabUsage[[#This Row],[Used-MB]]</f>
        <v>35519</v>
      </c>
      <c r="N1126" s="5">
        <f>IF($L1126&gt;0,UnilabUsage[[#This Row],[Free-of-Max]]/UnilabUsage[[#This Row],[Usage-Delta-MB]],UnilabUsage[[#This Row],[Free-of-Max]])</f>
        <v>41.015011547344109</v>
      </c>
    </row>
    <row r="1127" spans="1:14" x14ac:dyDescent="0.25">
      <c r="A1127" s="3">
        <v>45355</v>
      </c>
      <c r="B1127" s="15" t="s">
        <v>5</v>
      </c>
      <c r="C1127" s="16">
        <v>95</v>
      </c>
      <c r="D1127" s="16">
        <v>24500</v>
      </c>
      <c r="E1127" s="16">
        <v>1178</v>
      </c>
      <c r="F1127" s="16">
        <v>23322</v>
      </c>
      <c r="G1127" s="16">
        <v>5</v>
      </c>
      <c r="H1127" s="16">
        <v>32768</v>
      </c>
      <c r="I1127" s="16">
        <v>71</v>
      </c>
      <c r="J1127" s="15" t="s">
        <v>1</v>
      </c>
      <c r="K1127" s="15" t="s">
        <v>2</v>
      </c>
      <c r="L1127" s="8">
        <f>UnilabUsage[[#This Row],[Used-MB]]-F1117</f>
        <v>19</v>
      </c>
      <c r="M1127">
        <f>UnilabUsage[[#This Row],[Max]]-UnilabUsage[[#This Row],[Used-MB]]</f>
        <v>9446</v>
      </c>
      <c r="N1127" s="5">
        <f>IF($L1127&gt;0,UnilabUsage[[#This Row],[Free-of-Max]]/UnilabUsage[[#This Row],[Usage-Delta-MB]],UnilabUsage[[#This Row],[Free-of-Max]])</f>
        <v>497.15789473684208</v>
      </c>
    </row>
    <row r="1128" spans="1:14" x14ac:dyDescent="0.25">
      <c r="A1128" s="3">
        <v>45355</v>
      </c>
      <c r="B1128" s="15" t="s">
        <v>8</v>
      </c>
      <c r="C1128" s="16">
        <v>92</v>
      </c>
      <c r="D1128" s="16">
        <v>327680</v>
      </c>
      <c r="E1128" s="16">
        <v>26873</v>
      </c>
      <c r="F1128" s="16">
        <v>300807</v>
      </c>
      <c r="G1128" s="16">
        <v>8</v>
      </c>
      <c r="H1128" s="16">
        <v>327680</v>
      </c>
      <c r="I1128" s="16">
        <v>92</v>
      </c>
      <c r="J1128" s="15" t="s">
        <v>1</v>
      </c>
      <c r="K1128" s="15" t="s">
        <v>2</v>
      </c>
      <c r="L1128" s="8">
        <f>UnilabUsage[[#This Row],[Used-MB]]-F1118</f>
        <v>539</v>
      </c>
      <c r="M1128">
        <f>UnilabUsage[[#This Row],[Max]]-UnilabUsage[[#This Row],[Used-MB]]</f>
        <v>26873</v>
      </c>
      <c r="N1128" s="5">
        <f>IF($L1128&gt;0,UnilabUsage[[#This Row],[Free-of-Max]]/UnilabUsage[[#This Row],[Usage-Delta-MB]],UnilabUsage[[#This Row],[Free-of-Max]])</f>
        <v>49.857142857142854</v>
      </c>
    </row>
    <row r="1129" spans="1:14" x14ac:dyDescent="0.25">
      <c r="A1129" s="3">
        <v>45355</v>
      </c>
      <c r="B1129" s="15" t="s">
        <v>4</v>
      </c>
      <c r="C1129" s="16">
        <v>96</v>
      </c>
      <c r="D1129" s="16">
        <v>99260</v>
      </c>
      <c r="E1129" s="16">
        <v>3971</v>
      </c>
      <c r="F1129" s="16">
        <v>95289</v>
      </c>
      <c r="G1129" s="16">
        <v>4</v>
      </c>
      <c r="H1129" s="16">
        <v>131072</v>
      </c>
      <c r="I1129" s="16">
        <v>73</v>
      </c>
      <c r="J1129" s="15" t="s">
        <v>1</v>
      </c>
      <c r="K1129" s="15" t="s">
        <v>2</v>
      </c>
      <c r="L1129" s="8">
        <f>UnilabUsage[[#This Row],[Used-MB]]-F1119</f>
        <v>128</v>
      </c>
      <c r="M1129">
        <f>UnilabUsage[[#This Row],[Max]]-UnilabUsage[[#This Row],[Used-MB]]</f>
        <v>35783</v>
      </c>
      <c r="N1129" s="5">
        <f>IF($L1129&gt;0,UnilabUsage[[#This Row],[Free-of-Max]]/UnilabUsage[[#This Row],[Usage-Delta-MB]],UnilabUsage[[#This Row],[Free-of-Max]])</f>
        <v>279.5546875</v>
      </c>
    </row>
    <row r="1130" spans="1:14" x14ac:dyDescent="0.25">
      <c r="A1130" s="3">
        <v>45355</v>
      </c>
      <c r="B1130" s="15" t="s">
        <v>12</v>
      </c>
      <c r="C1130" s="16">
        <v>0</v>
      </c>
      <c r="D1130" s="16">
        <v>30720</v>
      </c>
      <c r="E1130" s="16">
        <v>30612</v>
      </c>
      <c r="F1130" s="16">
        <v>108</v>
      </c>
      <c r="G1130" s="16">
        <v>100</v>
      </c>
      <c r="H1130" s="16">
        <v>30720</v>
      </c>
      <c r="I1130" s="16">
        <v>0</v>
      </c>
      <c r="J1130" s="15" t="s">
        <v>1</v>
      </c>
      <c r="K1130" s="15" t="s">
        <v>13</v>
      </c>
      <c r="L1130" s="8">
        <f>UnilabUsage[[#This Row],[Used-MB]]-F1120</f>
        <v>33</v>
      </c>
      <c r="M1130">
        <f>UnilabUsage[[#This Row],[Max]]-UnilabUsage[[#This Row],[Used-MB]]</f>
        <v>30612</v>
      </c>
      <c r="N1130" s="5">
        <f>IF($L1130&gt;0,UnilabUsage[[#This Row],[Free-of-Max]]/UnilabUsage[[#This Row],[Usage-Delta-MB]],UnilabUsage[[#This Row],[Free-of-Max]])</f>
        <v>927.63636363636363</v>
      </c>
    </row>
    <row r="1131" spans="1:14" x14ac:dyDescent="0.25">
      <c r="A1131" s="3">
        <v>45355</v>
      </c>
      <c r="B1131" s="15" t="s">
        <v>9</v>
      </c>
      <c r="C1131" s="16">
        <v>4</v>
      </c>
      <c r="D1131" s="16">
        <v>10440</v>
      </c>
      <c r="E1131" s="16">
        <v>10023</v>
      </c>
      <c r="F1131" s="16">
        <v>417</v>
      </c>
      <c r="G1131" s="16">
        <v>96</v>
      </c>
      <c r="H1131" s="16">
        <v>32768</v>
      </c>
      <c r="I1131" s="16">
        <v>1</v>
      </c>
      <c r="J1131" s="15" t="s">
        <v>1</v>
      </c>
      <c r="K1131" s="15" t="s">
        <v>10</v>
      </c>
      <c r="L1131" s="8">
        <f>UnilabUsage[[#This Row],[Used-MB]]-F1121</f>
        <v>50</v>
      </c>
      <c r="M1131">
        <f>UnilabUsage[[#This Row],[Max]]-UnilabUsage[[#This Row],[Used-MB]]</f>
        <v>32351</v>
      </c>
      <c r="N1131" s="5">
        <f>IF($L1131&gt;0,UnilabUsage[[#This Row],[Free-of-Max]]/UnilabUsage[[#This Row],[Usage-Delta-MB]],UnilabUsage[[#This Row],[Free-of-Max]])</f>
        <v>647.02</v>
      </c>
    </row>
    <row r="1132" spans="1:14" x14ac:dyDescent="0.25">
      <c r="A1132" s="3">
        <v>45362</v>
      </c>
      <c r="B1132" s="15" t="s">
        <v>7</v>
      </c>
      <c r="C1132" s="16">
        <v>95</v>
      </c>
      <c r="D1132" s="16">
        <v>2480</v>
      </c>
      <c r="E1132" s="16">
        <v>124</v>
      </c>
      <c r="F1132" s="16">
        <v>2356</v>
      </c>
      <c r="G1132" s="16">
        <v>5</v>
      </c>
      <c r="H1132" s="16">
        <v>32768</v>
      </c>
      <c r="I1132" s="16">
        <v>7</v>
      </c>
      <c r="J1132" s="15" t="s">
        <v>1</v>
      </c>
      <c r="K1132" s="15" t="s">
        <v>2</v>
      </c>
      <c r="L1132" s="8">
        <f>UnilabUsage[[#This Row],[Used-MB]]-F1122</f>
        <v>8</v>
      </c>
      <c r="M1132">
        <f>UnilabUsage[[#This Row],[Max]]-UnilabUsage[[#This Row],[Used-MB]]</f>
        <v>30412</v>
      </c>
      <c r="N1132" s="5">
        <f>IF($L1132&gt;0,UnilabUsage[[#This Row],[Free-of-Max]]/UnilabUsage[[#This Row],[Usage-Delta-MB]],UnilabUsage[[#This Row],[Free-of-Max]])</f>
        <v>3801.5</v>
      </c>
    </row>
    <row r="1133" spans="1:14" x14ac:dyDescent="0.25">
      <c r="A1133" s="3">
        <v>45362</v>
      </c>
      <c r="B1133" s="15" t="s">
        <v>0</v>
      </c>
      <c r="C1133" s="16">
        <v>100</v>
      </c>
      <c r="D1133" s="16">
        <v>24150</v>
      </c>
      <c r="E1133" s="16">
        <v>18</v>
      </c>
      <c r="F1133" s="16">
        <v>24132</v>
      </c>
      <c r="G1133" s="16">
        <v>0</v>
      </c>
      <c r="H1133" s="16">
        <v>32768</v>
      </c>
      <c r="I1133" s="16">
        <v>74</v>
      </c>
      <c r="J1133" s="15" t="s">
        <v>1</v>
      </c>
      <c r="K1133" s="15" t="s">
        <v>2</v>
      </c>
      <c r="L1133" s="8">
        <f>UnilabUsage[[#This Row],[Used-MB]]-F1123</f>
        <v>64</v>
      </c>
      <c r="M1133">
        <f>UnilabUsage[[#This Row],[Max]]-UnilabUsage[[#This Row],[Used-MB]]</f>
        <v>8636</v>
      </c>
      <c r="N1133" s="5">
        <f>IF($L1133&gt;0,UnilabUsage[[#This Row],[Free-of-Max]]/UnilabUsage[[#This Row],[Usage-Delta-MB]],UnilabUsage[[#This Row],[Free-of-Max]])</f>
        <v>134.9375</v>
      </c>
    </row>
    <row r="1134" spans="1:14" x14ac:dyDescent="0.25">
      <c r="A1134" s="3">
        <v>45362</v>
      </c>
      <c r="B1134" s="15" t="s">
        <v>11</v>
      </c>
      <c r="C1134" s="16">
        <v>1</v>
      </c>
      <c r="D1134" s="16">
        <v>100</v>
      </c>
      <c r="E1134" s="16">
        <v>99</v>
      </c>
      <c r="F1134" s="16">
        <v>1</v>
      </c>
      <c r="G1134" s="16">
        <v>99</v>
      </c>
      <c r="H1134" s="16">
        <v>32768</v>
      </c>
      <c r="I1134" s="16">
        <v>0</v>
      </c>
      <c r="J1134" s="15" t="s">
        <v>1</v>
      </c>
      <c r="K1134" s="15" t="s">
        <v>2</v>
      </c>
      <c r="L1134" s="8">
        <f>UnilabUsage[[#This Row],[Used-MB]]-F1124</f>
        <v>0</v>
      </c>
      <c r="M1134">
        <f>UnilabUsage[[#This Row],[Max]]-UnilabUsage[[#This Row],[Used-MB]]</f>
        <v>32767</v>
      </c>
      <c r="N1134" s="5">
        <f>IF($L1134&gt;0,UnilabUsage[[#This Row],[Free-of-Max]]/UnilabUsage[[#This Row],[Usage-Delta-MB]],UnilabUsage[[#This Row],[Free-of-Max]])</f>
        <v>32767</v>
      </c>
    </row>
    <row r="1135" spans="1:14" x14ac:dyDescent="0.25">
      <c r="A1135" s="3">
        <v>45362</v>
      </c>
      <c r="B1135" s="15" t="s">
        <v>6</v>
      </c>
      <c r="C1135" s="16">
        <v>95</v>
      </c>
      <c r="D1135" s="16">
        <v>7775</v>
      </c>
      <c r="E1135" s="16">
        <v>376</v>
      </c>
      <c r="F1135" s="16">
        <v>7399</v>
      </c>
      <c r="G1135" s="16">
        <v>5</v>
      </c>
      <c r="H1135" s="16">
        <v>32768</v>
      </c>
      <c r="I1135" s="16">
        <v>23</v>
      </c>
      <c r="J1135" s="15" t="s">
        <v>1</v>
      </c>
      <c r="K1135" s="15" t="s">
        <v>2</v>
      </c>
      <c r="L1135" s="8">
        <f>UnilabUsage[[#This Row],[Used-MB]]-F1125</f>
        <v>1</v>
      </c>
      <c r="M1135">
        <f>UnilabUsage[[#This Row],[Max]]-UnilabUsage[[#This Row],[Used-MB]]</f>
        <v>25369</v>
      </c>
      <c r="N1135" s="5">
        <f>IF($L1135&gt;0,UnilabUsage[[#This Row],[Free-of-Max]]/UnilabUsage[[#This Row],[Usage-Delta-MB]],UnilabUsage[[#This Row],[Free-of-Max]])</f>
        <v>25369</v>
      </c>
    </row>
    <row r="1136" spans="1:14" x14ac:dyDescent="0.25">
      <c r="A1136" s="3">
        <v>45362</v>
      </c>
      <c r="B1136" s="15" t="s">
        <v>3</v>
      </c>
      <c r="C1136" s="16">
        <v>93</v>
      </c>
      <c r="D1136" s="16">
        <v>491518</v>
      </c>
      <c r="E1136" s="16">
        <v>35052</v>
      </c>
      <c r="F1136" s="16">
        <v>456466</v>
      </c>
      <c r="G1136" s="16">
        <v>7</v>
      </c>
      <c r="H1136" s="16">
        <v>491520</v>
      </c>
      <c r="I1136" s="16">
        <v>93</v>
      </c>
      <c r="J1136" s="15" t="s">
        <v>1</v>
      </c>
      <c r="K1136" s="15" t="s">
        <v>2</v>
      </c>
      <c r="L1136" s="8">
        <f>UnilabUsage[[#This Row],[Used-MB]]-F1126</f>
        <v>465</v>
      </c>
      <c r="M1136">
        <f>UnilabUsage[[#This Row],[Max]]-UnilabUsage[[#This Row],[Used-MB]]</f>
        <v>35054</v>
      </c>
      <c r="N1136" s="5">
        <f>IF($L1136&gt;0,UnilabUsage[[#This Row],[Free-of-Max]]/UnilabUsage[[#This Row],[Usage-Delta-MB]],UnilabUsage[[#This Row],[Free-of-Max]])</f>
        <v>75.384946236559145</v>
      </c>
    </row>
    <row r="1137" spans="1:14" x14ac:dyDescent="0.25">
      <c r="A1137" s="3">
        <v>45362</v>
      </c>
      <c r="B1137" s="15" t="s">
        <v>5</v>
      </c>
      <c r="C1137" s="16">
        <v>96</v>
      </c>
      <c r="D1137" s="16">
        <v>24500</v>
      </c>
      <c r="E1137" s="16">
        <v>1050</v>
      </c>
      <c r="F1137" s="16">
        <v>23450</v>
      </c>
      <c r="G1137" s="16">
        <v>4</v>
      </c>
      <c r="H1137" s="16">
        <v>32768</v>
      </c>
      <c r="I1137" s="16">
        <v>72</v>
      </c>
      <c r="J1137" s="15" t="s">
        <v>1</v>
      </c>
      <c r="K1137" s="15" t="s">
        <v>2</v>
      </c>
      <c r="L1137" s="8">
        <f>UnilabUsage[[#This Row],[Used-MB]]-F1127</f>
        <v>128</v>
      </c>
      <c r="M1137">
        <f>UnilabUsage[[#This Row],[Max]]-UnilabUsage[[#This Row],[Used-MB]]</f>
        <v>9318</v>
      </c>
      <c r="N1137" s="5">
        <f>IF($L1137&gt;0,UnilabUsage[[#This Row],[Free-of-Max]]/UnilabUsage[[#This Row],[Usage-Delta-MB]],UnilabUsage[[#This Row],[Free-of-Max]])</f>
        <v>72.796875</v>
      </c>
    </row>
    <row r="1138" spans="1:14" x14ac:dyDescent="0.25">
      <c r="A1138" s="3">
        <v>45362</v>
      </c>
      <c r="B1138" s="15" t="s">
        <v>8</v>
      </c>
      <c r="C1138" s="16">
        <v>92</v>
      </c>
      <c r="D1138" s="16">
        <v>327680</v>
      </c>
      <c r="E1138" s="16">
        <v>26317</v>
      </c>
      <c r="F1138" s="16">
        <v>301363</v>
      </c>
      <c r="G1138" s="16">
        <v>8</v>
      </c>
      <c r="H1138" s="16">
        <v>327680</v>
      </c>
      <c r="I1138" s="16">
        <v>92</v>
      </c>
      <c r="J1138" s="15" t="s">
        <v>1</v>
      </c>
      <c r="K1138" s="15" t="s">
        <v>2</v>
      </c>
      <c r="L1138" s="8">
        <f>UnilabUsage[[#This Row],[Used-MB]]-F1128</f>
        <v>556</v>
      </c>
      <c r="M1138">
        <f>UnilabUsage[[#This Row],[Max]]-UnilabUsage[[#This Row],[Used-MB]]</f>
        <v>26317</v>
      </c>
      <c r="N1138" s="5">
        <f>IF($L1138&gt;0,UnilabUsage[[#This Row],[Free-of-Max]]/UnilabUsage[[#This Row],[Usage-Delta-MB]],UnilabUsage[[#This Row],[Free-of-Max]])</f>
        <v>47.332733812949641</v>
      </c>
    </row>
    <row r="1139" spans="1:14" x14ac:dyDescent="0.25">
      <c r="A1139" s="3">
        <v>45362</v>
      </c>
      <c r="B1139" s="15" t="s">
        <v>4</v>
      </c>
      <c r="C1139" s="16">
        <v>96</v>
      </c>
      <c r="D1139" s="16">
        <v>99260</v>
      </c>
      <c r="E1139" s="16">
        <v>3843</v>
      </c>
      <c r="F1139" s="16">
        <v>95417</v>
      </c>
      <c r="G1139" s="16">
        <v>4</v>
      </c>
      <c r="H1139" s="16">
        <v>131072</v>
      </c>
      <c r="I1139" s="16">
        <v>73</v>
      </c>
      <c r="J1139" s="15" t="s">
        <v>1</v>
      </c>
      <c r="K1139" s="15" t="s">
        <v>2</v>
      </c>
      <c r="L1139" s="8">
        <f>UnilabUsage[[#This Row],[Used-MB]]-F1129</f>
        <v>128</v>
      </c>
      <c r="M1139">
        <f>UnilabUsage[[#This Row],[Max]]-UnilabUsage[[#This Row],[Used-MB]]</f>
        <v>35655</v>
      </c>
      <c r="N1139" s="5">
        <f>IF($L1139&gt;0,UnilabUsage[[#This Row],[Free-of-Max]]/UnilabUsage[[#This Row],[Usage-Delta-MB]],UnilabUsage[[#This Row],[Free-of-Max]])</f>
        <v>278.5546875</v>
      </c>
    </row>
    <row r="1140" spans="1:14" x14ac:dyDescent="0.25">
      <c r="A1140" s="3">
        <v>45362</v>
      </c>
      <c r="B1140" s="15" t="s">
        <v>12</v>
      </c>
      <c r="C1140" s="16">
        <v>0</v>
      </c>
      <c r="D1140" s="16">
        <v>30720</v>
      </c>
      <c r="E1140" s="16">
        <v>30650</v>
      </c>
      <c r="F1140" s="16">
        <v>70</v>
      </c>
      <c r="G1140" s="16">
        <v>100</v>
      </c>
      <c r="H1140" s="16">
        <v>30720</v>
      </c>
      <c r="I1140" s="16">
        <v>0</v>
      </c>
      <c r="J1140" s="15" t="s">
        <v>1</v>
      </c>
      <c r="K1140" s="15" t="s">
        <v>13</v>
      </c>
      <c r="L1140" s="8">
        <f>UnilabUsage[[#This Row],[Used-MB]]-F1130</f>
        <v>-38</v>
      </c>
      <c r="M1140">
        <f>UnilabUsage[[#This Row],[Max]]-UnilabUsage[[#This Row],[Used-MB]]</f>
        <v>30650</v>
      </c>
      <c r="N1140" s="5">
        <f>IF($L1140&gt;0,UnilabUsage[[#This Row],[Free-of-Max]]/UnilabUsage[[#This Row],[Usage-Delta-MB]],UnilabUsage[[#This Row],[Free-of-Max]])</f>
        <v>30650</v>
      </c>
    </row>
    <row r="1141" spans="1:14" x14ac:dyDescent="0.25">
      <c r="A1141" s="3">
        <v>45362</v>
      </c>
      <c r="B1141" s="15" t="s">
        <v>9</v>
      </c>
      <c r="C1141" s="16">
        <v>4</v>
      </c>
      <c r="D1141" s="16">
        <v>10440</v>
      </c>
      <c r="E1141" s="16">
        <v>10052</v>
      </c>
      <c r="F1141" s="16">
        <v>388</v>
      </c>
      <c r="G1141" s="16">
        <v>96</v>
      </c>
      <c r="H1141" s="16">
        <v>32768</v>
      </c>
      <c r="I1141" s="16">
        <v>1</v>
      </c>
      <c r="J1141" s="15" t="s">
        <v>1</v>
      </c>
      <c r="K1141" s="15" t="s">
        <v>10</v>
      </c>
      <c r="L1141" s="8">
        <f>UnilabUsage[[#This Row],[Used-MB]]-F1131</f>
        <v>-29</v>
      </c>
      <c r="M1141">
        <f>UnilabUsage[[#This Row],[Max]]-UnilabUsage[[#This Row],[Used-MB]]</f>
        <v>32380</v>
      </c>
      <c r="N1141" s="5">
        <f>IF($L1141&gt;0,UnilabUsage[[#This Row],[Free-of-Max]]/UnilabUsage[[#This Row],[Usage-Delta-MB]],UnilabUsage[[#This Row],[Free-of-Max]])</f>
        <v>32380</v>
      </c>
    </row>
    <row r="1142" spans="1:14" x14ac:dyDescent="0.25">
      <c r="A1142" s="3">
        <v>45376</v>
      </c>
      <c r="B1142" s="15" t="s">
        <v>7</v>
      </c>
      <c r="C1142" s="16">
        <v>95</v>
      </c>
      <c r="D1142" s="16">
        <v>2560</v>
      </c>
      <c r="E1142" s="16">
        <v>124</v>
      </c>
      <c r="F1142" s="16">
        <v>2436</v>
      </c>
      <c r="G1142" s="16">
        <v>5</v>
      </c>
      <c r="H1142" s="16">
        <v>32768</v>
      </c>
      <c r="I1142" s="16">
        <v>7</v>
      </c>
      <c r="J1142" s="15" t="s">
        <v>1</v>
      </c>
      <c r="K1142" s="15" t="s">
        <v>2</v>
      </c>
      <c r="L1142" s="8">
        <f>UnilabUsage[[#This Row],[Used-MB]]-F1132</f>
        <v>80</v>
      </c>
      <c r="M1142">
        <f>UnilabUsage[[#This Row],[Max]]-UnilabUsage[[#This Row],[Used-MB]]</f>
        <v>30332</v>
      </c>
      <c r="N1142" s="5">
        <f>IF($L1142&gt;0,UnilabUsage[[#This Row],[Free-of-Max]]/UnilabUsage[[#This Row],[Usage-Delta-MB]],UnilabUsage[[#This Row],[Free-of-Max]])</f>
        <v>379.15</v>
      </c>
    </row>
    <row r="1143" spans="1:14" x14ac:dyDescent="0.25">
      <c r="A1143" s="3">
        <v>45376</v>
      </c>
      <c r="B1143" s="15" t="s">
        <v>0</v>
      </c>
      <c r="C1143" s="16">
        <v>100</v>
      </c>
      <c r="D1143" s="16">
        <v>24350</v>
      </c>
      <c r="E1143" s="16">
        <v>88</v>
      </c>
      <c r="F1143" s="16">
        <v>24262</v>
      </c>
      <c r="G1143" s="16">
        <v>0</v>
      </c>
      <c r="H1143" s="16">
        <v>32768</v>
      </c>
      <c r="I1143" s="16">
        <v>74</v>
      </c>
      <c r="J1143" s="15" t="s">
        <v>1</v>
      </c>
      <c r="K1143" s="15" t="s">
        <v>2</v>
      </c>
      <c r="L1143" s="8">
        <f>UnilabUsage[[#This Row],[Used-MB]]-F1133</f>
        <v>130</v>
      </c>
      <c r="M1143">
        <f>UnilabUsage[[#This Row],[Max]]-UnilabUsage[[#This Row],[Used-MB]]</f>
        <v>8506</v>
      </c>
      <c r="N1143" s="5">
        <f>IF($L1143&gt;0,UnilabUsage[[#This Row],[Free-of-Max]]/UnilabUsage[[#This Row],[Usage-Delta-MB]],UnilabUsage[[#This Row],[Free-of-Max]])</f>
        <v>65.430769230769229</v>
      </c>
    </row>
    <row r="1144" spans="1:14" x14ac:dyDescent="0.25">
      <c r="A1144" s="3">
        <v>45376</v>
      </c>
      <c r="B1144" s="15" t="s">
        <v>11</v>
      </c>
      <c r="C1144" s="16">
        <v>1</v>
      </c>
      <c r="D1144" s="16">
        <v>100</v>
      </c>
      <c r="E1144" s="16">
        <v>99</v>
      </c>
      <c r="F1144" s="16">
        <v>1</v>
      </c>
      <c r="G1144" s="16">
        <v>99</v>
      </c>
      <c r="H1144" s="16">
        <v>32768</v>
      </c>
      <c r="I1144" s="16">
        <v>0</v>
      </c>
      <c r="J1144" s="15" t="s">
        <v>1</v>
      </c>
      <c r="K1144" s="15" t="s">
        <v>2</v>
      </c>
      <c r="L1144" s="8">
        <f>UnilabUsage[[#This Row],[Used-MB]]-F1134</f>
        <v>0</v>
      </c>
      <c r="M1144">
        <f>UnilabUsage[[#This Row],[Max]]-UnilabUsage[[#This Row],[Used-MB]]</f>
        <v>32767</v>
      </c>
      <c r="N1144" s="5">
        <f>IF($L1144&gt;0,UnilabUsage[[#This Row],[Free-of-Max]]/UnilabUsage[[#This Row],[Usage-Delta-MB]],UnilabUsage[[#This Row],[Free-of-Max]])</f>
        <v>32767</v>
      </c>
    </row>
    <row r="1145" spans="1:14" x14ac:dyDescent="0.25">
      <c r="A1145" s="3">
        <v>45376</v>
      </c>
      <c r="B1145" s="15" t="s">
        <v>6</v>
      </c>
      <c r="C1145" s="16">
        <v>95</v>
      </c>
      <c r="D1145" s="16">
        <v>7775</v>
      </c>
      <c r="E1145" s="16">
        <v>375</v>
      </c>
      <c r="F1145" s="16">
        <v>7400</v>
      </c>
      <c r="G1145" s="16">
        <v>5</v>
      </c>
      <c r="H1145" s="16">
        <v>32768</v>
      </c>
      <c r="I1145" s="16">
        <v>23</v>
      </c>
      <c r="J1145" s="15" t="s">
        <v>1</v>
      </c>
      <c r="K1145" s="15" t="s">
        <v>2</v>
      </c>
      <c r="L1145" s="8">
        <f>UnilabUsage[[#This Row],[Used-MB]]-F1135</f>
        <v>1</v>
      </c>
      <c r="M1145">
        <f>UnilabUsage[[#This Row],[Max]]-UnilabUsage[[#This Row],[Used-MB]]</f>
        <v>25368</v>
      </c>
      <c r="N1145" s="5">
        <f>IF($L1145&gt;0,UnilabUsage[[#This Row],[Free-of-Max]]/UnilabUsage[[#This Row],[Usage-Delta-MB]],UnilabUsage[[#This Row],[Free-of-Max]])</f>
        <v>25368</v>
      </c>
    </row>
    <row r="1146" spans="1:14" x14ac:dyDescent="0.25">
      <c r="A1146" s="3">
        <v>45376</v>
      </c>
      <c r="B1146" s="15" t="s">
        <v>3</v>
      </c>
      <c r="C1146" s="16">
        <v>93</v>
      </c>
      <c r="D1146" s="16">
        <v>491518</v>
      </c>
      <c r="E1146" s="16">
        <v>33960</v>
      </c>
      <c r="F1146" s="16">
        <v>457558</v>
      </c>
      <c r="G1146" s="16">
        <v>7</v>
      </c>
      <c r="H1146" s="16">
        <v>491520</v>
      </c>
      <c r="I1146" s="16">
        <v>93</v>
      </c>
      <c r="J1146" s="15" t="s">
        <v>1</v>
      </c>
      <c r="K1146" s="15" t="s">
        <v>2</v>
      </c>
      <c r="L1146" s="8">
        <f>UnilabUsage[[#This Row],[Used-MB]]-F1136</f>
        <v>1092</v>
      </c>
      <c r="M1146">
        <f>UnilabUsage[[#This Row],[Max]]-UnilabUsage[[#This Row],[Used-MB]]</f>
        <v>33962</v>
      </c>
      <c r="N1146" s="5">
        <f>IF($L1146&gt;0,UnilabUsage[[#This Row],[Free-of-Max]]/UnilabUsage[[#This Row],[Usage-Delta-MB]],UnilabUsage[[#This Row],[Free-of-Max]])</f>
        <v>31.100732600732602</v>
      </c>
    </row>
    <row r="1147" spans="1:14" x14ac:dyDescent="0.25">
      <c r="A1147" s="3">
        <v>45376</v>
      </c>
      <c r="B1147" s="15" t="s">
        <v>5</v>
      </c>
      <c r="C1147" s="16">
        <v>96</v>
      </c>
      <c r="D1147" s="16">
        <v>24500</v>
      </c>
      <c r="E1147" s="16">
        <v>1041</v>
      </c>
      <c r="F1147" s="16">
        <v>23459</v>
      </c>
      <c r="G1147" s="16">
        <v>4</v>
      </c>
      <c r="H1147" s="16">
        <v>32768</v>
      </c>
      <c r="I1147" s="16">
        <v>72</v>
      </c>
      <c r="J1147" s="15" t="s">
        <v>1</v>
      </c>
      <c r="K1147" s="15" t="s">
        <v>2</v>
      </c>
      <c r="L1147" s="8">
        <f>UnilabUsage[[#This Row],[Used-MB]]-F1137</f>
        <v>9</v>
      </c>
      <c r="M1147">
        <f>UnilabUsage[[#This Row],[Max]]-UnilabUsage[[#This Row],[Used-MB]]</f>
        <v>9309</v>
      </c>
      <c r="N1147" s="5">
        <f>IF($L1147&gt;0,UnilabUsage[[#This Row],[Free-of-Max]]/UnilabUsage[[#This Row],[Usage-Delta-MB]],UnilabUsage[[#This Row],[Free-of-Max]])</f>
        <v>1034.3333333333333</v>
      </c>
    </row>
    <row r="1148" spans="1:14" x14ac:dyDescent="0.25">
      <c r="A1148" s="3">
        <v>45376</v>
      </c>
      <c r="B1148" s="15" t="s">
        <v>8</v>
      </c>
      <c r="C1148" s="16">
        <v>92</v>
      </c>
      <c r="D1148" s="16">
        <v>327680</v>
      </c>
      <c r="E1148" s="16">
        <v>25350</v>
      </c>
      <c r="F1148" s="16">
        <v>302330</v>
      </c>
      <c r="G1148" s="16">
        <v>8</v>
      </c>
      <c r="H1148" s="16">
        <v>327680</v>
      </c>
      <c r="I1148" s="16">
        <v>92</v>
      </c>
      <c r="J1148" s="15" t="s">
        <v>1</v>
      </c>
      <c r="K1148" s="15" t="s">
        <v>2</v>
      </c>
      <c r="L1148" s="8">
        <f>UnilabUsage[[#This Row],[Used-MB]]-F1138</f>
        <v>967</v>
      </c>
      <c r="M1148">
        <f>UnilabUsage[[#This Row],[Max]]-UnilabUsage[[#This Row],[Used-MB]]</f>
        <v>25350</v>
      </c>
      <c r="N1148" s="5">
        <f>IF($L1148&gt;0,UnilabUsage[[#This Row],[Free-of-Max]]/UnilabUsage[[#This Row],[Usage-Delta-MB]],UnilabUsage[[#This Row],[Free-of-Max]])</f>
        <v>26.215098241985523</v>
      </c>
    </row>
    <row r="1149" spans="1:14" x14ac:dyDescent="0.25">
      <c r="A1149" s="3">
        <v>45376</v>
      </c>
      <c r="B1149" s="15" t="s">
        <v>4</v>
      </c>
      <c r="C1149" s="16">
        <v>96</v>
      </c>
      <c r="D1149" s="16">
        <v>99260</v>
      </c>
      <c r="E1149" s="16">
        <v>3523</v>
      </c>
      <c r="F1149" s="16">
        <v>95737</v>
      </c>
      <c r="G1149" s="16">
        <v>4</v>
      </c>
      <c r="H1149" s="16">
        <v>131072</v>
      </c>
      <c r="I1149" s="16">
        <v>73</v>
      </c>
      <c r="J1149" s="15" t="s">
        <v>1</v>
      </c>
      <c r="K1149" s="15" t="s">
        <v>2</v>
      </c>
      <c r="L1149" s="8">
        <f>UnilabUsage[[#This Row],[Used-MB]]-F1139</f>
        <v>320</v>
      </c>
      <c r="M1149">
        <f>UnilabUsage[[#This Row],[Max]]-UnilabUsage[[#This Row],[Used-MB]]</f>
        <v>35335</v>
      </c>
      <c r="N1149" s="5">
        <f>IF($L1149&gt;0,UnilabUsage[[#This Row],[Free-of-Max]]/UnilabUsage[[#This Row],[Usage-Delta-MB]],UnilabUsage[[#This Row],[Free-of-Max]])</f>
        <v>110.421875</v>
      </c>
    </row>
    <row r="1150" spans="1:14" x14ac:dyDescent="0.25">
      <c r="A1150" s="3">
        <v>45376</v>
      </c>
      <c r="B1150" s="15" t="s">
        <v>12</v>
      </c>
      <c r="C1150" s="16">
        <v>0</v>
      </c>
      <c r="D1150" s="16">
        <v>30720</v>
      </c>
      <c r="E1150" s="16">
        <v>30645</v>
      </c>
      <c r="F1150" s="16">
        <v>75</v>
      </c>
      <c r="G1150" s="16">
        <v>100</v>
      </c>
      <c r="H1150" s="16">
        <v>30720</v>
      </c>
      <c r="I1150" s="16">
        <v>0</v>
      </c>
      <c r="J1150" s="15" t="s">
        <v>1</v>
      </c>
      <c r="K1150" s="15" t="s">
        <v>13</v>
      </c>
      <c r="L1150" s="8">
        <f>UnilabUsage[[#This Row],[Used-MB]]-F1140</f>
        <v>5</v>
      </c>
      <c r="M1150">
        <f>UnilabUsage[[#This Row],[Max]]-UnilabUsage[[#This Row],[Used-MB]]</f>
        <v>30645</v>
      </c>
      <c r="N1150" s="5">
        <f>IF($L1150&gt;0,UnilabUsage[[#This Row],[Free-of-Max]]/UnilabUsage[[#This Row],[Usage-Delta-MB]],UnilabUsage[[#This Row],[Free-of-Max]])</f>
        <v>6129</v>
      </c>
    </row>
    <row r="1151" spans="1:14" x14ac:dyDescent="0.25">
      <c r="A1151" s="3">
        <v>45376</v>
      </c>
      <c r="B1151" s="15" t="s">
        <v>9</v>
      </c>
      <c r="C1151" s="16">
        <v>5</v>
      </c>
      <c r="D1151" s="16">
        <v>10440</v>
      </c>
      <c r="E1151" s="16">
        <v>9917</v>
      </c>
      <c r="F1151" s="16">
        <v>523</v>
      </c>
      <c r="G1151" s="16">
        <v>95</v>
      </c>
      <c r="H1151" s="16">
        <v>32768</v>
      </c>
      <c r="I1151" s="16">
        <v>2</v>
      </c>
      <c r="J1151" s="15" t="s">
        <v>1</v>
      </c>
      <c r="K1151" s="15" t="s">
        <v>10</v>
      </c>
      <c r="L1151" s="8">
        <f>UnilabUsage[[#This Row],[Used-MB]]-F1141</f>
        <v>135</v>
      </c>
      <c r="M1151">
        <f>UnilabUsage[[#This Row],[Max]]-UnilabUsage[[#This Row],[Used-MB]]</f>
        <v>32245</v>
      </c>
      <c r="N1151" s="5">
        <f>IF($L1151&gt;0,UnilabUsage[[#This Row],[Free-of-Max]]/UnilabUsage[[#This Row],[Usage-Delta-MB]],UnilabUsage[[#This Row],[Free-of-Max]])</f>
        <v>238.85185185185185</v>
      </c>
    </row>
    <row r="1152" spans="1:14" x14ac:dyDescent="0.25">
      <c r="A1152" s="3">
        <v>45386</v>
      </c>
      <c r="B1152" s="15" t="s">
        <v>7</v>
      </c>
      <c r="C1152" s="16">
        <v>95</v>
      </c>
      <c r="D1152" s="16">
        <v>2560</v>
      </c>
      <c r="E1152" s="16">
        <v>126</v>
      </c>
      <c r="F1152" s="16">
        <v>2434</v>
      </c>
      <c r="G1152" s="16">
        <v>5</v>
      </c>
      <c r="H1152" s="16">
        <v>32768</v>
      </c>
      <c r="I1152" s="16">
        <v>7</v>
      </c>
      <c r="J1152" s="15" t="s">
        <v>1</v>
      </c>
      <c r="K1152" s="15" t="s">
        <v>2</v>
      </c>
      <c r="L1152" s="8">
        <f>UnilabUsage[[#This Row],[Used-MB]]-F1142</f>
        <v>-2</v>
      </c>
      <c r="M1152">
        <f>UnilabUsage[[#This Row],[Max]]-UnilabUsage[[#This Row],[Used-MB]]</f>
        <v>30334</v>
      </c>
      <c r="N1152" s="5">
        <f>IF($L1152&gt;0,UnilabUsage[[#This Row],[Free-of-Max]]/UnilabUsage[[#This Row],[Usage-Delta-MB]],UnilabUsage[[#This Row],[Free-of-Max]])</f>
        <v>30334</v>
      </c>
    </row>
    <row r="1153" spans="1:14" x14ac:dyDescent="0.25">
      <c r="A1153" s="3">
        <v>45386</v>
      </c>
      <c r="B1153" s="15" t="s">
        <v>0</v>
      </c>
      <c r="C1153" s="16">
        <v>100</v>
      </c>
      <c r="D1153" s="16">
        <v>24350</v>
      </c>
      <c r="E1153" s="16">
        <v>24</v>
      </c>
      <c r="F1153" s="16">
        <v>24326</v>
      </c>
      <c r="G1153" s="16">
        <v>0</v>
      </c>
      <c r="H1153" s="16">
        <v>32768</v>
      </c>
      <c r="I1153" s="16">
        <v>74</v>
      </c>
      <c r="J1153" s="15" t="s">
        <v>1</v>
      </c>
      <c r="K1153" s="15" t="s">
        <v>2</v>
      </c>
      <c r="L1153" s="8">
        <f>UnilabUsage[[#This Row],[Used-MB]]-F1143</f>
        <v>64</v>
      </c>
      <c r="M1153">
        <f>UnilabUsage[[#This Row],[Max]]-UnilabUsage[[#This Row],[Used-MB]]</f>
        <v>8442</v>
      </c>
      <c r="N1153" s="5">
        <f>IF($L1153&gt;0,UnilabUsage[[#This Row],[Free-of-Max]]/UnilabUsage[[#This Row],[Usage-Delta-MB]],UnilabUsage[[#This Row],[Free-of-Max]])</f>
        <v>131.90625</v>
      </c>
    </row>
    <row r="1154" spans="1:14" x14ac:dyDescent="0.25">
      <c r="A1154" s="3">
        <v>45386</v>
      </c>
      <c r="B1154" s="15" t="s">
        <v>11</v>
      </c>
      <c r="C1154" s="16">
        <v>1</v>
      </c>
      <c r="D1154" s="16">
        <v>100</v>
      </c>
      <c r="E1154" s="16">
        <v>99</v>
      </c>
      <c r="F1154" s="16">
        <v>1</v>
      </c>
      <c r="G1154" s="16">
        <v>99</v>
      </c>
      <c r="H1154" s="16">
        <v>32768</v>
      </c>
      <c r="I1154" s="16">
        <v>0</v>
      </c>
      <c r="J1154" s="15" t="s">
        <v>1</v>
      </c>
      <c r="K1154" s="15" t="s">
        <v>2</v>
      </c>
      <c r="L1154" s="8">
        <f>UnilabUsage[[#This Row],[Used-MB]]-F1144</f>
        <v>0</v>
      </c>
      <c r="M1154">
        <f>UnilabUsage[[#This Row],[Max]]-UnilabUsage[[#This Row],[Used-MB]]</f>
        <v>32767</v>
      </c>
      <c r="N1154" s="5">
        <f>IF($L1154&gt;0,UnilabUsage[[#This Row],[Free-of-Max]]/UnilabUsage[[#This Row],[Usage-Delta-MB]],UnilabUsage[[#This Row],[Free-of-Max]])</f>
        <v>32767</v>
      </c>
    </row>
    <row r="1155" spans="1:14" x14ac:dyDescent="0.25">
      <c r="A1155" s="3">
        <v>45386</v>
      </c>
      <c r="B1155" s="15" t="s">
        <v>6</v>
      </c>
      <c r="C1155" s="16">
        <v>95</v>
      </c>
      <c r="D1155" s="16">
        <v>7775</v>
      </c>
      <c r="E1155" s="16">
        <v>373</v>
      </c>
      <c r="F1155" s="16">
        <v>7402</v>
      </c>
      <c r="G1155" s="16">
        <v>5</v>
      </c>
      <c r="H1155" s="16">
        <v>32768</v>
      </c>
      <c r="I1155" s="16">
        <v>23</v>
      </c>
      <c r="J1155" s="15" t="s">
        <v>1</v>
      </c>
      <c r="K1155" s="15" t="s">
        <v>2</v>
      </c>
      <c r="L1155" s="8">
        <f>UnilabUsage[[#This Row],[Used-MB]]-F1145</f>
        <v>2</v>
      </c>
      <c r="M1155">
        <f>UnilabUsage[[#This Row],[Max]]-UnilabUsage[[#This Row],[Used-MB]]</f>
        <v>25366</v>
      </c>
      <c r="N1155" s="5">
        <f>IF($L1155&gt;0,UnilabUsage[[#This Row],[Free-of-Max]]/UnilabUsage[[#This Row],[Usage-Delta-MB]],UnilabUsage[[#This Row],[Free-of-Max]])</f>
        <v>12683</v>
      </c>
    </row>
    <row r="1156" spans="1:14" x14ac:dyDescent="0.25">
      <c r="A1156" s="3">
        <v>45386</v>
      </c>
      <c r="B1156" s="15" t="s">
        <v>3</v>
      </c>
      <c r="C1156" s="16">
        <v>93</v>
      </c>
      <c r="D1156" s="16">
        <v>491518</v>
      </c>
      <c r="E1156" s="16">
        <v>33382</v>
      </c>
      <c r="F1156" s="16">
        <v>458136</v>
      </c>
      <c r="G1156" s="16">
        <v>7</v>
      </c>
      <c r="H1156" s="16">
        <v>491520</v>
      </c>
      <c r="I1156" s="16">
        <v>93</v>
      </c>
      <c r="J1156" s="15" t="s">
        <v>1</v>
      </c>
      <c r="K1156" s="15" t="s">
        <v>2</v>
      </c>
      <c r="L1156" s="8">
        <f>UnilabUsage[[#This Row],[Used-MB]]-F1146</f>
        <v>578</v>
      </c>
      <c r="M1156">
        <f>UnilabUsage[[#This Row],[Max]]-UnilabUsage[[#This Row],[Used-MB]]</f>
        <v>33384</v>
      </c>
      <c r="N1156" s="5">
        <f>IF($L1156&gt;0,UnilabUsage[[#This Row],[Free-of-Max]]/UnilabUsage[[#This Row],[Usage-Delta-MB]],UnilabUsage[[#This Row],[Free-of-Max]])</f>
        <v>57.757785467128031</v>
      </c>
    </row>
    <row r="1157" spans="1:14" x14ac:dyDescent="0.25">
      <c r="A1157" s="3">
        <v>45386</v>
      </c>
      <c r="B1157" s="15" t="s">
        <v>5</v>
      </c>
      <c r="C1157" s="16">
        <v>96</v>
      </c>
      <c r="D1157" s="16">
        <v>24700</v>
      </c>
      <c r="E1157" s="16">
        <v>1105</v>
      </c>
      <c r="F1157" s="16">
        <v>23595</v>
      </c>
      <c r="G1157" s="16">
        <v>4</v>
      </c>
      <c r="H1157" s="16">
        <v>32768</v>
      </c>
      <c r="I1157" s="16">
        <v>72</v>
      </c>
      <c r="J1157" s="15" t="s">
        <v>1</v>
      </c>
      <c r="K1157" s="15" t="s">
        <v>2</v>
      </c>
      <c r="L1157" s="8">
        <f>UnilabUsage[[#This Row],[Used-MB]]-F1147</f>
        <v>136</v>
      </c>
      <c r="M1157">
        <f>UnilabUsage[[#This Row],[Max]]-UnilabUsage[[#This Row],[Used-MB]]</f>
        <v>9173</v>
      </c>
      <c r="N1157" s="5">
        <f>IF($L1157&gt;0,UnilabUsage[[#This Row],[Free-of-Max]]/UnilabUsage[[#This Row],[Usage-Delta-MB]],UnilabUsage[[#This Row],[Free-of-Max]])</f>
        <v>67.44852941176471</v>
      </c>
    </row>
    <row r="1158" spans="1:14" x14ac:dyDescent="0.25">
      <c r="A1158" s="3">
        <v>45386</v>
      </c>
      <c r="B1158" s="15" t="s">
        <v>8</v>
      </c>
      <c r="C1158" s="16">
        <v>92</v>
      </c>
      <c r="D1158" s="16">
        <v>327680</v>
      </c>
      <c r="E1158" s="16">
        <v>24724</v>
      </c>
      <c r="F1158" s="16">
        <v>302956</v>
      </c>
      <c r="G1158" s="16">
        <v>8</v>
      </c>
      <c r="H1158" s="16">
        <v>327680</v>
      </c>
      <c r="I1158" s="16">
        <v>92</v>
      </c>
      <c r="J1158" s="15" t="s">
        <v>1</v>
      </c>
      <c r="K1158" s="15" t="s">
        <v>2</v>
      </c>
      <c r="L1158" s="8">
        <f>UnilabUsage[[#This Row],[Used-MB]]-F1148</f>
        <v>626</v>
      </c>
      <c r="M1158">
        <f>UnilabUsage[[#This Row],[Max]]-UnilabUsage[[#This Row],[Used-MB]]</f>
        <v>24724</v>
      </c>
      <c r="N1158" s="5">
        <f>IF($L1158&gt;0,UnilabUsage[[#This Row],[Free-of-Max]]/UnilabUsage[[#This Row],[Usage-Delta-MB]],UnilabUsage[[#This Row],[Free-of-Max]])</f>
        <v>39.495207667731627</v>
      </c>
    </row>
    <row r="1159" spans="1:14" x14ac:dyDescent="0.25">
      <c r="A1159" s="3">
        <v>45386</v>
      </c>
      <c r="B1159" s="15" t="s">
        <v>4</v>
      </c>
      <c r="C1159" s="16">
        <v>97</v>
      </c>
      <c r="D1159" s="16">
        <v>99260</v>
      </c>
      <c r="E1159" s="16">
        <v>3267</v>
      </c>
      <c r="F1159" s="16">
        <v>95993</v>
      </c>
      <c r="G1159" s="16">
        <v>3</v>
      </c>
      <c r="H1159" s="16">
        <v>131072</v>
      </c>
      <c r="I1159" s="16">
        <v>73</v>
      </c>
      <c r="J1159" s="15" t="s">
        <v>1</v>
      </c>
      <c r="K1159" s="15" t="s">
        <v>2</v>
      </c>
      <c r="L1159" s="8">
        <f>UnilabUsage[[#This Row],[Used-MB]]-F1149</f>
        <v>256</v>
      </c>
      <c r="M1159">
        <f>UnilabUsage[[#This Row],[Max]]-UnilabUsage[[#This Row],[Used-MB]]</f>
        <v>35079</v>
      </c>
      <c r="N1159" s="5">
        <f>IF($L1159&gt;0,UnilabUsage[[#This Row],[Free-of-Max]]/UnilabUsage[[#This Row],[Usage-Delta-MB]],UnilabUsage[[#This Row],[Free-of-Max]])</f>
        <v>137.02734375</v>
      </c>
    </row>
    <row r="1160" spans="1:14" x14ac:dyDescent="0.25">
      <c r="A1160" s="3">
        <v>45386</v>
      </c>
      <c r="B1160" s="15" t="s">
        <v>12</v>
      </c>
      <c r="C1160" s="16">
        <v>0</v>
      </c>
      <c r="D1160" s="16">
        <v>30720</v>
      </c>
      <c r="E1160" s="16">
        <v>30645</v>
      </c>
      <c r="F1160" s="16">
        <v>75</v>
      </c>
      <c r="G1160" s="16">
        <v>100</v>
      </c>
      <c r="H1160" s="16">
        <v>30720</v>
      </c>
      <c r="I1160" s="16">
        <v>0</v>
      </c>
      <c r="J1160" s="15" t="s">
        <v>1</v>
      </c>
      <c r="K1160" s="15" t="s">
        <v>13</v>
      </c>
      <c r="L1160" s="8">
        <f>UnilabUsage[[#This Row],[Used-MB]]-F1150</f>
        <v>0</v>
      </c>
      <c r="M1160">
        <f>UnilabUsage[[#This Row],[Max]]-UnilabUsage[[#This Row],[Used-MB]]</f>
        <v>30645</v>
      </c>
      <c r="N1160" s="5">
        <f>IF($L1160&gt;0,UnilabUsage[[#This Row],[Free-of-Max]]/UnilabUsage[[#This Row],[Usage-Delta-MB]],UnilabUsage[[#This Row],[Free-of-Max]])</f>
        <v>30645</v>
      </c>
    </row>
    <row r="1161" spans="1:14" x14ac:dyDescent="0.25">
      <c r="A1161" s="3">
        <v>45386</v>
      </c>
      <c r="B1161" s="15" t="s">
        <v>9</v>
      </c>
      <c r="C1161" s="16">
        <v>4</v>
      </c>
      <c r="D1161" s="16">
        <v>10440</v>
      </c>
      <c r="E1161" s="16">
        <v>9980</v>
      </c>
      <c r="F1161" s="16">
        <v>460</v>
      </c>
      <c r="G1161" s="16">
        <v>96</v>
      </c>
      <c r="H1161" s="16">
        <v>32768</v>
      </c>
      <c r="I1161" s="16">
        <v>1</v>
      </c>
      <c r="J1161" s="15" t="s">
        <v>1</v>
      </c>
      <c r="K1161" s="15" t="s">
        <v>10</v>
      </c>
      <c r="L1161" s="8">
        <f>UnilabUsage[[#This Row],[Used-MB]]-F1151</f>
        <v>-63</v>
      </c>
      <c r="M1161">
        <f>UnilabUsage[[#This Row],[Max]]-UnilabUsage[[#This Row],[Used-MB]]</f>
        <v>32308</v>
      </c>
      <c r="N1161" s="5">
        <f>IF($L1161&gt;0,UnilabUsage[[#This Row],[Free-of-Max]]/UnilabUsage[[#This Row],[Usage-Delta-MB]],UnilabUsage[[#This Row],[Free-of-Max]])</f>
        <v>32308</v>
      </c>
    </row>
    <row r="1162" spans="1:14" x14ac:dyDescent="0.25">
      <c r="A1162" s="3">
        <v>45397</v>
      </c>
      <c r="B1162" s="15" t="s">
        <v>7</v>
      </c>
      <c r="C1162" s="16">
        <v>95</v>
      </c>
      <c r="D1162" s="16">
        <v>2560</v>
      </c>
      <c r="E1162" s="16">
        <v>118</v>
      </c>
      <c r="F1162" s="16">
        <v>2442</v>
      </c>
      <c r="G1162" s="16">
        <v>5</v>
      </c>
      <c r="H1162" s="16">
        <v>32768</v>
      </c>
      <c r="I1162" s="16">
        <v>7</v>
      </c>
      <c r="J1162" s="15" t="s">
        <v>1</v>
      </c>
      <c r="K1162" s="15" t="s">
        <v>2</v>
      </c>
      <c r="L1162" s="8">
        <f>UnilabUsage[[#This Row],[Used-MB]]-F1152</f>
        <v>8</v>
      </c>
      <c r="M1162">
        <f>UnilabUsage[[#This Row],[Max]]-UnilabUsage[[#This Row],[Used-MB]]</f>
        <v>30326</v>
      </c>
      <c r="N1162" s="5">
        <f>IF($L1162&gt;0,UnilabUsage[[#This Row],[Free-of-Max]]/UnilabUsage[[#This Row],[Usage-Delta-MB]],UnilabUsage[[#This Row],[Free-of-Max]])</f>
        <v>3790.75</v>
      </c>
    </row>
    <row r="1163" spans="1:14" x14ac:dyDescent="0.25">
      <c r="A1163" s="3">
        <v>45397</v>
      </c>
      <c r="B1163" s="15" t="s">
        <v>0</v>
      </c>
      <c r="C1163" s="16">
        <v>100</v>
      </c>
      <c r="D1163" s="16">
        <v>24450</v>
      </c>
      <c r="E1163" s="16">
        <v>60</v>
      </c>
      <c r="F1163" s="16">
        <v>24390</v>
      </c>
      <c r="G1163" s="16">
        <v>0</v>
      </c>
      <c r="H1163" s="16">
        <v>32768</v>
      </c>
      <c r="I1163" s="16">
        <v>74</v>
      </c>
      <c r="J1163" s="15" t="s">
        <v>1</v>
      </c>
      <c r="K1163" s="15" t="s">
        <v>2</v>
      </c>
      <c r="L1163" s="8">
        <f>UnilabUsage[[#This Row],[Used-MB]]-F1153</f>
        <v>64</v>
      </c>
      <c r="M1163">
        <f>UnilabUsage[[#This Row],[Max]]-UnilabUsage[[#This Row],[Used-MB]]</f>
        <v>8378</v>
      </c>
      <c r="N1163" s="5">
        <f>IF($L1163&gt;0,UnilabUsage[[#This Row],[Free-of-Max]]/UnilabUsage[[#This Row],[Usage-Delta-MB]],UnilabUsage[[#This Row],[Free-of-Max]])</f>
        <v>130.90625</v>
      </c>
    </row>
    <row r="1164" spans="1:14" x14ac:dyDescent="0.25">
      <c r="A1164" s="3">
        <v>45397</v>
      </c>
      <c r="B1164" s="15" t="s">
        <v>11</v>
      </c>
      <c r="C1164" s="16">
        <v>1</v>
      </c>
      <c r="D1164" s="16">
        <v>100</v>
      </c>
      <c r="E1164" s="16">
        <v>99</v>
      </c>
      <c r="F1164" s="16">
        <v>1</v>
      </c>
      <c r="G1164" s="16">
        <v>99</v>
      </c>
      <c r="H1164" s="16">
        <v>32768</v>
      </c>
      <c r="I1164" s="16">
        <v>0</v>
      </c>
      <c r="J1164" s="15" t="s">
        <v>1</v>
      </c>
      <c r="K1164" s="15" t="s">
        <v>2</v>
      </c>
      <c r="L1164" s="8">
        <f>UnilabUsage[[#This Row],[Used-MB]]-F1154</f>
        <v>0</v>
      </c>
      <c r="M1164">
        <f>UnilabUsage[[#This Row],[Max]]-UnilabUsage[[#This Row],[Used-MB]]</f>
        <v>32767</v>
      </c>
      <c r="N1164" s="5">
        <f>IF($L1164&gt;0,UnilabUsage[[#This Row],[Free-of-Max]]/UnilabUsage[[#This Row],[Usage-Delta-MB]],UnilabUsage[[#This Row],[Free-of-Max]])</f>
        <v>32767</v>
      </c>
    </row>
    <row r="1165" spans="1:14" x14ac:dyDescent="0.25">
      <c r="A1165" s="3">
        <v>45397</v>
      </c>
      <c r="B1165" s="15" t="s">
        <v>6</v>
      </c>
      <c r="C1165" s="16">
        <v>95</v>
      </c>
      <c r="D1165" s="16">
        <v>7795</v>
      </c>
      <c r="E1165" s="16">
        <v>377</v>
      </c>
      <c r="F1165" s="16">
        <v>7418</v>
      </c>
      <c r="G1165" s="16">
        <v>5</v>
      </c>
      <c r="H1165" s="16">
        <v>32768</v>
      </c>
      <c r="I1165" s="16">
        <v>23</v>
      </c>
      <c r="J1165" s="15" t="s">
        <v>1</v>
      </c>
      <c r="K1165" s="15" t="s">
        <v>2</v>
      </c>
      <c r="L1165" s="8">
        <f>UnilabUsage[[#This Row],[Used-MB]]-F1155</f>
        <v>16</v>
      </c>
      <c r="M1165">
        <f>UnilabUsage[[#This Row],[Max]]-UnilabUsage[[#This Row],[Used-MB]]</f>
        <v>25350</v>
      </c>
      <c r="N1165" s="5">
        <f>IF($L1165&gt;0,UnilabUsage[[#This Row],[Free-of-Max]]/UnilabUsage[[#This Row],[Usage-Delta-MB]],UnilabUsage[[#This Row],[Free-of-Max]])</f>
        <v>1584.375</v>
      </c>
    </row>
    <row r="1166" spans="1:14" x14ac:dyDescent="0.25">
      <c r="A1166" s="3">
        <v>45397</v>
      </c>
      <c r="B1166" s="15" t="s">
        <v>3</v>
      </c>
      <c r="C1166" s="16">
        <v>93</v>
      </c>
      <c r="D1166" s="16">
        <v>491518</v>
      </c>
      <c r="E1166" s="16">
        <v>32481</v>
      </c>
      <c r="F1166" s="16">
        <v>459037</v>
      </c>
      <c r="G1166" s="16">
        <v>7</v>
      </c>
      <c r="H1166" s="16">
        <v>491520</v>
      </c>
      <c r="I1166" s="16">
        <v>93</v>
      </c>
      <c r="J1166" s="15" t="s">
        <v>1</v>
      </c>
      <c r="K1166" s="15" t="s">
        <v>2</v>
      </c>
      <c r="L1166" s="8">
        <f>UnilabUsage[[#This Row],[Used-MB]]-F1156</f>
        <v>901</v>
      </c>
      <c r="M1166">
        <f>UnilabUsage[[#This Row],[Max]]-UnilabUsage[[#This Row],[Used-MB]]</f>
        <v>32483</v>
      </c>
      <c r="N1166" s="5">
        <f>IF($L1166&gt;0,UnilabUsage[[#This Row],[Free-of-Max]]/UnilabUsage[[#This Row],[Usage-Delta-MB]],UnilabUsage[[#This Row],[Free-of-Max]])</f>
        <v>36.052164261931189</v>
      </c>
    </row>
    <row r="1167" spans="1:14" x14ac:dyDescent="0.25">
      <c r="A1167" s="3">
        <v>45397</v>
      </c>
      <c r="B1167" s="15" t="s">
        <v>5</v>
      </c>
      <c r="C1167" s="16">
        <v>96</v>
      </c>
      <c r="D1167" s="16">
        <v>24700</v>
      </c>
      <c r="E1167" s="16">
        <v>1085</v>
      </c>
      <c r="F1167" s="16">
        <v>23615</v>
      </c>
      <c r="G1167" s="16">
        <v>4</v>
      </c>
      <c r="H1167" s="16">
        <v>32768</v>
      </c>
      <c r="I1167" s="16">
        <v>72</v>
      </c>
      <c r="J1167" s="15" t="s">
        <v>1</v>
      </c>
      <c r="K1167" s="15" t="s">
        <v>2</v>
      </c>
      <c r="L1167" s="8">
        <f>UnilabUsage[[#This Row],[Used-MB]]-F1157</f>
        <v>20</v>
      </c>
      <c r="M1167">
        <f>UnilabUsage[[#This Row],[Max]]-UnilabUsage[[#This Row],[Used-MB]]</f>
        <v>9153</v>
      </c>
      <c r="N1167" s="5">
        <f>IF($L1167&gt;0,UnilabUsage[[#This Row],[Free-of-Max]]/UnilabUsage[[#This Row],[Usage-Delta-MB]],UnilabUsage[[#This Row],[Free-of-Max]])</f>
        <v>457.65</v>
      </c>
    </row>
    <row r="1168" spans="1:14" x14ac:dyDescent="0.25">
      <c r="A1168" s="3">
        <v>45397</v>
      </c>
      <c r="B1168" s="15" t="s">
        <v>8</v>
      </c>
      <c r="C1168" s="16">
        <v>93</v>
      </c>
      <c r="D1168" s="16">
        <v>327680</v>
      </c>
      <c r="E1168" s="16">
        <v>24241</v>
      </c>
      <c r="F1168" s="16">
        <v>303438</v>
      </c>
      <c r="G1168" s="16">
        <v>7</v>
      </c>
      <c r="H1168" s="16">
        <v>327680</v>
      </c>
      <c r="I1168" s="16">
        <v>93</v>
      </c>
      <c r="J1168" s="15" t="s">
        <v>1</v>
      </c>
      <c r="K1168" s="15" t="s">
        <v>2</v>
      </c>
      <c r="L1168" s="8">
        <f>UnilabUsage[[#This Row],[Used-MB]]-F1158</f>
        <v>482</v>
      </c>
      <c r="M1168">
        <f>UnilabUsage[[#This Row],[Max]]-UnilabUsage[[#This Row],[Used-MB]]</f>
        <v>24242</v>
      </c>
      <c r="N1168" s="5">
        <f>IF($L1168&gt;0,UnilabUsage[[#This Row],[Free-of-Max]]/UnilabUsage[[#This Row],[Usage-Delta-MB]],UnilabUsage[[#This Row],[Free-of-Max]])</f>
        <v>50.294605809128633</v>
      </c>
    </row>
    <row r="1169" spans="1:14" x14ac:dyDescent="0.25">
      <c r="A1169" s="3">
        <v>45397</v>
      </c>
      <c r="B1169" s="15" t="s">
        <v>4</v>
      </c>
      <c r="C1169" s="16">
        <v>97</v>
      </c>
      <c r="D1169" s="16">
        <v>99260</v>
      </c>
      <c r="E1169" s="16">
        <v>3203</v>
      </c>
      <c r="F1169" s="16">
        <v>96057</v>
      </c>
      <c r="G1169" s="16">
        <v>3</v>
      </c>
      <c r="H1169" s="16">
        <v>131072</v>
      </c>
      <c r="I1169" s="16">
        <v>73</v>
      </c>
      <c r="J1169" s="15" t="s">
        <v>1</v>
      </c>
      <c r="K1169" s="15" t="s">
        <v>2</v>
      </c>
      <c r="L1169" s="8">
        <f>UnilabUsage[[#This Row],[Used-MB]]-F1159</f>
        <v>64</v>
      </c>
      <c r="M1169">
        <f>UnilabUsage[[#This Row],[Max]]-UnilabUsage[[#This Row],[Used-MB]]</f>
        <v>35015</v>
      </c>
      <c r="N1169" s="5">
        <f>IF($L1169&gt;0,UnilabUsage[[#This Row],[Free-of-Max]]/UnilabUsage[[#This Row],[Usage-Delta-MB]],UnilabUsage[[#This Row],[Free-of-Max]])</f>
        <v>547.109375</v>
      </c>
    </row>
    <row r="1170" spans="1:14" x14ac:dyDescent="0.25">
      <c r="A1170" s="3">
        <v>45397</v>
      </c>
      <c r="B1170" s="15" t="s">
        <v>12</v>
      </c>
      <c r="C1170" s="16">
        <v>0</v>
      </c>
      <c r="D1170" s="16">
        <v>30720</v>
      </c>
      <c r="E1170" s="16">
        <v>30653</v>
      </c>
      <c r="F1170" s="16">
        <v>67</v>
      </c>
      <c r="G1170" s="16">
        <v>100</v>
      </c>
      <c r="H1170" s="16">
        <v>30720</v>
      </c>
      <c r="I1170" s="16">
        <v>0</v>
      </c>
      <c r="J1170" s="15" t="s">
        <v>1</v>
      </c>
      <c r="K1170" s="15" t="s">
        <v>13</v>
      </c>
      <c r="L1170" s="8">
        <f>UnilabUsage[[#This Row],[Used-MB]]-F1160</f>
        <v>-8</v>
      </c>
      <c r="M1170">
        <f>UnilabUsage[[#This Row],[Max]]-UnilabUsage[[#This Row],[Used-MB]]</f>
        <v>30653</v>
      </c>
      <c r="N1170" s="5">
        <f>IF($L1170&gt;0,UnilabUsage[[#This Row],[Free-of-Max]]/UnilabUsage[[#This Row],[Usage-Delta-MB]],UnilabUsage[[#This Row],[Free-of-Max]])</f>
        <v>30653</v>
      </c>
    </row>
    <row r="1171" spans="1:14" x14ac:dyDescent="0.25">
      <c r="A1171" s="3">
        <v>45397</v>
      </c>
      <c r="B1171" s="15" t="s">
        <v>9</v>
      </c>
      <c r="C1171" s="16">
        <v>4</v>
      </c>
      <c r="D1171" s="16">
        <v>10440</v>
      </c>
      <c r="E1171" s="16">
        <v>10071</v>
      </c>
      <c r="F1171" s="16">
        <v>369</v>
      </c>
      <c r="G1171" s="16">
        <v>96</v>
      </c>
      <c r="H1171" s="16">
        <v>32768</v>
      </c>
      <c r="I1171" s="16">
        <v>1</v>
      </c>
      <c r="J1171" s="15" t="s">
        <v>1</v>
      </c>
      <c r="K1171" s="15" t="s">
        <v>10</v>
      </c>
      <c r="L1171" s="8">
        <f>UnilabUsage[[#This Row],[Used-MB]]-F1161</f>
        <v>-91</v>
      </c>
      <c r="M1171">
        <f>UnilabUsage[[#This Row],[Max]]-UnilabUsage[[#This Row],[Used-MB]]</f>
        <v>32399</v>
      </c>
      <c r="N1171" s="5">
        <f>IF($L1171&gt;0,UnilabUsage[[#This Row],[Free-of-Max]]/UnilabUsage[[#This Row],[Usage-Delta-MB]],UnilabUsage[[#This Row],[Free-of-Max]])</f>
        <v>32399</v>
      </c>
    </row>
    <row r="1172" spans="1:14" x14ac:dyDescent="0.25">
      <c r="A1172" s="3">
        <v>45404</v>
      </c>
      <c r="B1172" s="15" t="s">
        <v>7</v>
      </c>
      <c r="C1172" s="16">
        <v>95</v>
      </c>
      <c r="D1172" s="16">
        <v>2560</v>
      </c>
      <c r="E1172" s="16">
        <v>118</v>
      </c>
      <c r="F1172" s="16">
        <v>2442</v>
      </c>
      <c r="G1172" s="16">
        <v>5</v>
      </c>
      <c r="H1172" s="16">
        <v>32768</v>
      </c>
      <c r="I1172" s="16">
        <v>7</v>
      </c>
      <c r="J1172" s="15" t="s">
        <v>1</v>
      </c>
      <c r="K1172" s="15" t="s">
        <v>2</v>
      </c>
      <c r="L1172" s="8">
        <f>UnilabUsage[[#This Row],[Used-MB]]-F1162</f>
        <v>0</v>
      </c>
      <c r="M1172">
        <f>UnilabUsage[[#This Row],[Max]]-UnilabUsage[[#This Row],[Used-MB]]</f>
        <v>30326</v>
      </c>
      <c r="N1172" s="5">
        <f>IF($L1172&gt;0,UnilabUsage[[#This Row],[Free-of-Max]]/UnilabUsage[[#This Row],[Usage-Delta-MB]],UnilabUsage[[#This Row],[Free-of-Max]])</f>
        <v>30326</v>
      </c>
    </row>
    <row r="1173" spans="1:14" x14ac:dyDescent="0.25">
      <c r="A1173" s="3">
        <v>45404</v>
      </c>
      <c r="B1173" s="15" t="s">
        <v>0</v>
      </c>
      <c r="C1173" s="16">
        <v>100</v>
      </c>
      <c r="D1173" s="16">
        <v>24550</v>
      </c>
      <c r="E1173" s="16">
        <v>96</v>
      </c>
      <c r="F1173" s="16">
        <v>24454</v>
      </c>
      <c r="G1173" s="16">
        <v>0</v>
      </c>
      <c r="H1173" s="16">
        <v>32768</v>
      </c>
      <c r="I1173" s="16">
        <v>75</v>
      </c>
      <c r="J1173" s="15" t="s">
        <v>1</v>
      </c>
      <c r="K1173" s="15" t="s">
        <v>2</v>
      </c>
      <c r="L1173" s="8">
        <f>UnilabUsage[[#This Row],[Used-MB]]-F1163</f>
        <v>64</v>
      </c>
      <c r="M1173">
        <f>UnilabUsage[[#This Row],[Max]]-UnilabUsage[[#This Row],[Used-MB]]</f>
        <v>8314</v>
      </c>
      <c r="N1173" s="5">
        <f>IF($L1173&gt;0,UnilabUsage[[#This Row],[Free-of-Max]]/UnilabUsage[[#This Row],[Usage-Delta-MB]],UnilabUsage[[#This Row],[Free-of-Max]])</f>
        <v>129.90625</v>
      </c>
    </row>
    <row r="1174" spans="1:14" x14ac:dyDescent="0.25">
      <c r="A1174" s="3">
        <v>45404</v>
      </c>
      <c r="B1174" s="15" t="s">
        <v>11</v>
      </c>
      <c r="C1174" s="16">
        <v>1</v>
      </c>
      <c r="D1174" s="16">
        <v>100</v>
      </c>
      <c r="E1174" s="16">
        <v>99</v>
      </c>
      <c r="F1174" s="16">
        <v>1</v>
      </c>
      <c r="G1174" s="16">
        <v>99</v>
      </c>
      <c r="H1174" s="16">
        <v>32768</v>
      </c>
      <c r="I1174" s="16">
        <v>0</v>
      </c>
      <c r="J1174" s="15" t="s">
        <v>1</v>
      </c>
      <c r="K1174" s="15" t="s">
        <v>2</v>
      </c>
      <c r="L1174" s="8">
        <f>UnilabUsage[[#This Row],[Used-MB]]-F1164</f>
        <v>0</v>
      </c>
      <c r="M1174">
        <f>UnilabUsage[[#This Row],[Max]]-UnilabUsage[[#This Row],[Used-MB]]</f>
        <v>32767</v>
      </c>
      <c r="N1174" s="5">
        <f>IF($L1174&gt;0,UnilabUsage[[#This Row],[Free-of-Max]]/UnilabUsage[[#This Row],[Usage-Delta-MB]],UnilabUsage[[#This Row],[Free-of-Max]])</f>
        <v>32767</v>
      </c>
    </row>
    <row r="1175" spans="1:14" x14ac:dyDescent="0.25">
      <c r="A1175" s="3">
        <v>45404</v>
      </c>
      <c r="B1175" s="15" t="s">
        <v>6</v>
      </c>
      <c r="C1175" s="16">
        <v>95</v>
      </c>
      <c r="D1175" s="16">
        <v>7805</v>
      </c>
      <c r="E1175" s="16">
        <v>379</v>
      </c>
      <c r="F1175" s="16">
        <v>7426</v>
      </c>
      <c r="G1175" s="16">
        <v>5</v>
      </c>
      <c r="H1175" s="16">
        <v>32768</v>
      </c>
      <c r="I1175" s="16">
        <v>23</v>
      </c>
      <c r="J1175" s="15" t="s">
        <v>1</v>
      </c>
      <c r="K1175" s="15" t="s">
        <v>2</v>
      </c>
      <c r="L1175" s="8">
        <f>UnilabUsage[[#This Row],[Used-MB]]-F1165</f>
        <v>8</v>
      </c>
      <c r="M1175">
        <f>UnilabUsage[[#This Row],[Max]]-UnilabUsage[[#This Row],[Used-MB]]</f>
        <v>25342</v>
      </c>
      <c r="N1175" s="5">
        <f>IF($L1175&gt;0,UnilabUsage[[#This Row],[Free-of-Max]]/UnilabUsage[[#This Row],[Usage-Delta-MB]],UnilabUsage[[#This Row],[Free-of-Max]])</f>
        <v>3167.75</v>
      </c>
    </row>
    <row r="1176" spans="1:14" x14ac:dyDescent="0.25">
      <c r="A1176" s="3">
        <v>45404</v>
      </c>
      <c r="B1176" s="15" t="s">
        <v>3</v>
      </c>
      <c r="C1176" s="16">
        <v>93</v>
      </c>
      <c r="D1176" s="16">
        <v>491518</v>
      </c>
      <c r="E1176" s="16">
        <v>31976</v>
      </c>
      <c r="F1176" s="16">
        <v>459542</v>
      </c>
      <c r="G1176" s="16">
        <v>7</v>
      </c>
      <c r="H1176" s="16">
        <v>491520</v>
      </c>
      <c r="I1176" s="16">
        <v>93</v>
      </c>
      <c r="J1176" s="15" t="s">
        <v>1</v>
      </c>
      <c r="K1176" s="15" t="s">
        <v>2</v>
      </c>
      <c r="L1176" s="8">
        <f>UnilabUsage[[#This Row],[Used-MB]]-F1166</f>
        <v>505</v>
      </c>
      <c r="M1176">
        <f>UnilabUsage[[#This Row],[Max]]-UnilabUsage[[#This Row],[Used-MB]]</f>
        <v>31978</v>
      </c>
      <c r="N1176" s="5">
        <f>IF($L1176&gt;0,UnilabUsage[[#This Row],[Free-of-Max]]/UnilabUsage[[#This Row],[Usage-Delta-MB]],UnilabUsage[[#This Row],[Free-of-Max]])</f>
        <v>63.32277227722772</v>
      </c>
    </row>
    <row r="1177" spans="1:14" x14ac:dyDescent="0.25">
      <c r="A1177" s="3">
        <v>45404</v>
      </c>
      <c r="B1177" s="15" t="s">
        <v>5</v>
      </c>
      <c r="C1177" s="16">
        <v>95</v>
      </c>
      <c r="D1177" s="16">
        <v>24900</v>
      </c>
      <c r="E1177" s="16">
        <v>1139</v>
      </c>
      <c r="F1177" s="16">
        <v>23761</v>
      </c>
      <c r="G1177" s="16">
        <v>5</v>
      </c>
      <c r="H1177" s="16">
        <v>32768</v>
      </c>
      <c r="I1177" s="16">
        <v>73</v>
      </c>
      <c r="J1177" s="15" t="s">
        <v>1</v>
      </c>
      <c r="K1177" s="15" t="s">
        <v>2</v>
      </c>
      <c r="L1177" s="8">
        <f>UnilabUsage[[#This Row],[Used-MB]]-F1167</f>
        <v>146</v>
      </c>
      <c r="M1177">
        <f>UnilabUsage[[#This Row],[Max]]-UnilabUsage[[#This Row],[Used-MB]]</f>
        <v>9007</v>
      </c>
      <c r="N1177" s="5">
        <f>IF($L1177&gt;0,UnilabUsage[[#This Row],[Free-of-Max]]/UnilabUsage[[#This Row],[Usage-Delta-MB]],UnilabUsage[[#This Row],[Free-of-Max]])</f>
        <v>61.69178082191781</v>
      </c>
    </row>
    <row r="1178" spans="1:14" x14ac:dyDescent="0.25">
      <c r="A1178" s="3">
        <v>45404</v>
      </c>
      <c r="B1178" s="15" t="s">
        <v>8</v>
      </c>
      <c r="C1178" s="16">
        <v>93</v>
      </c>
      <c r="D1178" s="16">
        <v>327680</v>
      </c>
      <c r="E1178" s="16">
        <v>23647</v>
      </c>
      <c r="F1178" s="16">
        <v>304033</v>
      </c>
      <c r="G1178" s="16">
        <v>7</v>
      </c>
      <c r="H1178" s="16">
        <v>327680</v>
      </c>
      <c r="I1178" s="16">
        <v>93</v>
      </c>
      <c r="J1178" s="15" t="s">
        <v>1</v>
      </c>
      <c r="K1178" s="15" t="s">
        <v>2</v>
      </c>
      <c r="L1178" s="8">
        <f>UnilabUsage[[#This Row],[Used-MB]]-F1168</f>
        <v>595</v>
      </c>
      <c r="M1178">
        <f>UnilabUsage[[#This Row],[Max]]-UnilabUsage[[#This Row],[Used-MB]]</f>
        <v>23647</v>
      </c>
      <c r="N1178" s="5">
        <f>IF($L1178&gt;0,UnilabUsage[[#This Row],[Free-of-Max]]/UnilabUsage[[#This Row],[Usage-Delta-MB]],UnilabUsage[[#This Row],[Free-of-Max]])</f>
        <v>39.74285714285714</v>
      </c>
    </row>
    <row r="1179" spans="1:14" x14ac:dyDescent="0.25">
      <c r="A1179" s="3">
        <v>45404</v>
      </c>
      <c r="B1179" s="15" t="s">
        <v>4</v>
      </c>
      <c r="C1179" s="16">
        <v>97</v>
      </c>
      <c r="D1179" s="16">
        <v>99260</v>
      </c>
      <c r="E1179" s="16">
        <v>2947</v>
      </c>
      <c r="F1179" s="16">
        <v>96313</v>
      </c>
      <c r="G1179" s="16">
        <v>3</v>
      </c>
      <c r="H1179" s="16">
        <v>131072</v>
      </c>
      <c r="I1179" s="16">
        <v>73</v>
      </c>
      <c r="J1179" s="15" t="s">
        <v>1</v>
      </c>
      <c r="K1179" s="15" t="s">
        <v>2</v>
      </c>
      <c r="L1179" s="8">
        <f>UnilabUsage[[#This Row],[Used-MB]]-F1169</f>
        <v>256</v>
      </c>
      <c r="M1179">
        <f>UnilabUsage[[#This Row],[Max]]-UnilabUsage[[#This Row],[Used-MB]]</f>
        <v>34759</v>
      </c>
      <c r="N1179" s="5">
        <f>IF($L1179&gt;0,UnilabUsage[[#This Row],[Free-of-Max]]/UnilabUsage[[#This Row],[Usage-Delta-MB]],UnilabUsage[[#This Row],[Free-of-Max]])</f>
        <v>135.77734375</v>
      </c>
    </row>
    <row r="1180" spans="1:14" x14ac:dyDescent="0.25">
      <c r="A1180" s="3">
        <v>45404</v>
      </c>
      <c r="B1180" s="15" t="s">
        <v>12</v>
      </c>
      <c r="C1180" s="16">
        <v>0</v>
      </c>
      <c r="D1180" s="16">
        <v>30720</v>
      </c>
      <c r="E1180" s="16">
        <v>30630</v>
      </c>
      <c r="F1180" s="16">
        <v>90</v>
      </c>
      <c r="G1180" s="16">
        <v>100</v>
      </c>
      <c r="H1180" s="16">
        <v>30720</v>
      </c>
      <c r="I1180" s="16">
        <v>0</v>
      </c>
      <c r="J1180" s="15" t="s">
        <v>1</v>
      </c>
      <c r="K1180" s="15" t="s">
        <v>13</v>
      </c>
      <c r="L1180" s="8">
        <f>UnilabUsage[[#This Row],[Used-MB]]-F1170</f>
        <v>23</v>
      </c>
      <c r="M1180">
        <f>UnilabUsage[[#This Row],[Max]]-UnilabUsage[[#This Row],[Used-MB]]</f>
        <v>30630</v>
      </c>
      <c r="N1180" s="5">
        <f>IF($L1180&gt;0,UnilabUsage[[#This Row],[Free-of-Max]]/UnilabUsage[[#This Row],[Usage-Delta-MB]],UnilabUsage[[#This Row],[Free-of-Max]])</f>
        <v>1331.7391304347825</v>
      </c>
    </row>
    <row r="1181" spans="1:14" x14ac:dyDescent="0.25">
      <c r="A1181" s="3">
        <v>45404</v>
      </c>
      <c r="B1181" s="15" t="s">
        <v>9</v>
      </c>
      <c r="C1181" s="16">
        <v>5</v>
      </c>
      <c r="D1181" s="16">
        <v>10440</v>
      </c>
      <c r="E1181" s="16">
        <v>9945</v>
      </c>
      <c r="F1181" s="16">
        <v>495</v>
      </c>
      <c r="G1181" s="16">
        <v>95</v>
      </c>
      <c r="H1181" s="16">
        <v>32768</v>
      </c>
      <c r="I1181" s="16">
        <v>2</v>
      </c>
      <c r="J1181" s="15" t="s">
        <v>1</v>
      </c>
      <c r="K1181" s="15" t="s">
        <v>10</v>
      </c>
      <c r="L1181" s="8">
        <f>UnilabUsage[[#This Row],[Used-MB]]-F1171</f>
        <v>126</v>
      </c>
      <c r="M1181">
        <f>UnilabUsage[[#This Row],[Max]]-UnilabUsage[[#This Row],[Used-MB]]</f>
        <v>32273</v>
      </c>
      <c r="N1181" s="5">
        <f>IF($L1181&gt;0,UnilabUsage[[#This Row],[Free-of-Max]]/UnilabUsage[[#This Row],[Usage-Delta-MB]],UnilabUsage[[#This Row],[Free-of-Max]])</f>
        <v>256.13492063492066</v>
      </c>
    </row>
    <row r="1182" spans="1:14" x14ac:dyDescent="0.25">
      <c r="A1182" s="3">
        <v>45418</v>
      </c>
      <c r="B1182" s="15" t="s">
        <v>7</v>
      </c>
      <c r="C1182" s="16">
        <v>95</v>
      </c>
      <c r="D1182" s="16">
        <v>2580</v>
      </c>
      <c r="E1182" s="16">
        <v>129</v>
      </c>
      <c r="F1182" s="16">
        <v>2451</v>
      </c>
      <c r="G1182" s="16">
        <v>5</v>
      </c>
      <c r="H1182" s="16">
        <v>32768</v>
      </c>
      <c r="I1182" s="16">
        <v>7</v>
      </c>
      <c r="J1182" s="15" t="s">
        <v>1</v>
      </c>
      <c r="K1182" s="15" t="s">
        <v>2</v>
      </c>
      <c r="L1182" s="8">
        <f>UnilabUsage[[#This Row],[Used-MB]]-F1172</f>
        <v>9</v>
      </c>
      <c r="M1182">
        <f>UnilabUsage[[#This Row],[Max]]-UnilabUsage[[#This Row],[Used-MB]]</f>
        <v>30317</v>
      </c>
      <c r="N1182" s="5">
        <f>IF($L1182&gt;0,UnilabUsage[[#This Row],[Free-of-Max]]/UnilabUsage[[#This Row],[Usage-Delta-MB]],UnilabUsage[[#This Row],[Free-of-Max]])</f>
        <v>3368.5555555555557</v>
      </c>
    </row>
    <row r="1183" spans="1:14" x14ac:dyDescent="0.25">
      <c r="A1183" s="3">
        <v>45418</v>
      </c>
      <c r="B1183" s="15" t="s">
        <v>0</v>
      </c>
      <c r="C1183" s="16">
        <v>100</v>
      </c>
      <c r="D1183" s="16">
        <v>24650</v>
      </c>
      <c r="E1183" s="16">
        <v>68</v>
      </c>
      <c r="F1183" s="16">
        <v>24582</v>
      </c>
      <c r="G1183" s="16">
        <v>0</v>
      </c>
      <c r="H1183" s="16">
        <v>32768</v>
      </c>
      <c r="I1183" s="16">
        <v>75</v>
      </c>
      <c r="J1183" s="15" t="s">
        <v>1</v>
      </c>
      <c r="K1183" s="15" t="s">
        <v>2</v>
      </c>
      <c r="L1183" s="8">
        <f>UnilabUsage[[#This Row],[Used-MB]]-F1173</f>
        <v>128</v>
      </c>
      <c r="M1183">
        <f>UnilabUsage[[#This Row],[Max]]-UnilabUsage[[#This Row],[Used-MB]]</f>
        <v>8186</v>
      </c>
      <c r="N1183" s="5">
        <f>IF($L1183&gt;0,UnilabUsage[[#This Row],[Free-of-Max]]/UnilabUsage[[#This Row],[Usage-Delta-MB]],UnilabUsage[[#This Row],[Free-of-Max]])</f>
        <v>63.953125</v>
      </c>
    </row>
    <row r="1184" spans="1:14" x14ac:dyDescent="0.25">
      <c r="A1184" s="3">
        <v>45418</v>
      </c>
      <c r="B1184" s="15" t="s">
        <v>11</v>
      </c>
      <c r="C1184" s="16">
        <v>1</v>
      </c>
      <c r="D1184" s="16">
        <v>100</v>
      </c>
      <c r="E1184" s="16">
        <v>99</v>
      </c>
      <c r="F1184" s="16">
        <v>1</v>
      </c>
      <c r="G1184" s="16">
        <v>99</v>
      </c>
      <c r="H1184" s="16">
        <v>32768</v>
      </c>
      <c r="I1184" s="16">
        <v>0</v>
      </c>
      <c r="J1184" s="15" t="s">
        <v>1</v>
      </c>
      <c r="K1184" s="15" t="s">
        <v>2</v>
      </c>
      <c r="L1184" s="8">
        <f>UnilabUsage[[#This Row],[Used-MB]]-F1174</f>
        <v>0</v>
      </c>
      <c r="M1184">
        <f>UnilabUsage[[#This Row],[Max]]-UnilabUsage[[#This Row],[Used-MB]]</f>
        <v>32767</v>
      </c>
      <c r="N1184" s="5">
        <f>IF($L1184&gt;0,UnilabUsage[[#This Row],[Free-of-Max]]/UnilabUsage[[#This Row],[Usage-Delta-MB]],UnilabUsage[[#This Row],[Free-of-Max]])</f>
        <v>32767</v>
      </c>
    </row>
    <row r="1185" spans="1:14" x14ac:dyDescent="0.25">
      <c r="A1185" s="3">
        <v>45418</v>
      </c>
      <c r="B1185" s="15" t="s">
        <v>6</v>
      </c>
      <c r="C1185" s="16">
        <v>95</v>
      </c>
      <c r="D1185" s="16">
        <v>7815</v>
      </c>
      <c r="E1185" s="16">
        <v>381</v>
      </c>
      <c r="F1185" s="16">
        <v>7434</v>
      </c>
      <c r="G1185" s="16">
        <v>5</v>
      </c>
      <c r="H1185" s="16">
        <v>32768</v>
      </c>
      <c r="I1185" s="16">
        <v>23</v>
      </c>
      <c r="J1185" s="15" t="s">
        <v>1</v>
      </c>
      <c r="K1185" s="15" t="s">
        <v>2</v>
      </c>
      <c r="L1185" s="8">
        <f>UnilabUsage[[#This Row],[Used-MB]]-F1175</f>
        <v>8</v>
      </c>
      <c r="M1185">
        <f>UnilabUsage[[#This Row],[Max]]-UnilabUsage[[#This Row],[Used-MB]]</f>
        <v>25334</v>
      </c>
      <c r="N1185" s="5">
        <f>IF($L1185&gt;0,UnilabUsage[[#This Row],[Free-of-Max]]/UnilabUsage[[#This Row],[Usage-Delta-MB]],UnilabUsage[[#This Row],[Free-of-Max]])</f>
        <v>3166.75</v>
      </c>
    </row>
    <row r="1186" spans="1:14" x14ac:dyDescent="0.25">
      <c r="A1186" s="3">
        <v>45418</v>
      </c>
      <c r="B1186" s="15" t="s">
        <v>3</v>
      </c>
      <c r="C1186" s="16">
        <v>94</v>
      </c>
      <c r="D1186" s="16">
        <v>491518</v>
      </c>
      <c r="E1186" s="16">
        <v>30830</v>
      </c>
      <c r="F1186" s="16">
        <v>460688</v>
      </c>
      <c r="G1186" s="16">
        <v>6</v>
      </c>
      <c r="H1186" s="16">
        <v>491520</v>
      </c>
      <c r="I1186" s="16">
        <v>94</v>
      </c>
      <c r="J1186" s="15" t="s">
        <v>1</v>
      </c>
      <c r="K1186" s="15" t="s">
        <v>2</v>
      </c>
      <c r="L1186" s="8">
        <f>UnilabUsage[[#This Row],[Used-MB]]-F1176</f>
        <v>1146</v>
      </c>
      <c r="M1186">
        <f>UnilabUsage[[#This Row],[Max]]-UnilabUsage[[#This Row],[Used-MB]]</f>
        <v>30832</v>
      </c>
      <c r="N1186" s="5">
        <f>IF($L1186&gt;0,UnilabUsage[[#This Row],[Free-of-Max]]/UnilabUsage[[#This Row],[Usage-Delta-MB]],UnilabUsage[[#This Row],[Free-of-Max]])</f>
        <v>26.904013961605585</v>
      </c>
    </row>
    <row r="1187" spans="1:14" x14ac:dyDescent="0.25">
      <c r="A1187" s="3">
        <v>45418</v>
      </c>
      <c r="B1187" s="15" t="s">
        <v>5</v>
      </c>
      <c r="C1187" s="16">
        <v>95</v>
      </c>
      <c r="D1187" s="16">
        <v>24900</v>
      </c>
      <c r="E1187" s="16">
        <v>1136</v>
      </c>
      <c r="F1187" s="16">
        <v>23764</v>
      </c>
      <c r="G1187" s="16">
        <v>5</v>
      </c>
      <c r="H1187" s="16">
        <v>32768</v>
      </c>
      <c r="I1187" s="16">
        <v>73</v>
      </c>
      <c r="J1187" s="15" t="s">
        <v>1</v>
      </c>
      <c r="K1187" s="15" t="s">
        <v>2</v>
      </c>
      <c r="L1187" s="8">
        <f>UnilabUsage[[#This Row],[Used-MB]]-F1177</f>
        <v>3</v>
      </c>
      <c r="M1187">
        <f>UnilabUsage[[#This Row],[Max]]-UnilabUsage[[#This Row],[Used-MB]]</f>
        <v>9004</v>
      </c>
      <c r="N1187" s="5">
        <f>IF($L1187&gt;0,UnilabUsage[[#This Row],[Free-of-Max]]/UnilabUsage[[#This Row],[Usage-Delta-MB]],UnilabUsage[[#This Row],[Free-of-Max]])</f>
        <v>3001.3333333333335</v>
      </c>
    </row>
    <row r="1188" spans="1:14" x14ac:dyDescent="0.25">
      <c r="A1188" s="3">
        <v>45418</v>
      </c>
      <c r="B1188" s="15" t="s">
        <v>8</v>
      </c>
      <c r="C1188" s="16">
        <v>93</v>
      </c>
      <c r="D1188" s="16">
        <v>327680</v>
      </c>
      <c r="E1188" s="16">
        <v>22763</v>
      </c>
      <c r="F1188" s="16">
        <v>304917</v>
      </c>
      <c r="G1188" s="16">
        <v>7</v>
      </c>
      <c r="H1188" s="16">
        <v>327680</v>
      </c>
      <c r="I1188" s="16">
        <v>93</v>
      </c>
      <c r="J1188" s="15" t="s">
        <v>1</v>
      </c>
      <c r="K1188" s="15" t="s">
        <v>2</v>
      </c>
      <c r="L1188" s="8">
        <f>UnilabUsage[[#This Row],[Used-MB]]-F1178</f>
        <v>884</v>
      </c>
      <c r="M1188">
        <f>UnilabUsage[[#This Row],[Max]]-UnilabUsage[[#This Row],[Used-MB]]</f>
        <v>22763</v>
      </c>
      <c r="N1188" s="5">
        <f>IF($L1188&gt;0,UnilabUsage[[#This Row],[Free-of-Max]]/UnilabUsage[[#This Row],[Usage-Delta-MB]],UnilabUsage[[#This Row],[Free-of-Max]])</f>
        <v>25.75</v>
      </c>
    </row>
    <row r="1189" spans="1:14" x14ac:dyDescent="0.25">
      <c r="A1189" s="3">
        <v>45418</v>
      </c>
      <c r="B1189" s="15" t="s">
        <v>4</v>
      </c>
      <c r="C1189" s="16">
        <v>97</v>
      </c>
      <c r="D1189" s="16">
        <v>99260</v>
      </c>
      <c r="E1189" s="16">
        <v>2690</v>
      </c>
      <c r="F1189" s="16">
        <v>96570</v>
      </c>
      <c r="G1189" s="16">
        <v>3</v>
      </c>
      <c r="H1189" s="16">
        <v>131072</v>
      </c>
      <c r="I1189" s="16">
        <v>74</v>
      </c>
      <c r="J1189" s="15" t="s">
        <v>1</v>
      </c>
      <c r="K1189" s="15" t="s">
        <v>2</v>
      </c>
      <c r="L1189" s="8">
        <f>UnilabUsage[[#This Row],[Used-MB]]-F1179</f>
        <v>257</v>
      </c>
      <c r="M1189">
        <f>UnilabUsage[[#This Row],[Max]]-UnilabUsage[[#This Row],[Used-MB]]</f>
        <v>34502</v>
      </c>
      <c r="N1189" s="5">
        <f>IF($L1189&gt;0,UnilabUsage[[#This Row],[Free-of-Max]]/UnilabUsage[[#This Row],[Usage-Delta-MB]],UnilabUsage[[#This Row],[Free-of-Max]])</f>
        <v>134.24902723735408</v>
      </c>
    </row>
    <row r="1190" spans="1:14" x14ac:dyDescent="0.25">
      <c r="A1190" s="3">
        <v>45418</v>
      </c>
      <c r="B1190" s="15" t="s">
        <v>12</v>
      </c>
      <c r="C1190" s="16">
        <v>0</v>
      </c>
      <c r="D1190" s="16">
        <v>30720</v>
      </c>
      <c r="E1190" s="16">
        <v>30593</v>
      </c>
      <c r="F1190" s="16">
        <v>127</v>
      </c>
      <c r="G1190" s="16">
        <v>100</v>
      </c>
      <c r="H1190" s="16">
        <v>30720</v>
      </c>
      <c r="I1190" s="16">
        <v>0</v>
      </c>
      <c r="J1190" s="15" t="s">
        <v>1</v>
      </c>
      <c r="K1190" s="15" t="s">
        <v>13</v>
      </c>
      <c r="L1190" s="8">
        <f>UnilabUsage[[#This Row],[Used-MB]]-F1180</f>
        <v>37</v>
      </c>
      <c r="M1190">
        <f>UnilabUsage[[#This Row],[Max]]-UnilabUsage[[#This Row],[Used-MB]]</f>
        <v>30593</v>
      </c>
      <c r="N1190" s="5">
        <f>IF($L1190&gt;0,UnilabUsage[[#This Row],[Free-of-Max]]/UnilabUsage[[#This Row],[Usage-Delta-MB]],UnilabUsage[[#This Row],[Free-of-Max]])</f>
        <v>826.83783783783781</v>
      </c>
    </row>
    <row r="1191" spans="1:14" x14ac:dyDescent="0.25">
      <c r="A1191" s="3">
        <v>45418</v>
      </c>
      <c r="B1191" s="15" t="s">
        <v>9</v>
      </c>
      <c r="C1191" s="16">
        <v>4</v>
      </c>
      <c r="D1191" s="16">
        <v>10440</v>
      </c>
      <c r="E1191" s="16">
        <v>10046</v>
      </c>
      <c r="F1191" s="16">
        <v>394</v>
      </c>
      <c r="G1191" s="16">
        <v>96</v>
      </c>
      <c r="H1191" s="16">
        <v>32768</v>
      </c>
      <c r="I1191" s="16">
        <v>1</v>
      </c>
      <c r="J1191" s="15" t="s">
        <v>1</v>
      </c>
      <c r="K1191" s="15" t="s">
        <v>10</v>
      </c>
      <c r="L1191" s="8">
        <f>UnilabUsage[[#This Row],[Used-MB]]-F1181</f>
        <v>-101</v>
      </c>
      <c r="M1191">
        <f>UnilabUsage[[#This Row],[Max]]-UnilabUsage[[#This Row],[Used-MB]]</f>
        <v>32374</v>
      </c>
      <c r="N1191" s="5">
        <f>IF($L1191&gt;0,UnilabUsage[[#This Row],[Free-of-Max]]/UnilabUsage[[#This Row],[Usage-Delta-MB]],UnilabUsage[[#This Row],[Free-of-Max]])</f>
        <v>32374</v>
      </c>
    </row>
    <row r="1192" spans="1:14" x14ac:dyDescent="0.25">
      <c r="A1192" s="3">
        <v>45425</v>
      </c>
      <c r="B1192" s="15" t="s">
        <v>7</v>
      </c>
      <c r="C1192" s="16">
        <v>95</v>
      </c>
      <c r="D1192" s="16">
        <v>2580</v>
      </c>
      <c r="E1192" s="16">
        <v>129</v>
      </c>
      <c r="F1192" s="16">
        <v>2451</v>
      </c>
      <c r="G1192" s="16">
        <v>5</v>
      </c>
      <c r="H1192" s="16">
        <v>32768</v>
      </c>
      <c r="I1192" s="16">
        <v>7</v>
      </c>
      <c r="J1192" s="15" t="s">
        <v>1</v>
      </c>
      <c r="K1192" s="15" t="s">
        <v>2</v>
      </c>
      <c r="L1192" s="8">
        <f>UnilabUsage[[#This Row],[Used-MB]]-F1182</f>
        <v>0</v>
      </c>
      <c r="M1192">
        <f>UnilabUsage[[#This Row],[Max]]-UnilabUsage[[#This Row],[Used-MB]]</f>
        <v>30317</v>
      </c>
      <c r="N1192" s="5">
        <f>IF($L1192&gt;0,UnilabUsage[[#This Row],[Free-of-Max]]/UnilabUsage[[#This Row],[Usage-Delta-MB]],UnilabUsage[[#This Row],[Free-of-Max]])</f>
        <v>30317</v>
      </c>
    </row>
    <row r="1193" spans="1:14" x14ac:dyDescent="0.25">
      <c r="A1193" s="3">
        <v>45425</v>
      </c>
      <c r="B1193" s="15" t="s">
        <v>0</v>
      </c>
      <c r="C1193" s="16">
        <v>100</v>
      </c>
      <c r="D1193" s="16">
        <v>24650</v>
      </c>
      <c r="E1193" s="16">
        <v>4</v>
      </c>
      <c r="F1193" s="16">
        <v>24646</v>
      </c>
      <c r="G1193" s="16">
        <v>0</v>
      </c>
      <c r="H1193" s="16">
        <v>32768</v>
      </c>
      <c r="I1193" s="16">
        <v>75</v>
      </c>
      <c r="J1193" s="15" t="s">
        <v>1</v>
      </c>
      <c r="K1193" s="15" t="s">
        <v>2</v>
      </c>
      <c r="L1193" s="8">
        <f>UnilabUsage[[#This Row],[Used-MB]]-F1183</f>
        <v>64</v>
      </c>
      <c r="M1193">
        <f>UnilabUsage[[#This Row],[Max]]-UnilabUsage[[#This Row],[Used-MB]]</f>
        <v>8122</v>
      </c>
      <c r="N1193" s="5">
        <f>IF($L1193&gt;0,UnilabUsage[[#This Row],[Free-of-Max]]/UnilabUsage[[#This Row],[Usage-Delta-MB]],UnilabUsage[[#This Row],[Free-of-Max]])</f>
        <v>126.90625</v>
      </c>
    </row>
    <row r="1194" spans="1:14" x14ac:dyDescent="0.25">
      <c r="A1194" s="3">
        <v>45425</v>
      </c>
      <c r="B1194" s="15" t="s">
        <v>11</v>
      </c>
      <c r="C1194" s="16">
        <v>1</v>
      </c>
      <c r="D1194" s="16">
        <v>100</v>
      </c>
      <c r="E1194" s="16">
        <v>99</v>
      </c>
      <c r="F1194" s="16">
        <v>1</v>
      </c>
      <c r="G1194" s="16">
        <v>99</v>
      </c>
      <c r="H1194" s="16">
        <v>32768</v>
      </c>
      <c r="I1194" s="16">
        <v>0</v>
      </c>
      <c r="J1194" s="15" t="s">
        <v>1</v>
      </c>
      <c r="K1194" s="15" t="s">
        <v>2</v>
      </c>
      <c r="L1194" s="8">
        <f>UnilabUsage[[#This Row],[Used-MB]]-F1184</f>
        <v>0</v>
      </c>
      <c r="M1194">
        <f>UnilabUsage[[#This Row],[Max]]-UnilabUsage[[#This Row],[Used-MB]]</f>
        <v>32767</v>
      </c>
      <c r="N1194" s="5">
        <f>IF($L1194&gt;0,UnilabUsage[[#This Row],[Free-of-Max]]/UnilabUsage[[#This Row],[Usage-Delta-MB]],UnilabUsage[[#This Row],[Free-of-Max]])</f>
        <v>32767</v>
      </c>
    </row>
    <row r="1195" spans="1:14" x14ac:dyDescent="0.25">
      <c r="A1195" s="3">
        <v>45425</v>
      </c>
      <c r="B1195" s="15" t="s">
        <v>6</v>
      </c>
      <c r="C1195" s="16">
        <v>95</v>
      </c>
      <c r="D1195" s="16">
        <v>7825</v>
      </c>
      <c r="E1195" s="16">
        <v>381</v>
      </c>
      <c r="F1195" s="16">
        <v>7444</v>
      </c>
      <c r="G1195" s="16">
        <v>5</v>
      </c>
      <c r="H1195" s="16">
        <v>32768</v>
      </c>
      <c r="I1195" s="16">
        <v>23</v>
      </c>
      <c r="J1195" s="15" t="s">
        <v>1</v>
      </c>
      <c r="K1195" s="15" t="s">
        <v>2</v>
      </c>
      <c r="L1195" s="8">
        <f>UnilabUsage[[#This Row],[Used-MB]]-F1185</f>
        <v>10</v>
      </c>
      <c r="M1195">
        <f>UnilabUsage[[#This Row],[Max]]-UnilabUsage[[#This Row],[Used-MB]]</f>
        <v>25324</v>
      </c>
      <c r="N1195" s="5">
        <f>IF($L1195&gt;0,UnilabUsage[[#This Row],[Free-of-Max]]/UnilabUsage[[#This Row],[Usage-Delta-MB]],UnilabUsage[[#This Row],[Free-of-Max]])</f>
        <v>2532.4</v>
      </c>
    </row>
    <row r="1196" spans="1:14" x14ac:dyDescent="0.25">
      <c r="A1196" s="3">
        <v>45425</v>
      </c>
      <c r="B1196" s="15" t="s">
        <v>3</v>
      </c>
      <c r="C1196" s="16">
        <v>94</v>
      </c>
      <c r="D1196" s="16">
        <v>491518</v>
      </c>
      <c r="E1196" s="16">
        <v>30374</v>
      </c>
      <c r="F1196" s="16">
        <v>461144</v>
      </c>
      <c r="G1196" s="16">
        <v>6</v>
      </c>
      <c r="H1196" s="16">
        <v>491520</v>
      </c>
      <c r="I1196" s="16">
        <v>94</v>
      </c>
      <c r="J1196" s="15" t="s">
        <v>1</v>
      </c>
      <c r="K1196" s="15" t="s">
        <v>2</v>
      </c>
      <c r="L1196" s="8">
        <f>UnilabUsage[[#This Row],[Used-MB]]-F1186</f>
        <v>456</v>
      </c>
      <c r="M1196">
        <f>UnilabUsage[[#This Row],[Max]]-UnilabUsage[[#This Row],[Used-MB]]</f>
        <v>30376</v>
      </c>
      <c r="N1196" s="5">
        <f>IF($L1196&gt;0,UnilabUsage[[#This Row],[Free-of-Max]]/UnilabUsage[[#This Row],[Usage-Delta-MB]],UnilabUsage[[#This Row],[Free-of-Max]])</f>
        <v>66.614035087719301</v>
      </c>
    </row>
    <row r="1197" spans="1:14" x14ac:dyDescent="0.25">
      <c r="A1197" s="3">
        <v>45425</v>
      </c>
      <c r="B1197" s="15" t="s">
        <v>5</v>
      </c>
      <c r="C1197" s="16">
        <v>96</v>
      </c>
      <c r="D1197" s="16">
        <v>24900</v>
      </c>
      <c r="E1197" s="16">
        <v>1092</v>
      </c>
      <c r="F1197" s="16">
        <v>23808</v>
      </c>
      <c r="G1197" s="16">
        <v>4</v>
      </c>
      <c r="H1197" s="16">
        <v>32768</v>
      </c>
      <c r="I1197" s="16">
        <v>73</v>
      </c>
      <c r="J1197" s="15" t="s">
        <v>1</v>
      </c>
      <c r="K1197" s="15" t="s">
        <v>2</v>
      </c>
      <c r="L1197" s="8">
        <f>UnilabUsage[[#This Row],[Used-MB]]-F1187</f>
        <v>44</v>
      </c>
      <c r="M1197">
        <f>UnilabUsage[[#This Row],[Max]]-UnilabUsage[[#This Row],[Used-MB]]</f>
        <v>8960</v>
      </c>
      <c r="N1197" s="5">
        <f>IF($L1197&gt;0,UnilabUsage[[#This Row],[Free-of-Max]]/UnilabUsage[[#This Row],[Usage-Delta-MB]],UnilabUsage[[#This Row],[Free-of-Max]])</f>
        <v>203.63636363636363</v>
      </c>
    </row>
    <row r="1198" spans="1:14" x14ac:dyDescent="0.25">
      <c r="A1198" s="3">
        <v>45425</v>
      </c>
      <c r="B1198" s="15" t="s">
        <v>8</v>
      </c>
      <c r="C1198" s="16">
        <v>93</v>
      </c>
      <c r="D1198" s="16">
        <v>327680</v>
      </c>
      <c r="E1198" s="16">
        <v>22530</v>
      </c>
      <c r="F1198" s="16">
        <v>305150</v>
      </c>
      <c r="G1198" s="16">
        <v>7</v>
      </c>
      <c r="H1198" s="16">
        <v>327680</v>
      </c>
      <c r="I1198" s="16">
        <v>93</v>
      </c>
      <c r="J1198" s="15" t="s">
        <v>1</v>
      </c>
      <c r="K1198" s="15" t="s">
        <v>2</v>
      </c>
      <c r="L1198" s="8">
        <f>UnilabUsage[[#This Row],[Used-MB]]-F1188</f>
        <v>233</v>
      </c>
      <c r="M1198">
        <f>UnilabUsage[[#This Row],[Max]]-UnilabUsage[[#This Row],[Used-MB]]</f>
        <v>22530</v>
      </c>
      <c r="N1198" s="5">
        <f>IF($L1198&gt;0,UnilabUsage[[#This Row],[Free-of-Max]]/UnilabUsage[[#This Row],[Usage-Delta-MB]],UnilabUsage[[#This Row],[Free-of-Max]])</f>
        <v>96.695278969957087</v>
      </c>
    </row>
    <row r="1199" spans="1:14" x14ac:dyDescent="0.25">
      <c r="A1199" s="3">
        <v>45425</v>
      </c>
      <c r="B1199" s="15" t="s">
        <v>4</v>
      </c>
      <c r="C1199" s="16">
        <v>97</v>
      </c>
      <c r="D1199" s="16">
        <v>99260</v>
      </c>
      <c r="E1199" s="16">
        <v>2562</v>
      </c>
      <c r="F1199" s="16">
        <v>96698</v>
      </c>
      <c r="G1199" s="16">
        <v>3</v>
      </c>
      <c r="H1199" s="16">
        <v>131072</v>
      </c>
      <c r="I1199" s="16">
        <v>74</v>
      </c>
      <c r="J1199" s="15" t="s">
        <v>1</v>
      </c>
      <c r="K1199" s="15" t="s">
        <v>2</v>
      </c>
      <c r="L1199" s="8">
        <f>UnilabUsage[[#This Row],[Used-MB]]-F1189</f>
        <v>128</v>
      </c>
      <c r="M1199">
        <f>UnilabUsage[[#This Row],[Max]]-UnilabUsage[[#This Row],[Used-MB]]</f>
        <v>34374</v>
      </c>
      <c r="N1199" s="5">
        <f>IF($L1199&gt;0,UnilabUsage[[#This Row],[Free-of-Max]]/UnilabUsage[[#This Row],[Usage-Delta-MB]],UnilabUsage[[#This Row],[Free-of-Max]])</f>
        <v>268.546875</v>
      </c>
    </row>
    <row r="1200" spans="1:14" x14ac:dyDescent="0.25">
      <c r="A1200" s="3">
        <v>45425</v>
      </c>
      <c r="B1200" s="15" t="s">
        <v>12</v>
      </c>
      <c r="C1200" s="16">
        <v>0</v>
      </c>
      <c r="D1200" s="16">
        <v>30720</v>
      </c>
      <c r="E1200" s="16">
        <v>30673</v>
      </c>
      <c r="F1200" s="16">
        <v>47</v>
      </c>
      <c r="G1200" s="16">
        <v>100</v>
      </c>
      <c r="H1200" s="16">
        <v>30720</v>
      </c>
      <c r="I1200" s="16">
        <v>0</v>
      </c>
      <c r="J1200" s="15" t="s">
        <v>1</v>
      </c>
      <c r="K1200" s="15" t="s">
        <v>13</v>
      </c>
      <c r="L1200" s="8">
        <f>UnilabUsage[[#This Row],[Used-MB]]-F1190</f>
        <v>-80</v>
      </c>
      <c r="M1200">
        <f>UnilabUsage[[#This Row],[Max]]-UnilabUsage[[#This Row],[Used-MB]]</f>
        <v>30673</v>
      </c>
      <c r="N1200" s="5">
        <f>IF($L1200&gt;0,UnilabUsage[[#This Row],[Free-of-Max]]/UnilabUsage[[#This Row],[Usage-Delta-MB]],UnilabUsage[[#This Row],[Free-of-Max]])</f>
        <v>30673</v>
      </c>
    </row>
    <row r="1201" spans="1:14" x14ac:dyDescent="0.25">
      <c r="A1201" s="3">
        <v>45425</v>
      </c>
      <c r="B1201" s="15" t="s">
        <v>9</v>
      </c>
      <c r="C1201" s="16">
        <v>4</v>
      </c>
      <c r="D1201" s="16">
        <v>10440</v>
      </c>
      <c r="E1201" s="16">
        <v>10022</v>
      </c>
      <c r="F1201" s="16">
        <v>418</v>
      </c>
      <c r="G1201" s="16">
        <v>96</v>
      </c>
      <c r="H1201" s="16">
        <v>32768</v>
      </c>
      <c r="I1201" s="16">
        <v>1</v>
      </c>
      <c r="J1201" s="15" t="s">
        <v>1</v>
      </c>
      <c r="K1201" s="15" t="s">
        <v>10</v>
      </c>
      <c r="L1201" s="8">
        <f>UnilabUsage[[#This Row],[Used-MB]]-F1191</f>
        <v>24</v>
      </c>
      <c r="M1201">
        <f>UnilabUsage[[#This Row],[Max]]-UnilabUsage[[#This Row],[Used-MB]]</f>
        <v>32350</v>
      </c>
      <c r="N1201" s="5">
        <f>IF($L1201&gt;0,UnilabUsage[[#This Row],[Free-of-Max]]/UnilabUsage[[#This Row],[Usage-Delta-MB]],UnilabUsage[[#This Row],[Free-of-Max]])</f>
        <v>1347.9166666666667</v>
      </c>
    </row>
    <row r="1202" spans="1:14" x14ac:dyDescent="0.25">
      <c r="A1202" s="3">
        <v>45433</v>
      </c>
      <c r="B1202" s="15" t="s">
        <v>7</v>
      </c>
      <c r="C1202" s="16">
        <v>95</v>
      </c>
      <c r="D1202" s="16">
        <v>2580</v>
      </c>
      <c r="E1202" s="16">
        <v>129</v>
      </c>
      <c r="F1202" s="16">
        <v>2451</v>
      </c>
      <c r="G1202" s="16">
        <v>5</v>
      </c>
      <c r="H1202" s="16">
        <v>32768</v>
      </c>
      <c r="I1202" s="16">
        <v>7</v>
      </c>
      <c r="J1202" s="15" t="s">
        <v>1</v>
      </c>
      <c r="K1202" s="15" t="s">
        <v>2</v>
      </c>
      <c r="L1202" s="8">
        <f>UnilabUsage[[#This Row],[Used-MB]]-F1192</f>
        <v>0</v>
      </c>
      <c r="M1202" s="22">
        <f>UnilabUsage[[#This Row],[Max]]-UnilabUsage[[#This Row],[Used-MB]]</f>
        <v>30317</v>
      </c>
      <c r="N1202" s="5">
        <f>IF($L1202&gt;0,UnilabUsage[[#This Row],[Free-of-Max]]/UnilabUsage[[#This Row],[Usage-Delta-MB]],UnilabUsage[[#This Row],[Free-of-Max]])</f>
        <v>30317</v>
      </c>
    </row>
    <row r="1203" spans="1:14" x14ac:dyDescent="0.25">
      <c r="A1203" s="3">
        <v>45433</v>
      </c>
      <c r="B1203" s="15" t="s">
        <v>0</v>
      </c>
      <c r="C1203" s="16">
        <v>100</v>
      </c>
      <c r="D1203" s="16">
        <v>24750</v>
      </c>
      <c r="E1203" s="16">
        <v>40</v>
      </c>
      <c r="F1203" s="16">
        <v>24710</v>
      </c>
      <c r="G1203" s="16">
        <v>0</v>
      </c>
      <c r="H1203" s="16">
        <v>32768</v>
      </c>
      <c r="I1203" s="16">
        <v>75</v>
      </c>
      <c r="J1203" s="15" t="s">
        <v>1</v>
      </c>
      <c r="K1203" s="15" t="s">
        <v>2</v>
      </c>
      <c r="L1203" s="8">
        <f>UnilabUsage[[#This Row],[Used-MB]]-F1193</f>
        <v>64</v>
      </c>
      <c r="M1203" s="22">
        <f>UnilabUsage[[#This Row],[Max]]-UnilabUsage[[#This Row],[Used-MB]]</f>
        <v>8058</v>
      </c>
      <c r="N1203" s="5">
        <f>IF($L1203&gt;0,UnilabUsage[[#This Row],[Free-of-Max]]/UnilabUsage[[#This Row],[Usage-Delta-MB]],UnilabUsage[[#This Row],[Free-of-Max]])</f>
        <v>125.90625</v>
      </c>
    </row>
    <row r="1204" spans="1:14" x14ac:dyDescent="0.25">
      <c r="A1204" s="3">
        <v>45433</v>
      </c>
      <c r="B1204" s="15" t="s">
        <v>11</v>
      </c>
      <c r="C1204" s="16">
        <v>1</v>
      </c>
      <c r="D1204" s="16">
        <v>100</v>
      </c>
      <c r="E1204" s="16">
        <v>99</v>
      </c>
      <c r="F1204" s="16">
        <v>1</v>
      </c>
      <c r="G1204" s="16">
        <v>99</v>
      </c>
      <c r="H1204" s="16">
        <v>32768</v>
      </c>
      <c r="I1204" s="16">
        <v>0</v>
      </c>
      <c r="J1204" s="15" t="s">
        <v>1</v>
      </c>
      <c r="K1204" s="15" t="s">
        <v>2</v>
      </c>
      <c r="L1204" s="8">
        <f>UnilabUsage[[#This Row],[Used-MB]]-F1194</f>
        <v>0</v>
      </c>
      <c r="M1204" s="22">
        <f>UnilabUsage[[#This Row],[Max]]-UnilabUsage[[#This Row],[Used-MB]]</f>
        <v>32767</v>
      </c>
      <c r="N1204" s="5">
        <f>IF($L1204&gt;0,UnilabUsage[[#This Row],[Free-of-Max]]/UnilabUsage[[#This Row],[Usage-Delta-MB]],UnilabUsage[[#This Row],[Free-of-Max]])</f>
        <v>32767</v>
      </c>
    </row>
    <row r="1205" spans="1:14" x14ac:dyDescent="0.25">
      <c r="A1205" s="3">
        <v>45433</v>
      </c>
      <c r="B1205" s="15" t="s">
        <v>6</v>
      </c>
      <c r="C1205" s="16">
        <v>95</v>
      </c>
      <c r="D1205" s="16">
        <v>7885</v>
      </c>
      <c r="E1205" s="16">
        <v>376</v>
      </c>
      <c r="F1205" s="16">
        <v>7509</v>
      </c>
      <c r="G1205" s="16">
        <v>5</v>
      </c>
      <c r="H1205" s="16">
        <v>32768</v>
      </c>
      <c r="I1205" s="16">
        <v>23</v>
      </c>
      <c r="J1205" s="15" t="s">
        <v>1</v>
      </c>
      <c r="K1205" s="15" t="s">
        <v>2</v>
      </c>
      <c r="L1205" s="8">
        <f>UnilabUsage[[#This Row],[Used-MB]]-F1195</f>
        <v>65</v>
      </c>
      <c r="M1205" s="22">
        <f>UnilabUsage[[#This Row],[Max]]-UnilabUsage[[#This Row],[Used-MB]]</f>
        <v>25259</v>
      </c>
      <c r="N1205" s="5">
        <f>IF($L1205&gt;0,UnilabUsage[[#This Row],[Free-of-Max]]/UnilabUsage[[#This Row],[Usage-Delta-MB]],UnilabUsage[[#This Row],[Free-of-Max]])</f>
        <v>388.6</v>
      </c>
    </row>
    <row r="1206" spans="1:14" x14ac:dyDescent="0.25">
      <c r="A1206" s="3">
        <v>45433</v>
      </c>
      <c r="B1206" s="15" t="s">
        <v>3</v>
      </c>
      <c r="C1206" s="16">
        <v>94</v>
      </c>
      <c r="D1206" s="16">
        <v>491518</v>
      </c>
      <c r="E1206" s="16">
        <v>30028</v>
      </c>
      <c r="F1206" s="16">
        <v>461490</v>
      </c>
      <c r="G1206" s="16">
        <v>6</v>
      </c>
      <c r="H1206" s="16">
        <v>491520</v>
      </c>
      <c r="I1206" s="16">
        <v>94</v>
      </c>
      <c r="J1206" s="15" t="s">
        <v>1</v>
      </c>
      <c r="K1206" s="15" t="s">
        <v>2</v>
      </c>
      <c r="L1206" s="8">
        <f>UnilabUsage[[#This Row],[Used-MB]]-F1196</f>
        <v>346</v>
      </c>
      <c r="M1206" s="22">
        <f>UnilabUsage[[#This Row],[Max]]-UnilabUsage[[#This Row],[Used-MB]]</f>
        <v>30030</v>
      </c>
      <c r="N1206" s="5">
        <f>IF($L1206&gt;0,UnilabUsage[[#This Row],[Free-of-Max]]/UnilabUsage[[#This Row],[Usage-Delta-MB]],UnilabUsage[[#This Row],[Free-of-Max]])</f>
        <v>86.79190751445087</v>
      </c>
    </row>
    <row r="1207" spans="1:14" x14ac:dyDescent="0.25">
      <c r="A1207" s="3">
        <v>45433</v>
      </c>
      <c r="B1207" s="15" t="s">
        <v>5</v>
      </c>
      <c r="C1207" s="16">
        <v>96</v>
      </c>
      <c r="D1207" s="16">
        <v>24900</v>
      </c>
      <c r="E1207" s="16">
        <v>1075</v>
      </c>
      <c r="F1207" s="16">
        <v>23825</v>
      </c>
      <c r="G1207" s="16">
        <v>4</v>
      </c>
      <c r="H1207" s="16">
        <v>32768</v>
      </c>
      <c r="I1207" s="16">
        <v>73</v>
      </c>
      <c r="J1207" s="15" t="s">
        <v>1</v>
      </c>
      <c r="K1207" s="15" t="s">
        <v>2</v>
      </c>
      <c r="L1207" s="8">
        <f>UnilabUsage[[#This Row],[Used-MB]]-F1197</f>
        <v>17</v>
      </c>
      <c r="M1207" s="22">
        <f>UnilabUsage[[#This Row],[Max]]-UnilabUsage[[#This Row],[Used-MB]]</f>
        <v>8943</v>
      </c>
      <c r="N1207" s="5">
        <f>IF($L1207&gt;0,UnilabUsage[[#This Row],[Free-of-Max]]/UnilabUsage[[#This Row],[Usage-Delta-MB]],UnilabUsage[[#This Row],[Free-of-Max]])</f>
        <v>526.05882352941171</v>
      </c>
    </row>
    <row r="1208" spans="1:14" x14ac:dyDescent="0.25">
      <c r="A1208" s="3">
        <v>45433</v>
      </c>
      <c r="B1208" s="15" t="s">
        <v>8</v>
      </c>
      <c r="C1208" s="16">
        <v>93</v>
      </c>
      <c r="D1208" s="16">
        <v>327680</v>
      </c>
      <c r="E1208" s="16">
        <v>21936</v>
      </c>
      <c r="F1208" s="16">
        <v>305744</v>
      </c>
      <c r="G1208" s="16">
        <v>7</v>
      </c>
      <c r="H1208" s="16">
        <v>327680</v>
      </c>
      <c r="I1208" s="16">
        <v>93</v>
      </c>
      <c r="J1208" s="15" t="s">
        <v>1</v>
      </c>
      <c r="K1208" s="15" t="s">
        <v>2</v>
      </c>
      <c r="L1208" s="8">
        <f>UnilabUsage[[#This Row],[Used-MB]]-F1198</f>
        <v>594</v>
      </c>
      <c r="M1208" s="22">
        <f>UnilabUsage[[#This Row],[Max]]-UnilabUsage[[#This Row],[Used-MB]]</f>
        <v>21936</v>
      </c>
      <c r="N1208" s="5">
        <f>IF($L1208&gt;0,UnilabUsage[[#This Row],[Free-of-Max]]/UnilabUsage[[#This Row],[Usage-Delta-MB]],UnilabUsage[[#This Row],[Free-of-Max]])</f>
        <v>36.929292929292927</v>
      </c>
    </row>
    <row r="1209" spans="1:14" x14ac:dyDescent="0.25">
      <c r="A1209" s="3">
        <v>45433</v>
      </c>
      <c r="B1209" s="15" t="s">
        <v>4</v>
      </c>
      <c r="C1209" s="16">
        <v>97</v>
      </c>
      <c r="D1209" s="16">
        <v>99260</v>
      </c>
      <c r="E1209" s="16">
        <v>2498</v>
      </c>
      <c r="F1209" s="16">
        <v>96762</v>
      </c>
      <c r="G1209" s="16">
        <v>3</v>
      </c>
      <c r="H1209" s="16">
        <v>131072</v>
      </c>
      <c r="I1209" s="16">
        <v>74</v>
      </c>
      <c r="J1209" s="15" t="s">
        <v>1</v>
      </c>
      <c r="K1209" s="15" t="s">
        <v>2</v>
      </c>
      <c r="L1209" s="8">
        <f>UnilabUsage[[#This Row],[Used-MB]]-F1199</f>
        <v>64</v>
      </c>
      <c r="M1209" s="22">
        <f>UnilabUsage[[#This Row],[Max]]-UnilabUsage[[#This Row],[Used-MB]]</f>
        <v>34310</v>
      </c>
      <c r="N1209" s="5">
        <f>IF($L1209&gt;0,UnilabUsage[[#This Row],[Free-of-Max]]/UnilabUsage[[#This Row],[Usage-Delta-MB]],UnilabUsage[[#This Row],[Free-of-Max]])</f>
        <v>536.09375</v>
      </c>
    </row>
    <row r="1210" spans="1:14" x14ac:dyDescent="0.25">
      <c r="A1210" s="3">
        <v>45433</v>
      </c>
      <c r="B1210" s="15" t="s">
        <v>12</v>
      </c>
      <c r="C1210" s="16">
        <v>0</v>
      </c>
      <c r="D1210" s="16">
        <v>30720</v>
      </c>
      <c r="E1210" s="16">
        <v>30659</v>
      </c>
      <c r="F1210" s="16">
        <v>61</v>
      </c>
      <c r="G1210" s="16">
        <v>100</v>
      </c>
      <c r="H1210" s="16">
        <v>30720</v>
      </c>
      <c r="I1210" s="16">
        <v>0</v>
      </c>
      <c r="J1210" s="15" t="s">
        <v>1</v>
      </c>
      <c r="K1210" s="15" t="s">
        <v>13</v>
      </c>
      <c r="L1210" s="8">
        <f>UnilabUsage[[#This Row],[Used-MB]]-F1200</f>
        <v>14</v>
      </c>
      <c r="M1210" s="22">
        <f>UnilabUsage[[#This Row],[Max]]-UnilabUsage[[#This Row],[Used-MB]]</f>
        <v>30659</v>
      </c>
      <c r="N1210" s="5">
        <f>IF($L1210&gt;0,UnilabUsage[[#This Row],[Free-of-Max]]/UnilabUsage[[#This Row],[Usage-Delta-MB]],UnilabUsage[[#This Row],[Free-of-Max]])</f>
        <v>2189.9285714285716</v>
      </c>
    </row>
    <row r="1211" spans="1:14" x14ac:dyDescent="0.25">
      <c r="A1211" s="3">
        <v>45433</v>
      </c>
      <c r="B1211" s="15" t="s">
        <v>9</v>
      </c>
      <c r="C1211" s="16">
        <v>3</v>
      </c>
      <c r="D1211" s="16">
        <v>10440</v>
      </c>
      <c r="E1211" s="16">
        <v>10087</v>
      </c>
      <c r="F1211" s="16">
        <v>353</v>
      </c>
      <c r="G1211" s="16">
        <v>97</v>
      </c>
      <c r="H1211" s="16">
        <v>32768</v>
      </c>
      <c r="I1211" s="16">
        <v>1</v>
      </c>
      <c r="J1211" s="15" t="s">
        <v>1</v>
      </c>
      <c r="K1211" s="15" t="s">
        <v>10</v>
      </c>
      <c r="L1211" s="8">
        <f>UnilabUsage[[#This Row],[Used-MB]]-F1201</f>
        <v>-65</v>
      </c>
      <c r="M1211" s="22">
        <f>UnilabUsage[[#This Row],[Max]]-UnilabUsage[[#This Row],[Used-MB]]</f>
        <v>32415</v>
      </c>
      <c r="N1211" s="5">
        <f>IF($L1211&gt;0,UnilabUsage[[#This Row],[Free-of-Max]]/UnilabUsage[[#This Row],[Usage-Delta-MB]],UnilabUsage[[#This Row],[Free-of-Max]])</f>
        <v>32415</v>
      </c>
    </row>
  </sheetData>
  <conditionalFormatting sqref="B1:B1048576">
    <cfRule type="cellIs" dxfId="40" priority="11" operator="equal">
      <formula>"UNI_DATAO"</formula>
    </cfRule>
    <cfRule type="cellIs" dxfId="39" priority="12" operator="equal">
      <formula>"UNI_INDEXO"</formula>
    </cfRule>
  </conditionalFormatting>
  <conditionalFormatting sqref="AJ1">
    <cfRule type="cellIs" dxfId="38" priority="3" operator="equal">
      <formula>"UNI_DATAO"</formula>
    </cfRule>
    <cfRule type="cellIs" dxfId="37" priority="4" operator="equal">
      <formula>"UNI_INDEXO"</formula>
    </cfRule>
  </conditionalFormatting>
  <conditionalFormatting sqref="S1">
    <cfRule type="cellIs" dxfId="36" priority="1" operator="equal">
      <formula>"UNI_DATAO"</formula>
    </cfRule>
    <cfRule type="cellIs" dxfId="35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topLeftCell="A7" zoomScale="85" zoomScaleNormal="85" workbookViewId="0">
      <selection activeCell="P40" sqref="P4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W1211"/>
  <sheetViews>
    <sheetView topLeftCell="N1" zoomScale="85" zoomScaleNormal="85" workbookViewId="0">
      <pane ySplit="1" topLeftCell="A94" activePane="bottomLeft" state="frozen"/>
      <selection pane="bottomLeft" activeCell="AV126" sqref="AV126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3.1406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9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  <c r="AW1" s="1"/>
    </row>
    <row r="2" spans="1:49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9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10">
        <v>99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9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9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10">
        <v>99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9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9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10">
        <v>99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9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10">
        <v>99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9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9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10">
        <v>99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9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10">
        <v>99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9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9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10">
        <v>99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9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10">
        <v>99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9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10">
        <v>99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9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10">
        <v>99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10">
        <v>99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10">
        <v>99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10">
        <v>99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10">
        <v>99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10">
        <v>99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10">
        <v>99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10">
        <v>99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10">
        <v>99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10">
        <v>99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10">
        <v>99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10">
        <v>99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10">
        <v>99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10">
        <v>99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10">
        <v>99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10">
        <v>99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10">
        <v>99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10">
        <v>99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10">
        <v>99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10">
        <v>99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10">
        <v>99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10">
        <v>99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10">
        <v>99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10">
        <v>99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10">
        <v>99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10">
        <v>99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10">
        <v>99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10">
        <v>99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10">
        <v>99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10">
        <v>99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10">
        <v>99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10">
        <v>99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10">
        <v>99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10">
        <v>99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10">
        <v>99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10">
        <v>99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10">
        <v>99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10">
        <v>99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10">
        <v>99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10">
        <v>99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10">
        <v>99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10">
        <v>99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10">
        <v>99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10">
        <v>99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10">
        <v>99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10">
        <v>99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10">
        <v>99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10">
        <v>99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10">
        <v>99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10">
        <v>99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10">
        <v>99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  <c r="R86" s="3">
        <v>45131</v>
      </c>
      <c r="S86" s="15" t="s">
        <v>24</v>
      </c>
      <c r="T86" s="16">
        <v>89</v>
      </c>
      <c r="U86" s="16">
        <v>18400</v>
      </c>
      <c r="V86" s="16">
        <v>2052</v>
      </c>
      <c r="W86" s="16">
        <v>16348</v>
      </c>
      <c r="X86" s="16">
        <v>11</v>
      </c>
      <c r="Y86" s="16">
        <v>32768</v>
      </c>
      <c r="Z86" s="16">
        <v>50</v>
      </c>
      <c r="AA86" s="15" t="s">
        <v>1</v>
      </c>
      <c r="AB86" s="15" t="s">
        <v>2</v>
      </c>
      <c r="AC86" s="8">
        <v>112</v>
      </c>
      <c r="AD86">
        <v>16420</v>
      </c>
      <c r="AE86" s="5">
        <v>146.60714285714286</v>
      </c>
      <c r="AI86" s="3">
        <v>45131</v>
      </c>
      <c r="AJ86" s="15" t="s">
        <v>27</v>
      </c>
      <c r="AK86" s="16">
        <v>83</v>
      </c>
      <c r="AL86" s="16">
        <v>163840</v>
      </c>
      <c r="AM86" s="16">
        <v>27233</v>
      </c>
      <c r="AN86" s="16">
        <v>136607</v>
      </c>
      <c r="AO86" s="16">
        <v>17</v>
      </c>
      <c r="AP86" s="16">
        <v>163840</v>
      </c>
      <c r="AQ86" s="16">
        <v>83</v>
      </c>
      <c r="AR86" s="15" t="s">
        <v>1</v>
      </c>
      <c r="AS86" s="15" t="s">
        <v>2</v>
      </c>
      <c r="AT86" s="8">
        <v>8423</v>
      </c>
      <c r="AU86">
        <v>27233</v>
      </c>
      <c r="AV86" s="5">
        <v>3.233171079187938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  <c r="R87" s="3">
        <v>45138</v>
      </c>
      <c r="S87" s="15" t="s">
        <v>24</v>
      </c>
      <c r="T87" s="16">
        <v>89</v>
      </c>
      <c r="U87" s="16">
        <v>18400</v>
      </c>
      <c r="V87" s="16">
        <v>2013</v>
      </c>
      <c r="W87" s="16">
        <v>16387</v>
      </c>
      <c r="X87" s="16">
        <v>11</v>
      </c>
      <c r="Y87" s="16">
        <v>32768</v>
      </c>
      <c r="Z87" s="16">
        <v>50</v>
      </c>
      <c r="AA87" s="15" t="s">
        <v>1</v>
      </c>
      <c r="AB87" s="15" t="s">
        <v>2</v>
      </c>
      <c r="AC87" s="8">
        <v>39</v>
      </c>
      <c r="AD87">
        <v>16381</v>
      </c>
      <c r="AE87" s="5">
        <v>420.02564102564105</v>
      </c>
      <c r="AI87" s="3">
        <v>45138</v>
      </c>
      <c r="AJ87" s="15" t="s">
        <v>27</v>
      </c>
      <c r="AK87" s="16">
        <v>83</v>
      </c>
      <c r="AL87" s="16">
        <v>163840</v>
      </c>
      <c r="AM87" s="16">
        <v>27159</v>
      </c>
      <c r="AN87" s="16">
        <v>136681</v>
      </c>
      <c r="AO87" s="16">
        <v>17</v>
      </c>
      <c r="AP87" s="16">
        <v>163840</v>
      </c>
      <c r="AQ87" s="16">
        <v>83</v>
      </c>
      <c r="AR87" s="15" t="s">
        <v>1</v>
      </c>
      <c r="AS87" s="15" t="s">
        <v>2</v>
      </c>
      <c r="AT87" s="8">
        <v>74</v>
      </c>
      <c r="AU87">
        <v>27159</v>
      </c>
      <c r="AV87" s="5">
        <v>367.01351351351349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  <c r="R88" s="3">
        <v>45145</v>
      </c>
      <c r="S88" s="15" t="s">
        <v>24</v>
      </c>
      <c r="T88" s="16">
        <v>90</v>
      </c>
      <c r="U88" s="16">
        <v>18400</v>
      </c>
      <c r="V88" s="16">
        <v>1916</v>
      </c>
      <c r="W88" s="16">
        <v>16484</v>
      </c>
      <c r="X88" s="16">
        <v>10</v>
      </c>
      <c r="Y88" s="16">
        <v>32768</v>
      </c>
      <c r="Z88" s="16">
        <v>50</v>
      </c>
      <c r="AA88" s="15" t="s">
        <v>1</v>
      </c>
      <c r="AB88" s="15" t="s">
        <v>2</v>
      </c>
      <c r="AC88" s="8">
        <v>97</v>
      </c>
      <c r="AD88">
        <v>16284</v>
      </c>
      <c r="AE88" s="5">
        <v>167.8762886597938</v>
      </c>
      <c r="AI88" s="3">
        <v>45145</v>
      </c>
      <c r="AJ88" s="15" t="s">
        <v>27</v>
      </c>
      <c r="AK88" s="16">
        <v>84</v>
      </c>
      <c r="AL88" s="16">
        <v>163840</v>
      </c>
      <c r="AM88" s="16">
        <v>26956</v>
      </c>
      <c r="AN88" s="16">
        <v>136884</v>
      </c>
      <c r="AO88" s="16">
        <v>16</v>
      </c>
      <c r="AP88" s="16">
        <v>163840</v>
      </c>
      <c r="AQ88" s="16">
        <v>84</v>
      </c>
      <c r="AR88" s="15" t="s">
        <v>1</v>
      </c>
      <c r="AS88" s="15" t="s">
        <v>2</v>
      </c>
      <c r="AT88" s="8">
        <v>203</v>
      </c>
      <c r="AU88">
        <v>26956</v>
      </c>
      <c r="AV88" s="5">
        <v>132.78817733990147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  <c r="R89" s="3">
        <v>45152</v>
      </c>
      <c r="S89" s="15" t="s">
        <v>24</v>
      </c>
      <c r="T89" s="16">
        <v>90</v>
      </c>
      <c r="U89" s="16">
        <v>18400</v>
      </c>
      <c r="V89" s="16">
        <v>1878</v>
      </c>
      <c r="W89" s="16">
        <v>16522</v>
      </c>
      <c r="X89" s="16">
        <v>10</v>
      </c>
      <c r="Y89" s="16">
        <v>32768</v>
      </c>
      <c r="Z89" s="16">
        <v>50</v>
      </c>
      <c r="AA89" s="15" t="s">
        <v>1</v>
      </c>
      <c r="AB89" s="15" t="s">
        <v>2</v>
      </c>
      <c r="AC89" s="8">
        <v>38</v>
      </c>
      <c r="AD89">
        <v>16246</v>
      </c>
      <c r="AE89" s="5">
        <v>427.5263157894737</v>
      </c>
      <c r="AI89" s="3">
        <v>45152</v>
      </c>
      <c r="AJ89" s="15" t="s">
        <v>27</v>
      </c>
      <c r="AK89" s="16">
        <v>84</v>
      </c>
      <c r="AL89" s="16">
        <v>163840</v>
      </c>
      <c r="AM89" s="16">
        <v>26767</v>
      </c>
      <c r="AN89" s="16">
        <v>137073</v>
      </c>
      <c r="AO89" s="16">
        <v>16</v>
      </c>
      <c r="AP89" s="16">
        <v>163840</v>
      </c>
      <c r="AQ89" s="16">
        <v>84</v>
      </c>
      <c r="AR89" s="15" t="s">
        <v>1</v>
      </c>
      <c r="AS89" s="15" t="s">
        <v>2</v>
      </c>
      <c r="AT89" s="8">
        <v>189</v>
      </c>
      <c r="AU89">
        <v>26767</v>
      </c>
      <c r="AV89" s="5">
        <v>141.62433862433863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  <c r="R90" s="3">
        <v>45159</v>
      </c>
      <c r="S90" s="15" t="s">
        <v>24</v>
      </c>
      <c r="T90" s="16">
        <v>90</v>
      </c>
      <c r="U90" s="16">
        <v>18400</v>
      </c>
      <c r="V90" s="16">
        <v>1845</v>
      </c>
      <c r="W90" s="16">
        <v>16555</v>
      </c>
      <c r="X90" s="16">
        <v>10</v>
      </c>
      <c r="Y90" s="16">
        <v>32768</v>
      </c>
      <c r="Z90" s="16">
        <v>51</v>
      </c>
      <c r="AA90" s="15" t="s">
        <v>1</v>
      </c>
      <c r="AB90" s="15" t="s">
        <v>2</v>
      </c>
      <c r="AC90" s="8">
        <v>33</v>
      </c>
      <c r="AD90">
        <v>16213</v>
      </c>
      <c r="AE90" s="5">
        <v>491.30303030303031</v>
      </c>
      <c r="AI90" s="3">
        <v>45159</v>
      </c>
      <c r="AJ90" s="15" t="s">
        <v>27</v>
      </c>
      <c r="AK90" s="16">
        <v>84</v>
      </c>
      <c r="AL90" s="16">
        <v>163840</v>
      </c>
      <c r="AM90" s="16">
        <v>26591</v>
      </c>
      <c r="AN90" s="16">
        <v>137249</v>
      </c>
      <c r="AO90" s="16">
        <v>16</v>
      </c>
      <c r="AP90" s="16">
        <v>163840</v>
      </c>
      <c r="AQ90" s="16">
        <v>84</v>
      </c>
      <c r="AR90" s="15" t="s">
        <v>1</v>
      </c>
      <c r="AS90" s="15" t="s">
        <v>2</v>
      </c>
      <c r="AT90" s="8">
        <v>176</v>
      </c>
      <c r="AU90">
        <v>26591</v>
      </c>
      <c r="AV90" s="5">
        <v>151.08522727272728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  <c r="R91" s="3">
        <v>45166</v>
      </c>
      <c r="S91" s="15" t="s">
        <v>24</v>
      </c>
      <c r="T91" s="16">
        <v>90</v>
      </c>
      <c r="U91" s="16">
        <v>18400</v>
      </c>
      <c r="V91" s="16">
        <v>1818</v>
      </c>
      <c r="W91" s="16">
        <v>16582</v>
      </c>
      <c r="X91" s="16">
        <v>10</v>
      </c>
      <c r="Y91" s="16">
        <v>32768</v>
      </c>
      <c r="Z91" s="16">
        <v>51</v>
      </c>
      <c r="AA91" s="15" t="s">
        <v>1</v>
      </c>
      <c r="AB91" s="15" t="s">
        <v>2</v>
      </c>
      <c r="AC91" s="8">
        <v>27</v>
      </c>
      <c r="AD91">
        <v>16186</v>
      </c>
      <c r="AE91" s="5">
        <v>599.48148148148152</v>
      </c>
      <c r="AI91" s="3">
        <v>45166</v>
      </c>
      <c r="AJ91" s="15" t="s">
        <v>27</v>
      </c>
      <c r="AK91" s="16">
        <v>84</v>
      </c>
      <c r="AL91" s="16">
        <v>163840</v>
      </c>
      <c r="AM91" s="16">
        <v>26065</v>
      </c>
      <c r="AN91" s="16">
        <v>137775</v>
      </c>
      <c r="AO91" s="16">
        <v>16</v>
      </c>
      <c r="AP91" s="16">
        <v>163840</v>
      </c>
      <c r="AQ91" s="16">
        <v>84</v>
      </c>
      <c r="AR91" s="15" t="s">
        <v>1</v>
      </c>
      <c r="AS91" s="15" t="s">
        <v>2</v>
      </c>
      <c r="AT91" s="8">
        <v>526</v>
      </c>
      <c r="AU91">
        <v>26065</v>
      </c>
      <c r="AV91" s="5">
        <v>49.553231939163496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  <c r="R92" s="3">
        <v>45173</v>
      </c>
      <c r="S92" s="15" t="s">
        <v>24</v>
      </c>
      <c r="T92" s="16">
        <v>90</v>
      </c>
      <c r="U92" s="16">
        <v>18400</v>
      </c>
      <c r="V92" s="16">
        <v>1766</v>
      </c>
      <c r="W92" s="16">
        <v>16634</v>
      </c>
      <c r="X92" s="16">
        <v>10</v>
      </c>
      <c r="Y92" s="16">
        <v>32768</v>
      </c>
      <c r="Z92" s="16">
        <v>51</v>
      </c>
      <c r="AA92" s="15" t="s">
        <v>1</v>
      </c>
      <c r="AB92" s="15" t="s">
        <v>2</v>
      </c>
      <c r="AC92" s="8">
        <v>52</v>
      </c>
      <c r="AD92">
        <v>16134</v>
      </c>
      <c r="AE92" s="5">
        <v>310.26923076923077</v>
      </c>
      <c r="AI92" s="3">
        <v>45173</v>
      </c>
      <c r="AJ92" s="15" t="s">
        <v>27</v>
      </c>
      <c r="AK92" s="16">
        <v>84</v>
      </c>
      <c r="AL92" s="16">
        <v>163840</v>
      </c>
      <c r="AM92" s="16">
        <v>25864</v>
      </c>
      <c r="AN92" s="16">
        <v>137976</v>
      </c>
      <c r="AO92" s="16">
        <v>16</v>
      </c>
      <c r="AP92" s="16">
        <v>163840</v>
      </c>
      <c r="AQ92" s="16">
        <v>84</v>
      </c>
      <c r="AR92" s="15" t="s">
        <v>1</v>
      </c>
      <c r="AS92" s="15" t="s">
        <v>2</v>
      </c>
      <c r="AT92" s="8">
        <v>201</v>
      </c>
      <c r="AU92">
        <v>25864</v>
      </c>
      <c r="AV92" s="5">
        <v>128.6766169154229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10">
        <v>99</v>
      </c>
      <c r="R93" s="3">
        <v>45187</v>
      </c>
      <c r="S93" s="15" t="s">
        <v>24</v>
      </c>
      <c r="T93" s="16">
        <v>91</v>
      </c>
      <c r="U93" s="16">
        <v>18400</v>
      </c>
      <c r="V93" s="16">
        <v>1601</v>
      </c>
      <c r="W93" s="16">
        <v>16799</v>
      </c>
      <c r="X93" s="16">
        <v>9</v>
      </c>
      <c r="Y93" s="16">
        <v>32768</v>
      </c>
      <c r="Z93" s="16">
        <v>51</v>
      </c>
      <c r="AA93" s="15" t="s">
        <v>1</v>
      </c>
      <c r="AB93" s="15" t="s">
        <v>2</v>
      </c>
      <c r="AC93" s="8">
        <v>165</v>
      </c>
      <c r="AD93">
        <v>15969</v>
      </c>
      <c r="AE93" s="5">
        <v>96.781818181818181</v>
      </c>
      <c r="AI93" s="3">
        <v>45187</v>
      </c>
      <c r="AJ93" s="15" t="s">
        <v>27</v>
      </c>
      <c r="AK93" s="16">
        <v>85</v>
      </c>
      <c r="AL93" s="16">
        <v>163840</v>
      </c>
      <c r="AM93" s="16">
        <v>25083</v>
      </c>
      <c r="AN93" s="16">
        <v>138757</v>
      </c>
      <c r="AO93" s="16">
        <v>15</v>
      </c>
      <c r="AP93" s="16">
        <v>163840</v>
      </c>
      <c r="AQ93" s="16">
        <v>85</v>
      </c>
      <c r="AR93" s="15" t="s">
        <v>1</v>
      </c>
      <c r="AS93" s="15" t="s">
        <v>2</v>
      </c>
      <c r="AT93" s="8">
        <v>781</v>
      </c>
      <c r="AU93">
        <v>25083</v>
      </c>
      <c r="AV93" s="5">
        <v>32.116517285531373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  <c r="R94" s="3">
        <v>45194</v>
      </c>
      <c r="S94" s="15" t="s">
        <v>24</v>
      </c>
      <c r="T94" s="16">
        <v>91</v>
      </c>
      <c r="U94" s="16">
        <v>18400</v>
      </c>
      <c r="V94" s="16">
        <v>1567</v>
      </c>
      <c r="W94" s="16">
        <v>16833</v>
      </c>
      <c r="X94" s="16">
        <v>9</v>
      </c>
      <c r="Y94" s="16">
        <v>32768</v>
      </c>
      <c r="Z94" s="16">
        <v>51</v>
      </c>
      <c r="AA94" s="15" t="s">
        <v>1</v>
      </c>
      <c r="AB94" s="15" t="s">
        <v>2</v>
      </c>
      <c r="AC94" s="8">
        <v>34</v>
      </c>
      <c r="AD94">
        <v>15935</v>
      </c>
      <c r="AE94" s="5">
        <v>468.6764705882353</v>
      </c>
      <c r="AI94" s="3">
        <v>45194</v>
      </c>
      <c r="AJ94" s="15" t="s">
        <v>27</v>
      </c>
      <c r="AK94" s="16">
        <v>85</v>
      </c>
      <c r="AL94" s="16">
        <v>163840</v>
      </c>
      <c r="AM94" s="16">
        <v>24840</v>
      </c>
      <c r="AN94" s="16">
        <v>139000</v>
      </c>
      <c r="AO94" s="16">
        <v>15</v>
      </c>
      <c r="AP94" s="16">
        <v>163840</v>
      </c>
      <c r="AQ94" s="16">
        <v>85</v>
      </c>
      <c r="AR94" s="15" t="s">
        <v>1</v>
      </c>
      <c r="AS94" s="15" t="s">
        <v>2</v>
      </c>
      <c r="AT94" s="8">
        <v>243</v>
      </c>
      <c r="AU94">
        <v>24840</v>
      </c>
      <c r="AV94" s="5">
        <v>102.22222222222223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  <c r="R95" s="3">
        <v>45201</v>
      </c>
      <c r="S95" s="15" t="s">
        <v>24</v>
      </c>
      <c r="T95" s="16">
        <v>92</v>
      </c>
      <c r="U95" s="16">
        <v>18400</v>
      </c>
      <c r="V95" s="16">
        <v>1525</v>
      </c>
      <c r="W95" s="16">
        <v>16875</v>
      </c>
      <c r="X95" s="16">
        <v>8</v>
      </c>
      <c r="Y95" s="16">
        <v>32768</v>
      </c>
      <c r="Z95" s="16">
        <v>51</v>
      </c>
      <c r="AA95" s="15" t="s">
        <v>1</v>
      </c>
      <c r="AB95" s="15" t="s">
        <v>2</v>
      </c>
      <c r="AC95" s="8">
        <v>42</v>
      </c>
      <c r="AD95">
        <v>15893</v>
      </c>
      <c r="AE95" s="5">
        <v>378.40476190476193</v>
      </c>
      <c r="AI95" s="3">
        <v>45201</v>
      </c>
      <c r="AJ95" s="15" t="s">
        <v>27</v>
      </c>
      <c r="AK95" s="16">
        <v>85</v>
      </c>
      <c r="AL95" s="16">
        <v>163840</v>
      </c>
      <c r="AM95" s="16">
        <v>24582</v>
      </c>
      <c r="AN95" s="16">
        <v>139258</v>
      </c>
      <c r="AO95" s="16">
        <v>15</v>
      </c>
      <c r="AP95" s="16">
        <v>163840</v>
      </c>
      <c r="AQ95" s="16">
        <v>85</v>
      </c>
      <c r="AR95" s="15" t="s">
        <v>1</v>
      </c>
      <c r="AS95" s="15" t="s">
        <v>2</v>
      </c>
      <c r="AT95" s="8">
        <v>258</v>
      </c>
      <c r="AU95">
        <v>24582</v>
      </c>
      <c r="AV95" s="5">
        <v>95.279069767441854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  <c r="R96" s="3">
        <v>45208</v>
      </c>
      <c r="S96" s="15" t="s">
        <v>24</v>
      </c>
      <c r="T96" s="16">
        <v>92</v>
      </c>
      <c r="U96" s="16">
        <v>18400</v>
      </c>
      <c r="V96" s="16">
        <v>1403</v>
      </c>
      <c r="W96" s="16">
        <v>16997</v>
      </c>
      <c r="X96" s="16">
        <v>8</v>
      </c>
      <c r="Y96" s="16">
        <v>32768</v>
      </c>
      <c r="Z96" s="16">
        <v>52</v>
      </c>
      <c r="AA96" s="15" t="s">
        <v>1</v>
      </c>
      <c r="AB96" s="15" t="s">
        <v>2</v>
      </c>
      <c r="AC96" s="8">
        <v>122</v>
      </c>
      <c r="AD96">
        <v>15771</v>
      </c>
      <c r="AE96" s="5">
        <v>129.2704918032787</v>
      </c>
      <c r="AI96" s="3">
        <v>45208</v>
      </c>
      <c r="AJ96" s="15" t="s">
        <v>27</v>
      </c>
      <c r="AK96" s="16">
        <v>85</v>
      </c>
      <c r="AL96" s="16">
        <v>163840</v>
      </c>
      <c r="AM96" s="16">
        <v>24220</v>
      </c>
      <c r="AN96" s="16">
        <v>139620</v>
      </c>
      <c r="AO96" s="16">
        <v>15</v>
      </c>
      <c r="AP96" s="16">
        <v>163840</v>
      </c>
      <c r="AQ96" s="16">
        <v>85</v>
      </c>
      <c r="AR96" s="15" t="s">
        <v>1</v>
      </c>
      <c r="AS96" s="15" t="s">
        <v>2</v>
      </c>
      <c r="AT96" s="8">
        <v>362</v>
      </c>
      <c r="AU96">
        <v>24220</v>
      </c>
      <c r="AV96" s="5">
        <v>66.906077348066304</v>
      </c>
    </row>
    <row r="97" spans="1:48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  <c r="R97" s="3">
        <v>45215</v>
      </c>
      <c r="S97" s="15" t="s">
        <v>24</v>
      </c>
      <c r="T97" s="16">
        <v>95</v>
      </c>
      <c r="U97" s="16">
        <v>54868</v>
      </c>
      <c r="V97" s="16">
        <v>2787</v>
      </c>
      <c r="W97" s="16">
        <v>52081</v>
      </c>
      <c r="X97" s="16">
        <v>5</v>
      </c>
      <c r="Y97" s="16">
        <v>65536</v>
      </c>
      <c r="Z97" s="16">
        <v>79</v>
      </c>
      <c r="AA97" s="15" t="s">
        <v>1</v>
      </c>
      <c r="AB97" s="15" t="s">
        <v>2</v>
      </c>
      <c r="AC97" s="8">
        <v>35084</v>
      </c>
      <c r="AD97">
        <v>13455</v>
      </c>
      <c r="AE97" s="5">
        <v>0.38350815186409759</v>
      </c>
      <c r="AI97" s="3">
        <v>45215</v>
      </c>
      <c r="AJ97" s="15" t="s">
        <v>27</v>
      </c>
      <c r="AK97" s="16">
        <v>91</v>
      </c>
      <c r="AL97" s="16">
        <v>163840</v>
      </c>
      <c r="AM97" s="16">
        <v>15555</v>
      </c>
      <c r="AN97" s="16">
        <v>148285</v>
      </c>
      <c r="AO97" s="16">
        <v>9</v>
      </c>
      <c r="AP97" s="16">
        <v>163840</v>
      </c>
      <c r="AQ97" s="16">
        <v>91</v>
      </c>
      <c r="AR97" s="15" t="s">
        <v>1</v>
      </c>
      <c r="AS97" s="15" t="s">
        <v>2</v>
      </c>
      <c r="AT97" s="8">
        <v>8665</v>
      </c>
      <c r="AU97">
        <v>15555</v>
      </c>
      <c r="AV97" s="5">
        <v>1.7951529140219273</v>
      </c>
    </row>
    <row r="98" spans="1:48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  <c r="R98" s="3">
        <v>45222</v>
      </c>
      <c r="S98" s="15" t="s">
        <v>24</v>
      </c>
      <c r="T98" s="16">
        <v>95</v>
      </c>
      <c r="U98" s="16">
        <v>54868</v>
      </c>
      <c r="V98" s="16">
        <v>2624</v>
      </c>
      <c r="W98" s="16">
        <v>52244</v>
      </c>
      <c r="X98" s="16">
        <v>5</v>
      </c>
      <c r="Y98" s="16">
        <v>65536</v>
      </c>
      <c r="Z98" s="16">
        <v>80</v>
      </c>
      <c r="AA98" s="15" t="s">
        <v>1</v>
      </c>
      <c r="AB98" s="15" t="s">
        <v>2</v>
      </c>
      <c r="AC98" s="8">
        <v>163</v>
      </c>
      <c r="AD98">
        <v>13292</v>
      </c>
      <c r="AE98" s="5">
        <v>81.546012269938657</v>
      </c>
      <c r="AI98" s="3">
        <v>45222</v>
      </c>
      <c r="AJ98" s="15" t="s">
        <v>27</v>
      </c>
      <c r="AK98" s="16">
        <v>91</v>
      </c>
      <c r="AL98" s="16">
        <v>163840</v>
      </c>
      <c r="AM98" s="16">
        <v>15225</v>
      </c>
      <c r="AN98" s="16">
        <v>148615</v>
      </c>
      <c r="AO98" s="16">
        <v>9</v>
      </c>
      <c r="AP98" s="16">
        <v>163840</v>
      </c>
      <c r="AQ98" s="16">
        <v>91</v>
      </c>
      <c r="AR98" s="15" t="s">
        <v>1</v>
      </c>
      <c r="AS98" s="15" t="s">
        <v>2</v>
      </c>
      <c r="AT98" s="8">
        <v>330</v>
      </c>
      <c r="AU98">
        <v>15225</v>
      </c>
      <c r="AV98" s="5">
        <v>46.136363636363633</v>
      </c>
    </row>
    <row r="99" spans="1:48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  <c r="R99" s="3">
        <v>45229</v>
      </c>
      <c r="S99" s="15" t="s">
        <v>24</v>
      </c>
      <c r="T99" s="16">
        <v>95</v>
      </c>
      <c r="U99" s="16">
        <v>54868</v>
      </c>
      <c r="V99" s="16">
        <v>2519</v>
      </c>
      <c r="W99" s="16">
        <v>52349</v>
      </c>
      <c r="X99" s="16">
        <v>5</v>
      </c>
      <c r="Y99" s="16">
        <v>65536</v>
      </c>
      <c r="Z99" s="16">
        <v>80</v>
      </c>
      <c r="AA99" s="15" t="s">
        <v>1</v>
      </c>
      <c r="AB99" s="15" t="s">
        <v>2</v>
      </c>
      <c r="AC99" s="8">
        <v>105</v>
      </c>
      <c r="AD99">
        <v>13187</v>
      </c>
      <c r="AE99" s="5">
        <v>125.5904761904762</v>
      </c>
      <c r="AI99" s="3">
        <v>45229</v>
      </c>
      <c r="AJ99" s="15" t="s">
        <v>27</v>
      </c>
      <c r="AK99" s="16">
        <v>91</v>
      </c>
      <c r="AL99" s="16">
        <v>163840</v>
      </c>
      <c r="AM99" s="16">
        <v>14829</v>
      </c>
      <c r="AN99" s="16">
        <v>149011</v>
      </c>
      <c r="AO99" s="16">
        <v>9</v>
      </c>
      <c r="AP99" s="16">
        <v>163840</v>
      </c>
      <c r="AQ99" s="16">
        <v>91</v>
      </c>
      <c r="AR99" s="15" t="s">
        <v>1</v>
      </c>
      <c r="AS99" s="15" t="s">
        <v>2</v>
      </c>
      <c r="AT99" s="8">
        <v>396</v>
      </c>
      <c r="AU99">
        <v>14829</v>
      </c>
      <c r="AV99" s="5">
        <v>37.446969696969695</v>
      </c>
    </row>
    <row r="100" spans="1:48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  <c r="R100" s="3">
        <v>45236</v>
      </c>
      <c r="S100" s="15" t="s">
        <v>24</v>
      </c>
      <c r="T100" s="16">
        <v>96</v>
      </c>
      <c r="U100" s="16">
        <v>54868</v>
      </c>
      <c r="V100" s="16">
        <v>2276</v>
      </c>
      <c r="W100" s="16">
        <v>52592</v>
      </c>
      <c r="X100" s="16">
        <v>4</v>
      </c>
      <c r="Y100" s="16">
        <v>65536</v>
      </c>
      <c r="Z100" s="16">
        <v>80</v>
      </c>
      <c r="AA100" s="15" t="s">
        <v>1</v>
      </c>
      <c r="AB100" s="15" t="s">
        <v>2</v>
      </c>
      <c r="AC100" s="8">
        <v>243</v>
      </c>
      <c r="AD100">
        <v>12944</v>
      </c>
      <c r="AE100" s="5">
        <v>53.267489711934154</v>
      </c>
      <c r="AI100" s="3">
        <v>45236</v>
      </c>
      <c r="AJ100" s="15" t="s">
        <v>27</v>
      </c>
      <c r="AK100" s="16">
        <v>91</v>
      </c>
      <c r="AL100" s="16">
        <v>163840</v>
      </c>
      <c r="AM100" s="16">
        <v>14378</v>
      </c>
      <c r="AN100" s="16">
        <v>149462</v>
      </c>
      <c r="AO100" s="16">
        <v>9</v>
      </c>
      <c r="AP100" s="16">
        <v>163840</v>
      </c>
      <c r="AQ100" s="16">
        <v>91</v>
      </c>
      <c r="AR100" s="15" t="s">
        <v>1</v>
      </c>
      <c r="AS100" s="15" t="s">
        <v>2</v>
      </c>
      <c r="AT100" s="8">
        <v>451</v>
      </c>
      <c r="AU100">
        <v>14378</v>
      </c>
      <c r="AV100" s="5">
        <v>31.880266075388025</v>
      </c>
    </row>
    <row r="101" spans="1:48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  <c r="R101" s="3">
        <v>45243</v>
      </c>
      <c r="S101" s="15" t="s">
        <v>24</v>
      </c>
      <c r="T101" s="16">
        <v>96</v>
      </c>
      <c r="U101" s="16">
        <v>54868</v>
      </c>
      <c r="V101" s="16">
        <v>2094</v>
      </c>
      <c r="W101" s="16">
        <v>52774</v>
      </c>
      <c r="X101" s="16">
        <v>4</v>
      </c>
      <c r="Y101" s="16">
        <v>65536</v>
      </c>
      <c r="Z101" s="16">
        <v>81</v>
      </c>
      <c r="AA101" s="15" t="s">
        <v>1</v>
      </c>
      <c r="AB101" s="15" t="s">
        <v>2</v>
      </c>
      <c r="AC101" s="8">
        <v>182</v>
      </c>
      <c r="AD101">
        <v>12762</v>
      </c>
      <c r="AE101" s="5">
        <v>70.120879120879124</v>
      </c>
      <c r="AI101" s="3">
        <v>45243</v>
      </c>
      <c r="AJ101" s="15" t="s">
        <v>27</v>
      </c>
      <c r="AK101" s="16">
        <v>91</v>
      </c>
      <c r="AL101" s="16">
        <v>163840</v>
      </c>
      <c r="AM101" s="16">
        <v>13986</v>
      </c>
      <c r="AN101" s="16">
        <v>149854</v>
      </c>
      <c r="AO101" s="16">
        <v>9</v>
      </c>
      <c r="AP101" s="16">
        <v>163840</v>
      </c>
      <c r="AQ101" s="16">
        <v>91</v>
      </c>
      <c r="AR101" s="15" t="s">
        <v>1</v>
      </c>
      <c r="AS101" s="15" t="s">
        <v>2</v>
      </c>
      <c r="AT101" s="8">
        <v>392</v>
      </c>
      <c r="AU101">
        <v>13986</v>
      </c>
      <c r="AV101" s="5">
        <v>35.678571428571431</v>
      </c>
    </row>
    <row r="102" spans="1:48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  <c r="R102" s="3">
        <v>45250</v>
      </c>
      <c r="S102" s="15" t="s">
        <v>24</v>
      </c>
      <c r="T102" s="16">
        <v>97</v>
      </c>
      <c r="U102" s="16">
        <v>54868</v>
      </c>
      <c r="V102" s="16">
        <v>1889</v>
      </c>
      <c r="W102" s="16">
        <v>52979</v>
      </c>
      <c r="X102" s="16">
        <v>3</v>
      </c>
      <c r="Y102" s="16">
        <v>65536</v>
      </c>
      <c r="Z102" s="16">
        <v>81</v>
      </c>
      <c r="AA102" s="15" t="s">
        <v>1</v>
      </c>
      <c r="AB102" s="15" t="s">
        <v>2</v>
      </c>
      <c r="AC102" s="8">
        <v>205</v>
      </c>
      <c r="AD102">
        <v>12557</v>
      </c>
      <c r="AE102" s="5">
        <v>61.253658536585363</v>
      </c>
      <c r="AI102" s="3">
        <v>45250</v>
      </c>
      <c r="AJ102" s="15" t="s">
        <v>27</v>
      </c>
      <c r="AK102" s="16">
        <v>92</v>
      </c>
      <c r="AL102" s="16">
        <v>163840</v>
      </c>
      <c r="AM102" s="16">
        <v>13436</v>
      </c>
      <c r="AN102" s="16">
        <v>150404</v>
      </c>
      <c r="AO102" s="16">
        <v>8</v>
      </c>
      <c r="AP102" s="16">
        <v>163840</v>
      </c>
      <c r="AQ102" s="16">
        <v>92</v>
      </c>
      <c r="AR102" s="15" t="s">
        <v>1</v>
      </c>
      <c r="AS102" s="15" t="s">
        <v>2</v>
      </c>
      <c r="AT102" s="8">
        <v>550</v>
      </c>
      <c r="AU102">
        <v>13436</v>
      </c>
      <c r="AV102" s="5">
        <v>24.42909090909091</v>
      </c>
    </row>
    <row r="103" spans="1:48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  <c r="R103" s="3">
        <v>45257</v>
      </c>
      <c r="S103" s="15" t="s">
        <v>24</v>
      </c>
      <c r="T103" s="16">
        <v>97</v>
      </c>
      <c r="U103" s="16">
        <v>54868</v>
      </c>
      <c r="V103" s="16">
        <v>1608</v>
      </c>
      <c r="W103" s="16">
        <v>53260</v>
      </c>
      <c r="X103" s="16">
        <v>3</v>
      </c>
      <c r="Y103" s="16">
        <v>65536</v>
      </c>
      <c r="Z103" s="16">
        <v>81</v>
      </c>
      <c r="AA103" s="15" t="s">
        <v>1</v>
      </c>
      <c r="AB103" s="15" t="s">
        <v>2</v>
      </c>
      <c r="AC103" s="8">
        <v>281</v>
      </c>
      <c r="AD103">
        <v>12276</v>
      </c>
      <c r="AE103" s="5">
        <v>43.686832740213525</v>
      </c>
      <c r="AI103" s="3">
        <v>45257</v>
      </c>
      <c r="AJ103" s="15" t="s">
        <v>27</v>
      </c>
      <c r="AK103" s="16">
        <v>92</v>
      </c>
      <c r="AL103" s="16">
        <v>163840</v>
      </c>
      <c r="AM103" s="16">
        <v>12845</v>
      </c>
      <c r="AN103" s="16">
        <v>150995</v>
      </c>
      <c r="AO103" s="16">
        <v>8</v>
      </c>
      <c r="AP103" s="16">
        <v>163840</v>
      </c>
      <c r="AQ103" s="16">
        <v>92</v>
      </c>
      <c r="AR103" s="15" t="s">
        <v>1</v>
      </c>
      <c r="AS103" s="15" t="s">
        <v>2</v>
      </c>
      <c r="AT103" s="8">
        <v>591</v>
      </c>
      <c r="AU103">
        <v>12845</v>
      </c>
      <c r="AV103" s="5">
        <v>21.734348561759731</v>
      </c>
    </row>
    <row r="104" spans="1:48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  <c r="R104" s="3">
        <v>45264</v>
      </c>
      <c r="S104" s="15" t="s">
        <v>24</v>
      </c>
      <c r="T104" s="16">
        <v>98</v>
      </c>
      <c r="U104" s="16">
        <v>54868</v>
      </c>
      <c r="V104" s="16">
        <v>1372</v>
      </c>
      <c r="W104" s="16">
        <v>53496</v>
      </c>
      <c r="X104" s="16">
        <v>2</v>
      </c>
      <c r="Y104" s="16">
        <v>65536</v>
      </c>
      <c r="Z104" s="16">
        <v>82</v>
      </c>
      <c r="AA104" s="15" t="s">
        <v>1</v>
      </c>
      <c r="AB104" s="15" t="s">
        <v>2</v>
      </c>
      <c r="AC104" s="8">
        <v>236</v>
      </c>
      <c r="AD104">
        <v>12040</v>
      </c>
      <c r="AE104" s="5">
        <v>51.016949152542374</v>
      </c>
      <c r="AI104" s="3">
        <v>45264</v>
      </c>
      <c r="AJ104" s="15" t="s">
        <v>27</v>
      </c>
      <c r="AK104" s="16">
        <v>92</v>
      </c>
      <c r="AL104" s="16">
        <v>163840</v>
      </c>
      <c r="AM104" s="16">
        <v>12314</v>
      </c>
      <c r="AN104" s="16">
        <v>151526</v>
      </c>
      <c r="AO104" s="16">
        <v>8</v>
      </c>
      <c r="AP104" s="16">
        <v>163840</v>
      </c>
      <c r="AQ104" s="16">
        <v>92</v>
      </c>
      <c r="AR104" s="15" t="s">
        <v>1</v>
      </c>
      <c r="AS104" s="15" t="s">
        <v>2</v>
      </c>
      <c r="AT104" s="8">
        <v>531</v>
      </c>
      <c r="AU104">
        <v>12314</v>
      </c>
      <c r="AV104" s="5">
        <v>23.190207156308851</v>
      </c>
    </row>
    <row r="105" spans="1:48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  <c r="R105" s="3">
        <v>45271</v>
      </c>
      <c r="S105" s="15" t="s">
        <v>24</v>
      </c>
      <c r="T105" s="16">
        <v>95</v>
      </c>
      <c r="U105" s="16">
        <v>56668</v>
      </c>
      <c r="V105" s="16">
        <v>2789</v>
      </c>
      <c r="W105" s="16">
        <v>53879</v>
      </c>
      <c r="X105" s="16">
        <v>5</v>
      </c>
      <c r="Y105" s="16">
        <v>65536</v>
      </c>
      <c r="Z105" s="16">
        <v>82</v>
      </c>
      <c r="AA105" s="15" t="s">
        <v>1</v>
      </c>
      <c r="AB105" s="15" t="s">
        <v>2</v>
      </c>
      <c r="AC105" s="8">
        <v>383</v>
      </c>
      <c r="AD105">
        <v>11657</v>
      </c>
      <c r="AE105" s="5">
        <v>30.436031331592691</v>
      </c>
      <c r="AI105" s="3">
        <v>45271</v>
      </c>
      <c r="AJ105" s="15" t="s">
        <v>27</v>
      </c>
      <c r="AK105" s="16">
        <v>93</v>
      </c>
      <c r="AL105" s="16">
        <v>163840</v>
      </c>
      <c r="AM105" s="16">
        <v>11192</v>
      </c>
      <c r="AN105" s="16">
        <v>152648</v>
      </c>
      <c r="AO105" s="16">
        <v>7</v>
      </c>
      <c r="AP105" s="16">
        <v>163840</v>
      </c>
      <c r="AQ105" s="16">
        <v>93</v>
      </c>
      <c r="AR105" s="15" t="s">
        <v>1</v>
      </c>
      <c r="AS105" s="15" t="s">
        <v>2</v>
      </c>
      <c r="AT105" s="8">
        <v>1122</v>
      </c>
      <c r="AU105">
        <v>11192</v>
      </c>
      <c r="AV105" s="5">
        <v>9.975044563279857</v>
      </c>
    </row>
    <row r="106" spans="1:48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  <c r="R106" s="3">
        <v>45278</v>
      </c>
      <c r="S106" s="15" t="s">
        <v>24</v>
      </c>
      <c r="T106" s="16">
        <v>95</v>
      </c>
      <c r="U106" s="16">
        <v>56668</v>
      </c>
      <c r="V106" s="16">
        <v>2610</v>
      </c>
      <c r="W106" s="16">
        <v>54058</v>
      </c>
      <c r="X106" s="16">
        <v>5</v>
      </c>
      <c r="Y106" s="16">
        <v>65536</v>
      </c>
      <c r="Z106" s="16">
        <v>82</v>
      </c>
      <c r="AA106" s="15" t="s">
        <v>1</v>
      </c>
      <c r="AB106" s="15" t="s">
        <v>2</v>
      </c>
      <c r="AC106" s="8">
        <v>179</v>
      </c>
      <c r="AD106">
        <v>11478</v>
      </c>
      <c r="AE106" s="5">
        <v>64.122905027932958</v>
      </c>
      <c r="AI106" s="3">
        <v>45278</v>
      </c>
      <c r="AJ106" s="15" t="s">
        <v>27</v>
      </c>
      <c r="AK106" s="16">
        <v>93</v>
      </c>
      <c r="AL106" s="16">
        <v>163840</v>
      </c>
      <c r="AM106" s="16">
        <v>10663</v>
      </c>
      <c r="AN106" s="16">
        <v>153177</v>
      </c>
      <c r="AO106" s="16">
        <v>7</v>
      </c>
      <c r="AP106" s="16">
        <v>163840</v>
      </c>
      <c r="AQ106" s="16">
        <v>93</v>
      </c>
      <c r="AR106" s="15" t="s">
        <v>1</v>
      </c>
      <c r="AS106" s="15" t="s">
        <v>2</v>
      </c>
      <c r="AT106" s="8">
        <v>529</v>
      </c>
      <c r="AU106">
        <v>10663</v>
      </c>
      <c r="AV106" s="5">
        <v>20.156899810964084</v>
      </c>
    </row>
    <row r="107" spans="1:48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  <c r="R107" s="3">
        <v>45299</v>
      </c>
      <c r="S107" s="15" t="s">
        <v>24</v>
      </c>
      <c r="T107" s="16">
        <v>96</v>
      </c>
      <c r="U107" s="16">
        <v>56668</v>
      </c>
      <c r="V107" s="16">
        <v>2391</v>
      </c>
      <c r="W107" s="16">
        <v>54277</v>
      </c>
      <c r="X107" s="16">
        <v>4</v>
      </c>
      <c r="Y107" s="16">
        <v>65536</v>
      </c>
      <c r="Z107" s="16">
        <v>83</v>
      </c>
      <c r="AA107" s="15" t="s">
        <v>1</v>
      </c>
      <c r="AB107" s="15" t="s">
        <v>2</v>
      </c>
      <c r="AC107" s="8">
        <v>219</v>
      </c>
      <c r="AD107">
        <v>11259</v>
      </c>
      <c r="AE107" s="5">
        <v>51.410958904109592</v>
      </c>
      <c r="AI107" s="3">
        <v>45299</v>
      </c>
      <c r="AJ107" s="15" t="s">
        <v>27</v>
      </c>
      <c r="AK107" s="16">
        <v>94</v>
      </c>
      <c r="AL107" s="16">
        <v>163840</v>
      </c>
      <c r="AM107" s="16">
        <v>10020</v>
      </c>
      <c r="AN107" s="16">
        <v>153820</v>
      </c>
      <c r="AO107" s="16">
        <v>6</v>
      </c>
      <c r="AP107" s="16">
        <v>163840</v>
      </c>
      <c r="AQ107" s="16">
        <v>94</v>
      </c>
      <c r="AR107" s="15" t="s">
        <v>1</v>
      </c>
      <c r="AS107" s="15" t="s">
        <v>2</v>
      </c>
      <c r="AT107" s="8">
        <v>643</v>
      </c>
      <c r="AU107">
        <v>10020</v>
      </c>
      <c r="AV107" s="5">
        <v>15.583203732503888</v>
      </c>
    </row>
    <row r="108" spans="1:48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  <c r="R108" s="3">
        <v>45306</v>
      </c>
      <c r="S108" s="15" t="s">
        <v>24</v>
      </c>
      <c r="T108" s="16">
        <v>96</v>
      </c>
      <c r="U108" s="16">
        <v>56668</v>
      </c>
      <c r="V108" s="16">
        <v>2197</v>
      </c>
      <c r="W108" s="16">
        <v>54471</v>
      </c>
      <c r="X108" s="16">
        <v>4</v>
      </c>
      <c r="Y108" s="16">
        <v>65536</v>
      </c>
      <c r="Z108" s="16">
        <v>83</v>
      </c>
      <c r="AA108" s="15" t="s">
        <v>1</v>
      </c>
      <c r="AB108" s="15" t="s">
        <v>2</v>
      </c>
      <c r="AC108" s="8">
        <v>194</v>
      </c>
      <c r="AD108">
        <v>11065</v>
      </c>
      <c r="AE108" s="5">
        <v>57.036082474226802</v>
      </c>
      <c r="AI108" s="3">
        <v>45306</v>
      </c>
      <c r="AJ108" s="15" t="s">
        <v>27</v>
      </c>
      <c r="AK108" s="16">
        <v>94</v>
      </c>
      <c r="AL108" s="16">
        <v>163840</v>
      </c>
      <c r="AM108" s="16">
        <v>9736</v>
      </c>
      <c r="AN108" s="16">
        <v>154104</v>
      </c>
      <c r="AO108" s="16">
        <v>6</v>
      </c>
      <c r="AP108" s="16">
        <v>163840</v>
      </c>
      <c r="AQ108" s="16">
        <v>94</v>
      </c>
      <c r="AR108" s="15" t="s">
        <v>1</v>
      </c>
      <c r="AS108" s="15" t="s">
        <v>2</v>
      </c>
      <c r="AT108" s="8">
        <v>284</v>
      </c>
      <c r="AU108">
        <v>9736</v>
      </c>
      <c r="AV108" s="5">
        <v>34.281690140845072</v>
      </c>
    </row>
    <row r="109" spans="1:48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  <c r="R109" s="3">
        <v>45320</v>
      </c>
      <c r="S109" s="15" t="s">
        <v>24</v>
      </c>
      <c r="T109" s="16">
        <v>97</v>
      </c>
      <c r="U109" s="16">
        <v>56668</v>
      </c>
      <c r="V109" s="16">
        <v>1968</v>
      </c>
      <c r="W109" s="16">
        <v>54700</v>
      </c>
      <c r="X109" s="16">
        <v>3</v>
      </c>
      <c r="Y109" s="16">
        <v>65536</v>
      </c>
      <c r="Z109" s="16">
        <v>83</v>
      </c>
      <c r="AA109" s="15" t="s">
        <v>1</v>
      </c>
      <c r="AB109" s="15" t="s">
        <v>2</v>
      </c>
      <c r="AC109" s="8">
        <v>229</v>
      </c>
      <c r="AD109">
        <v>10836</v>
      </c>
      <c r="AE109" s="5">
        <v>47.318777292576421</v>
      </c>
      <c r="AI109" s="3">
        <v>45320</v>
      </c>
      <c r="AJ109" s="15" t="s">
        <v>27</v>
      </c>
      <c r="AK109" s="16">
        <v>94</v>
      </c>
      <c r="AL109" s="16">
        <v>163840</v>
      </c>
      <c r="AM109" s="16">
        <v>9114</v>
      </c>
      <c r="AN109" s="16">
        <v>154726</v>
      </c>
      <c r="AO109" s="16">
        <v>6</v>
      </c>
      <c r="AP109" s="16">
        <v>163840</v>
      </c>
      <c r="AQ109" s="16">
        <v>94</v>
      </c>
      <c r="AR109" s="15" t="s">
        <v>1</v>
      </c>
      <c r="AS109" s="15" t="s">
        <v>2</v>
      </c>
      <c r="AT109" s="8">
        <v>622</v>
      </c>
      <c r="AU109">
        <v>9114</v>
      </c>
      <c r="AV109" s="5">
        <v>14.652733118971062</v>
      </c>
    </row>
    <row r="110" spans="1:48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  <c r="R110" s="3">
        <v>45327</v>
      </c>
      <c r="S110" s="15" t="s">
        <v>24</v>
      </c>
      <c r="T110" s="16">
        <v>97</v>
      </c>
      <c r="U110" s="16">
        <v>56668</v>
      </c>
      <c r="V110" s="16">
        <v>1719</v>
      </c>
      <c r="W110" s="16">
        <v>54949</v>
      </c>
      <c r="X110" s="16">
        <v>3</v>
      </c>
      <c r="Y110" s="16">
        <v>65536</v>
      </c>
      <c r="Z110" s="16">
        <v>84</v>
      </c>
      <c r="AA110" s="15" t="s">
        <v>1</v>
      </c>
      <c r="AB110" s="15" t="s">
        <v>2</v>
      </c>
      <c r="AC110" s="8">
        <v>249</v>
      </c>
      <c r="AD110">
        <v>10587</v>
      </c>
      <c r="AE110" s="5">
        <v>42.518072289156628</v>
      </c>
      <c r="AI110" s="3">
        <v>45327</v>
      </c>
      <c r="AJ110" s="15" t="s">
        <v>27</v>
      </c>
      <c r="AK110" s="16">
        <v>95</v>
      </c>
      <c r="AL110" s="16">
        <v>163840</v>
      </c>
      <c r="AM110" s="16">
        <v>8626</v>
      </c>
      <c r="AN110" s="16">
        <v>155214</v>
      </c>
      <c r="AO110" s="16">
        <v>5</v>
      </c>
      <c r="AP110" s="16">
        <v>163840</v>
      </c>
      <c r="AQ110" s="16">
        <v>95</v>
      </c>
      <c r="AR110" s="15" t="s">
        <v>1</v>
      </c>
      <c r="AS110" s="15" t="s">
        <v>2</v>
      </c>
      <c r="AT110" s="8">
        <v>488</v>
      </c>
      <c r="AU110">
        <v>8626</v>
      </c>
      <c r="AV110" s="5">
        <v>17.67622950819672</v>
      </c>
    </row>
    <row r="111" spans="1:48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  <c r="R111" s="3">
        <v>45334</v>
      </c>
      <c r="S111" s="15" t="s">
        <v>24</v>
      </c>
      <c r="T111" s="16">
        <v>97</v>
      </c>
      <c r="U111" s="16">
        <v>56668</v>
      </c>
      <c r="V111" s="16">
        <v>1572</v>
      </c>
      <c r="W111" s="16">
        <v>55096</v>
      </c>
      <c r="X111" s="16">
        <v>3</v>
      </c>
      <c r="Y111" s="16">
        <v>65536</v>
      </c>
      <c r="Z111" s="16">
        <v>84</v>
      </c>
      <c r="AA111" s="15" t="s">
        <v>1</v>
      </c>
      <c r="AB111" s="15" t="s">
        <v>2</v>
      </c>
      <c r="AC111" s="8">
        <v>147</v>
      </c>
      <c r="AD111">
        <v>10440</v>
      </c>
      <c r="AE111" s="5">
        <v>71.020408163265301</v>
      </c>
      <c r="AI111" s="3">
        <v>45334</v>
      </c>
      <c r="AJ111" s="15" t="s">
        <v>27</v>
      </c>
      <c r="AK111" s="16">
        <v>95</v>
      </c>
      <c r="AL111" s="16">
        <v>163840</v>
      </c>
      <c r="AM111" s="16">
        <v>8251</v>
      </c>
      <c r="AN111" s="16">
        <v>155589</v>
      </c>
      <c r="AO111" s="16">
        <v>5</v>
      </c>
      <c r="AP111" s="16">
        <v>163840</v>
      </c>
      <c r="AQ111" s="16">
        <v>95</v>
      </c>
      <c r="AR111" s="15" t="s">
        <v>1</v>
      </c>
      <c r="AS111" s="15" t="s">
        <v>2</v>
      </c>
      <c r="AT111" s="8">
        <v>375</v>
      </c>
      <c r="AU111">
        <v>8251</v>
      </c>
      <c r="AV111" s="5">
        <v>22.002666666666666</v>
      </c>
    </row>
    <row r="112" spans="1:48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  <c r="R112" s="3">
        <v>45341</v>
      </c>
      <c r="S112" s="15" t="s">
        <v>24</v>
      </c>
      <c r="T112" s="16">
        <v>98</v>
      </c>
      <c r="U112" s="16">
        <v>56668</v>
      </c>
      <c r="V112" s="16">
        <v>1331</v>
      </c>
      <c r="W112" s="16">
        <v>55337</v>
      </c>
      <c r="X112" s="16">
        <v>2</v>
      </c>
      <c r="Y112" s="16">
        <v>65536</v>
      </c>
      <c r="Z112" s="16">
        <v>84</v>
      </c>
      <c r="AA112" s="15" t="s">
        <v>1</v>
      </c>
      <c r="AB112" s="15" t="s">
        <v>2</v>
      </c>
      <c r="AC112" s="8">
        <v>241</v>
      </c>
      <c r="AD112">
        <v>10199</v>
      </c>
      <c r="AE112" s="5">
        <v>42.319502074688799</v>
      </c>
      <c r="AI112" s="3">
        <v>45341</v>
      </c>
      <c r="AJ112" s="15" t="s">
        <v>27</v>
      </c>
      <c r="AK112" s="16">
        <v>95</v>
      </c>
      <c r="AL112" s="16">
        <v>163840</v>
      </c>
      <c r="AM112" s="16">
        <v>8049</v>
      </c>
      <c r="AN112" s="16">
        <v>155791</v>
      </c>
      <c r="AO112" s="16">
        <v>5</v>
      </c>
      <c r="AP112" s="16">
        <v>163840</v>
      </c>
      <c r="AQ112" s="16">
        <v>95</v>
      </c>
      <c r="AR112" s="15" t="s">
        <v>1</v>
      </c>
      <c r="AS112" s="15" t="s">
        <v>2</v>
      </c>
      <c r="AT112" s="8">
        <v>202</v>
      </c>
      <c r="AU112">
        <v>8049</v>
      </c>
      <c r="AV112" s="5">
        <v>39.846534653465348</v>
      </c>
    </row>
    <row r="113" spans="1:48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  <c r="R113" s="3">
        <v>45348</v>
      </c>
      <c r="S113" s="15" t="s">
        <v>24</v>
      </c>
      <c r="T113" s="16">
        <v>98</v>
      </c>
      <c r="U113" s="16">
        <v>56668</v>
      </c>
      <c r="V113" s="16">
        <v>1218</v>
      </c>
      <c r="W113" s="16">
        <v>55450</v>
      </c>
      <c r="X113" s="16">
        <v>2</v>
      </c>
      <c r="Y113" s="16">
        <v>65536</v>
      </c>
      <c r="Z113" s="16">
        <v>85</v>
      </c>
      <c r="AA113" s="15" t="s">
        <v>1</v>
      </c>
      <c r="AB113" s="15" t="s">
        <v>2</v>
      </c>
      <c r="AC113" s="8">
        <v>113</v>
      </c>
      <c r="AD113">
        <v>10086</v>
      </c>
      <c r="AE113" s="5">
        <v>89.256637168141594</v>
      </c>
      <c r="AI113" s="3">
        <v>45348</v>
      </c>
      <c r="AJ113" s="15" t="s">
        <v>27</v>
      </c>
      <c r="AK113" s="16">
        <v>95</v>
      </c>
      <c r="AL113" s="16">
        <v>163840</v>
      </c>
      <c r="AM113" s="16">
        <v>7458</v>
      </c>
      <c r="AN113" s="16">
        <v>156382</v>
      </c>
      <c r="AO113" s="16">
        <v>5</v>
      </c>
      <c r="AP113" s="16">
        <v>163840</v>
      </c>
      <c r="AQ113" s="16">
        <v>95</v>
      </c>
      <c r="AR113" s="15" t="s">
        <v>1</v>
      </c>
      <c r="AS113" s="15" t="s">
        <v>2</v>
      </c>
      <c r="AT113" s="8">
        <v>591</v>
      </c>
      <c r="AU113">
        <v>7458</v>
      </c>
      <c r="AV113" s="5">
        <v>12.619289340101522</v>
      </c>
    </row>
    <row r="114" spans="1:48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  <c r="R114" s="3">
        <v>45355</v>
      </c>
      <c r="S114" s="15" t="s">
        <v>24</v>
      </c>
      <c r="T114" s="16">
        <v>95</v>
      </c>
      <c r="U114" s="16">
        <v>58468</v>
      </c>
      <c r="V114" s="16">
        <v>2794</v>
      </c>
      <c r="W114" s="16">
        <v>55674</v>
      </c>
      <c r="X114" s="16">
        <v>5</v>
      </c>
      <c r="Y114" s="16">
        <v>65536</v>
      </c>
      <c r="Z114" s="16">
        <v>85</v>
      </c>
      <c r="AA114" s="15" t="s">
        <v>1</v>
      </c>
      <c r="AB114" s="15" t="s">
        <v>2</v>
      </c>
      <c r="AC114" s="8">
        <v>224</v>
      </c>
      <c r="AD114">
        <v>9862</v>
      </c>
      <c r="AE114" s="5">
        <v>44.026785714285715</v>
      </c>
      <c r="AI114" s="3">
        <v>45355</v>
      </c>
      <c r="AJ114" s="15" t="s">
        <v>27</v>
      </c>
      <c r="AK114" s="16">
        <v>96</v>
      </c>
      <c r="AL114" s="16">
        <v>163840</v>
      </c>
      <c r="AM114" s="16">
        <v>6999</v>
      </c>
      <c r="AN114" s="16">
        <v>156841</v>
      </c>
      <c r="AO114" s="16">
        <v>4</v>
      </c>
      <c r="AP114" s="16">
        <v>163840</v>
      </c>
      <c r="AQ114" s="16">
        <v>96</v>
      </c>
      <c r="AR114" s="15" t="s">
        <v>1</v>
      </c>
      <c r="AS114" s="15" t="s">
        <v>2</v>
      </c>
      <c r="AT114" s="8">
        <v>459</v>
      </c>
      <c r="AU114">
        <v>6999</v>
      </c>
      <c r="AV114" s="5">
        <v>15.248366013071895</v>
      </c>
    </row>
    <row r="115" spans="1:48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  <c r="R115" s="3">
        <v>45362</v>
      </c>
      <c r="S115" s="15" t="s">
        <v>24</v>
      </c>
      <c r="T115" s="16">
        <v>95</v>
      </c>
      <c r="U115" s="16">
        <v>58468</v>
      </c>
      <c r="V115" s="16">
        <v>2666</v>
      </c>
      <c r="W115" s="16">
        <v>55802</v>
      </c>
      <c r="X115" s="16">
        <v>5</v>
      </c>
      <c r="Y115" s="16">
        <v>65536</v>
      </c>
      <c r="Z115" s="16">
        <v>85</v>
      </c>
      <c r="AA115" s="15" t="s">
        <v>1</v>
      </c>
      <c r="AB115" s="15" t="s">
        <v>2</v>
      </c>
      <c r="AC115" s="8">
        <v>128</v>
      </c>
      <c r="AD115">
        <v>9734</v>
      </c>
      <c r="AE115" s="5">
        <v>76.046875</v>
      </c>
      <c r="AI115" s="3">
        <v>45362</v>
      </c>
      <c r="AJ115" s="15" t="s">
        <v>27</v>
      </c>
      <c r="AK115" s="16">
        <v>96</v>
      </c>
      <c r="AL115" s="16">
        <v>163840</v>
      </c>
      <c r="AM115" s="16">
        <v>6647</v>
      </c>
      <c r="AN115" s="16">
        <v>157193</v>
      </c>
      <c r="AO115" s="16">
        <v>4</v>
      </c>
      <c r="AP115" s="16">
        <v>163840</v>
      </c>
      <c r="AQ115" s="16">
        <v>96</v>
      </c>
      <c r="AR115" s="15" t="s">
        <v>1</v>
      </c>
      <c r="AS115" s="15" t="s">
        <v>2</v>
      </c>
      <c r="AT115" s="8">
        <v>352</v>
      </c>
      <c r="AU115">
        <v>6647</v>
      </c>
      <c r="AV115" s="5">
        <v>18.883522727272727</v>
      </c>
    </row>
    <row r="116" spans="1:48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  <c r="R116" s="3">
        <v>45376</v>
      </c>
      <c r="S116" s="15" t="s">
        <v>24</v>
      </c>
      <c r="T116" s="16">
        <v>96</v>
      </c>
      <c r="U116" s="16">
        <v>58468</v>
      </c>
      <c r="V116" s="16">
        <v>2282</v>
      </c>
      <c r="W116" s="16">
        <v>56186</v>
      </c>
      <c r="X116" s="16">
        <v>4</v>
      </c>
      <c r="Y116" s="16">
        <v>65536</v>
      </c>
      <c r="Z116" s="16">
        <v>86</v>
      </c>
      <c r="AA116" s="15" t="s">
        <v>1</v>
      </c>
      <c r="AB116" s="15" t="s">
        <v>2</v>
      </c>
      <c r="AC116" s="8">
        <v>384</v>
      </c>
      <c r="AD116">
        <v>9350</v>
      </c>
      <c r="AE116" s="5">
        <v>24.348958333333332</v>
      </c>
      <c r="AI116" s="3">
        <v>45376</v>
      </c>
      <c r="AJ116" s="15" t="s">
        <v>27</v>
      </c>
      <c r="AK116" s="16">
        <v>96</v>
      </c>
      <c r="AL116" s="16">
        <v>163840</v>
      </c>
      <c r="AM116" s="16">
        <v>5873</v>
      </c>
      <c r="AN116" s="16">
        <v>157967</v>
      </c>
      <c r="AO116" s="16">
        <v>4</v>
      </c>
      <c r="AP116" s="16">
        <v>163840</v>
      </c>
      <c r="AQ116" s="16">
        <v>96</v>
      </c>
      <c r="AR116" s="15" t="s">
        <v>1</v>
      </c>
      <c r="AS116" s="15" t="s">
        <v>2</v>
      </c>
      <c r="AT116" s="8">
        <v>774</v>
      </c>
      <c r="AU116">
        <v>5873</v>
      </c>
      <c r="AV116" s="5">
        <v>7.5878552971576223</v>
      </c>
    </row>
    <row r="117" spans="1:48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  <c r="R117" s="3">
        <v>45386</v>
      </c>
      <c r="S117" s="15" t="s">
        <v>24</v>
      </c>
      <c r="T117" s="16">
        <v>96</v>
      </c>
      <c r="U117" s="16">
        <v>58468</v>
      </c>
      <c r="V117" s="16">
        <v>2170</v>
      </c>
      <c r="W117" s="16">
        <v>56298</v>
      </c>
      <c r="X117" s="16">
        <v>4</v>
      </c>
      <c r="Y117" s="16">
        <v>65536</v>
      </c>
      <c r="Z117" s="16">
        <v>86</v>
      </c>
      <c r="AA117" s="15" t="s">
        <v>1</v>
      </c>
      <c r="AB117" s="15" t="s">
        <v>2</v>
      </c>
      <c r="AC117" s="8">
        <v>112</v>
      </c>
      <c r="AD117">
        <v>9238</v>
      </c>
      <c r="AE117" s="5">
        <v>82.482142857142861</v>
      </c>
      <c r="AI117" s="3">
        <v>45386</v>
      </c>
      <c r="AJ117" s="15" t="s">
        <v>27</v>
      </c>
      <c r="AK117" s="16">
        <v>97</v>
      </c>
      <c r="AL117" s="16">
        <v>163840</v>
      </c>
      <c r="AM117" s="16">
        <v>5626</v>
      </c>
      <c r="AN117" s="16">
        <v>158213</v>
      </c>
      <c r="AO117" s="16">
        <v>3</v>
      </c>
      <c r="AP117" s="16">
        <v>163840</v>
      </c>
      <c r="AQ117" s="16">
        <v>97</v>
      </c>
      <c r="AR117" s="15" t="s">
        <v>1</v>
      </c>
      <c r="AS117" s="15" t="s">
        <v>2</v>
      </c>
      <c r="AT117" s="8">
        <v>246</v>
      </c>
      <c r="AU117">
        <v>5627</v>
      </c>
      <c r="AV117" s="5">
        <v>22.873983739837399</v>
      </c>
    </row>
    <row r="118" spans="1:48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  <c r="R118" s="3">
        <v>45397</v>
      </c>
      <c r="S118" s="15" t="s">
        <v>24</v>
      </c>
      <c r="T118" s="16">
        <v>97</v>
      </c>
      <c r="U118" s="16">
        <v>58468</v>
      </c>
      <c r="V118" s="16">
        <v>1883</v>
      </c>
      <c r="W118" s="16">
        <v>56585</v>
      </c>
      <c r="X118" s="16">
        <v>3</v>
      </c>
      <c r="Y118" s="16">
        <v>65536</v>
      </c>
      <c r="Z118" s="16">
        <v>86</v>
      </c>
      <c r="AA118" s="15" t="s">
        <v>1</v>
      </c>
      <c r="AB118" s="15" t="s">
        <v>2</v>
      </c>
      <c r="AC118" s="8">
        <v>287</v>
      </c>
      <c r="AD118">
        <v>8951</v>
      </c>
      <c r="AE118" s="5">
        <v>31.188153310104529</v>
      </c>
      <c r="AI118" s="3">
        <v>45397</v>
      </c>
      <c r="AJ118" s="15" t="s">
        <v>27</v>
      </c>
      <c r="AK118" s="16">
        <v>97</v>
      </c>
      <c r="AL118" s="16">
        <v>163840</v>
      </c>
      <c r="AM118" s="16">
        <v>5145</v>
      </c>
      <c r="AN118" s="16">
        <v>158695</v>
      </c>
      <c r="AO118" s="16">
        <v>3</v>
      </c>
      <c r="AP118" s="16">
        <v>163840</v>
      </c>
      <c r="AQ118" s="16">
        <v>97</v>
      </c>
      <c r="AR118" s="15" t="s">
        <v>1</v>
      </c>
      <c r="AS118" s="15" t="s">
        <v>2</v>
      </c>
      <c r="AT118" s="8">
        <v>482</v>
      </c>
      <c r="AU118">
        <v>5145</v>
      </c>
      <c r="AV118" s="5">
        <v>10.674273858921161</v>
      </c>
    </row>
    <row r="119" spans="1:48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  <c r="R119" s="3">
        <v>45404</v>
      </c>
      <c r="S119" s="15" t="s">
        <v>24</v>
      </c>
      <c r="T119" s="16">
        <v>97</v>
      </c>
      <c r="U119" s="16">
        <v>58468</v>
      </c>
      <c r="V119" s="16">
        <v>1747</v>
      </c>
      <c r="W119" s="16">
        <v>56721</v>
      </c>
      <c r="X119" s="16">
        <v>3</v>
      </c>
      <c r="Y119" s="16">
        <v>65536</v>
      </c>
      <c r="Z119" s="16">
        <v>87</v>
      </c>
      <c r="AA119" s="15" t="s">
        <v>1</v>
      </c>
      <c r="AB119" s="15" t="s">
        <v>2</v>
      </c>
      <c r="AC119" s="8">
        <v>136</v>
      </c>
      <c r="AD119">
        <v>8815</v>
      </c>
      <c r="AE119" s="5">
        <v>64.816176470588232</v>
      </c>
      <c r="AI119" s="3">
        <v>45404</v>
      </c>
      <c r="AJ119" s="15" t="s">
        <v>27</v>
      </c>
      <c r="AK119" s="16">
        <v>97</v>
      </c>
      <c r="AL119" s="16">
        <v>163840</v>
      </c>
      <c r="AM119" s="16">
        <v>4779</v>
      </c>
      <c r="AN119" s="16">
        <v>159061</v>
      </c>
      <c r="AO119" s="16">
        <v>3</v>
      </c>
      <c r="AP119" s="16">
        <v>163840</v>
      </c>
      <c r="AQ119" s="16">
        <v>97</v>
      </c>
      <c r="AR119" s="15" t="s">
        <v>1</v>
      </c>
      <c r="AS119" s="15" t="s">
        <v>2</v>
      </c>
      <c r="AT119" s="8">
        <v>366</v>
      </c>
      <c r="AU119">
        <v>4779</v>
      </c>
      <c r="AV119" s="5">
        <v>13.057377049180328</v>
      </c>
    </row>
    <row r="120" spans="1:48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  <c r="R120" s="3">
        <v>45418</v>
      </c>
      <c r="S120" s="15" t="s">
        <v>24</v>
      </c>
      <c r="T120" s="16">
        <v>97</v>
      </c>
      <c r="U120" s="16">
        <v>58468</v>
      </c>
      <c r="V120" s="16">
        <v>1545</v>
      </c>
      <c r="W120" s="16">
        <v>56923</v>
      </c>
      <c r="X120" s="16">
        <v>3</v>
      </c>
      <c r="Y120" s="16">
        <v>65536</v>
      </c>
      <c r="Z120" s="16">
        <v>87</v>
      </c>
      <c r="AA120" s="15" t="s">
        <v>1</v>
      </c>
      <c r="AB120" s="15" t="s">
        <v>2</v>
      </c>
      <c r="AC120" s="8">
        <v>202</v>
      </c>
      <c r="AD120">
        <v>8613</v>
      </c>
      <c r="AE120" s="5">
        <v>42.638613861386141</v>
      </c>
      <c r="AI120" s="3">
        <v>45418</v>
      </c>
      <c r="AJ120" s="15" t="s">
        <v>27</v>
      </c>
      <c r="AK120" s="16">
        <v>97</v>
      </c>
      <c r="AL120" s="16">
        <v>163840</v>
      </c>
      <c r="AM120" s="16">
        <v>4256</v>
      </c>
      <c r="AN120" s="16">
        <v>159584</v>
      </c>
      <c r="AO120" s="16">
        <v>3</v>
      </c>
      <c r="AP120" s="16">
        <v>163840</v>
      </c>
      <c r="AQ120" s="16">
        <v>97</v>
      </c>
      <c r="AR120" s="15" t="s">
        <v>1</v>
      </c>
      <c r="AS120" s="15" t="s">
        <v>2</v>
      </c>
      <c r="AT120" s="8">
        <v>523</v>
      </c>
      <c r="AU120">
        <v>4256</v>
      </c>
      <c r="AV120" s="5">
        <v>8.1376673040152969</v>
      </c>
    </row>
    <row r="121" spans="1:48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  <c r="R121" s="3">
        <v>45425</v>
      </c>
      <c r="S121" s="15" t="s">
        <v>24</v>
      </c>
      <c r="T121" s="16">
        <v>98</v>
      </c>
      <c r="U121" s="16">
        <v>58468</v>
      </c>
      <c r="V121" s="16">
        <v>1375</v>
      </c>
      <c r="W121" s="16">
        <v>57093</v>
      </c>
      <c r="X121" s="16">
        <v>2</v>
      </c>
      <c r="Y121" s="16">
        <v>65536</v>
      </c>
      <c r="Z121" s="16">
        <v>87</v>
      </c>
      <c r="AA121" s="15" t="s">
        <v>1</v>
      </c>
      <c r="AB121" s="15" t="s">
        <v>2</v>
      </c>
      <c r="AC121" s="8">
        <v>170</v>
      </c>
      <c r="AD121">
        <v>8443</v>
      </c>
      <c r="AE121" s="5">
        <v>49.664705882352941</v>
      </c>
      <c r="AI121" s="3">
        <v>45425</v>
      </c>
      <c r="AJ121" s="15" t="s">
        <v>27</v>
      </c>
      <c r="AK121" s="16">
        <v>98</v>
      </c>
      <c r="AL121" s="16">
        <v>163840</v>
      </c>
      <c r="AM121" s="16">
        <v>4063</v>
      </c>
      <c r="AN121" s="16">
        <v>159777</v>
      </c>
      <c r="AO121" s="16">
        <v>2</v>
      </c>
      <c r="AP121" s="16">
        <v>163840</v>
      </c>
      <c r="AQ121" s="16">
        <v>98</v>
      </c>
      <c r="AR121" s="15" t="s">
        <v>1</v>
      </c>
      <c r="AS121" s="15" t="s">
        <v>2</v>
      </c>
      <c r="AT121" s="8">
        <v>193</v>
      </c>
      <c r="AU121">
        <v>4063</v>
      </c>
      <c r="AV121" s="5">
        <v>21.051813471502591</v>
      </c>
    </row>
    <row r="122" spans="1:48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  <c r="R122" s="3">
        <v>45433</v>
      </c>
      <c r="S122" s="15" t="s">
        <v>24</v>
      </c>
      <c r="T122" s="16">
        <v>98</v>
      </c>
      <c r="U122" s="16">
        <v>58468</v>
      </c>
      <c r="V122" s="16">
        <v>1205</v>
      </c>
      <c r="W122" s="16">
        <v>57263</v>
      </c>
      <c r="X122" s="16">
        <v>2</v>
      </c>
      <c r="Y122" s="16">
        <v>65536</v>
      </c>
      <c r="Z122" s="16">
        <v>87</v>
      </c>
      <c r="AA122" s="15" t="s">
        <v>1</v>
      </c>
      <c r="AB122" s="15" t="s">
        <v>2</v>
      </c>
      <c r="AC122" s="8">
        <v>170</v>
      </c>
      <c r="AD122" s="22">
        <v>8273</v>
      </c>
      <c r="AE122" s="5">
        <v>48.664705882352941</v>
      </c>
      <c r="AI122" s="3">
        <v>45433</v>
      </c>
      <c r="AJ122" s="15" t="s">
        <v>27</v>
      </c>
      <c r="AK122" s="16">
        <v>98</v>
      </c>
      <c r="AL122" s="16">
        <v>163840</v>
      </c>
      <c r="AM122" s="16">
        <v>3404</v>
      </c>
      <c r="AN122" s="16">
        <v>160436</v>
      </c>
      <c r="AO122" s="16">
        <v>2</v>
      </c>
      <c r="AP122" s="16">
        <v>163840</v>
      </c>
      <c r="AQ122" s="16">
        <v>98</v>
      </c>
      <c r="AR122" s="15" t="s">
        <v>1</v>
      </c>
      <c r="AS122" s="15" t="s">
        <v>2</v>
      </c>
      <c r="AT122" s="8">
        <v>659</v>
      </c>
      <c r="AU122" s="22">
        <v>3404</v>
      </c>
      <c r="AV122" s="5">
        <v>5.1654021244309556</v>
      </c>
    </row>
    <row r="123" spans="1:48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10">
        <v>99</v>
      </c>
    </row>
    <row r="124" spans="1:48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48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48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48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48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10">
        <v>99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10">
        <v>99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10">
        <v>99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10">
        <v>99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10">
        <v>99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10">
        <v>99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10">
        <v>99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10">
        <v>99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10">
        <v>99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10">
        <v>99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10">
        <v>99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10">
        <v>99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10">
        <v>99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10">
        <v>99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10">
        <v>99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10">
        <v>99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10">
        <v>99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10">
        <v>99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10">
        <v>99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10">
        <v>99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10">
        <v>99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10">
        <v>99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10">
        <v>99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10">
        <v>99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10">
        <v>99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10">
        <v>99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10">
        <v>99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10">
        <v>99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10">
        <v>99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10">
        <v>99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10">
        <v>99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10">
        <v>99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10">
        <v>99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10">
        <v>99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10">
        <v>99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10">
        <v>99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10">
        <v>99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10">
        <v>99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10">
        <v>99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10">
        <v>99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10">
        <v>99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10">
        <v>99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10">
        <v>99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10">
        <v>99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10">
        <v>99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10">
        <v>99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10">
        <v>99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10">
        <v>99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7">
        <v>45131</v>
      </c>
      <c r="B842" s="18" t="s">
        <v>26</v>
      </c>
      <c r="C842" s="19">
        <v>94</v>
      </c>
      <c r="D842" s="19">
        <v>22288</v>
      </c>
      <c r="E842" s="19">
        <v>1397</v>
      </c>
      <c r="F842" s="19">
        <v>20891</v>
      </c>
      <c r="G842" s="19">
        <v>6</v>
      </c>
      <c r="H842" s="19">
        <v>40960</v>
      </c>
      <c r="I842" s="19">
        <v>51</v>
      </c>
      <c r="J842" s="18" t="s">
        <v>1</v>
      </c>
      <c r="K842" s="18" t="s">
        <v>2</v>
      </c>
      <c r="L842" s="8">
        <f>InterspecUsage[[#This Row],[Used-MB]]-F832</f>
        <v>1596</v>
      </c>
      <c r="M842" s="20">
        <f>InterspecUsage[[#This Row],[Max]]-InterspecUsage[[#This Row],[Used-MB]]</f>
        <v>20069</v>
      </c>
      <c r="N842" s="21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  <row r="852" spans="1:14" x14ac:dyDescent="0.25">
      <c r="A852" s="3">
        <v>45138</v>
      </c>
      <c r="B852" s="15" t="s">
        <v>26</v>
      </c>
      <c r="C852" s="16">
        <v>94</v>
      </c>
      <c r="D852" s="16">
        <v>22288</v>
      </c>
      <c r="E852" s="16">
        <v>1333</v>
      </c>
      <c r="F852" s="16">
        <v>20955</v>
      </c>
      <c r="G852" s="16">
        <v>6</v>
      </c>
      <c r="H852" s="16">
        <v>40960</v>
      </c>
      <c r="I852" s="16">
        <v>51</v>
      </c>
      <c r="J852" s="15" t="s">
        <v>1</v>
      </c>
      <c r="K852" s="15" t="s">
        <v>2</v>
      </c>
      <c r="L852" s="8">
        <f>InterspecUsage[[#This Row],[Used-MB]]-F842</f>
        <v>64</v>
      </c>
      <c r="M852">
        <f>InterspecUsage[[#This Row],[Max]]-InterspecUsage[[#This Row],[Used-MB]]</f>
        <v>20005</v>
      </c>
      <c r="N852" s="5">
        <f>IF($L852&gt;0,InterspecUsage[[#This Row],[Free-of-Max]]/InterspecUsage[[#This Row],[Usage-Delta-MB]],InterspecUsage[[#This Row],[Free-of-Max]])</f>
        <v>312.578125</v>
      </c>
    </row>
    <row r="853" spans="1:14" x14ac:dyDescent="0.25">
      <c r="A853" s="3">
        <v>45138</v>
      </c>
      <c r="B853" s="15" t="s">
        <v>24</v>
      </c>
      <c r="C853" s="16">
        <v>89</v>
      </c>
      <c r="D853" s="16">
        <v>18400</v>
      </c>
      <c r="E853" s="16">
        <v>2013</v>
      </c>
      <c r="F853" s="16">
        <v>16387</v>
      </c>
      <c r="G853" s="16">
        <v>11</v>
      </c>
      <c r="H853" s="16">
        <v>32768</v>
      </c>
      <c r="I853" s="16">
        <v>50</v>
      </c>
      <c r="J853" s="15" t="s">
        <v>1</v>
      </c>
      <c r="K853" s="15" t="s">
        <v>2</v>
      </c>
      <c r="L853" s="8">
        <f>InterspecUsage[[#This Row],[Used-MB]]-F843</f>
        <v>39</v>
      </c>
      <c r="M853">
        <f>InterspecUsage[[#This Row],[Max]]-InterspecUsage[[#This Row],[Used-MB]]</f>
        <v>16381</v>
      </c>
      <c r="N853" s="5">
        <f>IF($L853&gt;0,InterspecUsage[[#This Row],[Free-of-Max]]/InterspecUsage[[#This Row],[Usage-Delta-MB]],InterspecUsage[[#This Row],[Free-of-Max]])</f>
        <v>420.02564102564105</v>
      </c>
    </row>
    <row r="854" spans="1:14" x14ac:dyDescent="0.25">
      <c r="A854" s="3">
        <v>45138</v>
      </c>
      <c r="B854" s="15" t="s">
        <v>35</v>
      </c>
      <c r="C854" s="16">
        <v>96</v>
      </c>
      <c r="D854" s="16">
        <v>27800</v>
      </c>
      <c r="E854" s="16">
        <v>1172</v>
      </c>
      <c r="F854" s="16">
        <v>26628</v>
      </c>
      <c r="G854" s="16">
        <v>4</v>
      </c>
      <c r="H854" s="16">
        <v>32768</v>
      </c>
      <c r="I854" s="16">
        <v>81</v>
      </c>
      <c r="J854" s="15" t="s">
        <v>1</v>
      </c>
      <c r="K854" s="15" t="s">
        <v>2</v>
      </c>
      <c r="L854" s="8">
        <f>InterspecUsage[[#This Row],[Used-MB]]-F844</f>
        <v>0</v>
      </c>
      <c r="M854">
        <f>InterspecUsage[[#This Row],[Max]]-InterspecUsage[[#This Row],[Used-MB]]</f>
        <v>6140</v>
      </c>
      <c r="N854" s="5">
        <f>IF($L854&gt;0,InterspecUsage[[#This Row],[Free-of-Max]]/InterspecUsage[[#This Row],[Usage-Delta-MB]],InterspecUsage[[#This Row],[Free-of-Max]])</f>
        <v>6140</v>
      </c>
    </row>
    <row r="855" spans="1:14" x14ac:dyDescent="0.25">
      <c r="A855" s="3">
        <v>45138</v>
      </c>
      <c r="B855" s="15" t="s">
        <v>27</v>
      </c>
      <c r="C855" s="16">
        <v>83</v>
      </c>
      <c r="D855" s="16">
        <v>163840</v>
      </c>
      <c r="E855" s="16">
        <v>27159</v>
      </c>
      <c r="F855" s="16">
        <v>136681</v>
      </c>
      <c r="G855" s="16">
        <v>17</v>
      </c>
      <c r="H855" s="16">
        <v>163840</v>
      </c>
      <c r="I855" s="16">
        <v>83</v>
      </c>
      <c r="J855" s="15" t="s">
        <v>1</v>
      </c>
      <c r="K855" s="15" t="s">
        <v>2</v>
      </c>
      <c r="L855" s="8">
        <f>InterspecUsage[[#This Row],[Used-MB]]-F845</f>
        <v>74</v>
      </c>
      <c r="M855">
        <f>InterspecUsage[[#This Row],[Max]]-InterspecUsage[[#This Row],[Used-MB]]</f>
        <v>27159</v>
      </c>
      <c r="N855" s="5">
        <f>IF($L855&gt;0,InterspecUsage[[#This Row],[Free-of-Max]]/InterspecUsage[[#This Row],[Usage-Delta-MB]],InterspecUsage[[#This Row],[Free-of-Max]])</f>
        <v>367.01351351351349</v>
      </c>
    </row>
    <row r="856" spans="1:14" x14ac:dyDescent="0.25">
      <c r="A856" s="3">
        <v>45138</v>
      </c>
      <c r="B856" s="15" t="s">
        <v>7</v>
      </c>
      <c r="C856" s="16">
        <v>95</v>
      </c>
      <c r="D856" s="16">
        <v>1660</v>
      </c>
      <c r="E856" s="16">
        <v>88</v>
      </c>
      <c r="F856" s="16">
        <v>1572</v>
      </c>
      <c r="G856" s="16">
        <v>5</v>
      </c>
      <c r="H856" s="16">
        <v>32768</v>
      </c>
      <c r="I856" s="16">
        <v>5</v>
      </c>
      <c r="J856" s="15" t="s">
        <v>1</v>
      </c>
      <c r="K856" s="15" t="s">
        <v>2</v>
      </c>
      <c r="L856" s="8">
        <f>InterspecUsage[[#This Row],[Used-MB]]-F846</f>
        <v>6</v>
      </c>
      <c r="M856">
        <f>InterspecUsage[[#This Row],[Max]]-InterspecUsage[[#This Row],[Used-MB]]</f>
        <v>31196</v>
      </c>
      <c r="N856" s="5">
        <f>IF($L856&gt;0,InterspecUsage[[#This Row],[Free-of-Max]]/InterspecUsage[[#This Row],[Usage-Delta-MB]],InterspecUsage[[#This Row],[Free-of-Max]])</f>
        <v>5199.333333333333</v>
      </c>
    </row>
    <row r="857" spans="1:14" x14ac:dyDescent="0.25">
      <c r="A857" s="3">
        <v>45138</v>
      </c>
      <c r="B857" s="15" t="s">
        <v>0</v>
      </c>
      <c r="C857" s="16">
        <v>100</v>
      </c>
      <c r="D857" s="16">
        <v>4050</v>
      </c>
      <c r="E857" s="16">
        <v>17</v>
      </c>
      <c r="F857" s="16">
        <v>4033</v>
      </c>
      <c r="G857" s="16">
        <v>0</v>
      </c>
      <c r="H857" s="16">
        <v>32768</v>
      </c>
      <c r="I857" s="16">
        <v>12</v>
      </c>
      <c r="J857" s="15" t="s">
        <v>1</v>
      </c>
      <c r="K857" s="15" t="s">
        <v>2</v>
      </c>
      <c r="L857" s="8">
        <f>InterspecUsage[[#This Row],[Used-MB]]-F847</f>
        <v>0</v>
      </c>
      <c r="M857">
        <f>InterspecUsage[[#This Row],[Max]]-InterspecUsage[[#This Row],[Used-MB]]</f>
        <v>28735</v>
      </c>
      <c r="N857" s="5">
        <f>IF($L857&gt;0,InterspecUsage[[#This Row],[Free-of-Max]]/InterspecUsage[[#This Row],[Usage-Delta-MB]],InterspecUsage[[#This Row],[Free-of-Max]])</f>
        <v>28735</v>
      </c>
    </row>
    <row r="858" spans="1:14" x14ac:dyDescent="0.25">
      <c r="A858" s="3">
        <v>45138</v>
      </c>
      <c r="B858" s="15" t="s">
        <v>30</v>
      </c>
      <c r="C858" s="16">
        <v>70</v>
      </c>
      <c r="D858" s="16">
        <v>32767</v>
      </c>
      <c r="E858" s="16">
        <v>9844</v>
      </c>
      <c r="F858" s="16">
        <v>22923</v>
      </c>
      <c r="G858" s="16">
        <v>30</v>
      </c>
      <c r="H858" s="16">
        <v>32768</v>
      </c>
      <c r="I858" s="16">
        <v>70</v>
      </c>
      <c r="J858" s="15" t="s">
        <v>1</v>
      </c>
      <c r="K858" s="15" t="s">
        <v>13</v>
      </c>
      <c r="L858" s="8">
        <f>InterspecUsage[[#This Row],[Used-MB]]-F848</f>
        <v>22905</v>
      </c>
      <c r="M858">
        <f>InterspecUsage[[#This Row],[Max]]-InterspecUsage[[#This Row],[Used-MB]]</f>
        <v>9845</v>
      </c>
      <c r="N858" s="5">
        <f>IF($L858&gt;0,InterspecUsage[[#This Row],[Free-of-Max]]/InterspecUsage[[#This Row],[Usage-Delta-MB]],InterspecUsage[[#This Row],[Free-of-Max]])</f>
        <v>0.42981881685221568</v>
      </c>
    </row>
    <row r="859" spans="1:14" x14ac:dyDescent="0.25">
      <c r="A859" s="3">
        <v>45138</v>
      </c>
      <c r="B859" s="15" t="s">
        <v>28</v>
      </c>
      <c r="C859" s="16">
        <v>2</v>
      </c>
      <c r="D859" s="16">
        <v>23320</v>
      </c>
      <c r="E859" s="16">
        <v>22805</v>
      </c>
      <c r="F859" s="16">
        <v>515</v>
      </c>
      <c r="G859" s="16">
        <v>98</v>
      </c>
      <c r="H859" s="16">
        <v>32768</v>
      </c>
      <c r="I859" s="16">
        <v>2</v>
      </c>
      <c r="J859" s="15" t="s">
        <v>1</v>
      </c>
      <c r="K859" s="15" t="s">
        <v>10</v>
      </c>
      <c r="L859" s="8">
        <f>InterspecUsage[[#This Row],[Used-MB]]-F849</f>
        <v>272</v>
      </c>
      <c r="M859">
        <f>InterspecUsage[[#This Row],[Max]]-InterspecUsage[[#This Row],[Used-MB]]</f>
        <v>32253</v>
      </c>
      <c r="N859" s="5">
        <f>IF($L859&gt;0,InterspecUsage[[#This Row],[Free-of-Max]]/InterspecUsage[[#This Row],[Usage-Delta-MB]],InterspecUsage[[#This Row],[Free-of-Max]])</f>
        <v>118.57720588235294</v>
      </c>
    </row>
    <row r="860" spans="1:14" x14ac:dyDescent="0.25">
      <c r="A860" s="3">
        <v>45138</v>
      </c>
      <c r="B860" s="15" t="s">
        <v>25</v>
      </c>
      <c r="C860" s="16">
        <v>70</v>
      </c>
      <c r="D860" s="16">
        <v>12700</v>
      </c>
      <c r="E860" s="16">
        <v>3771</v>
      </c>
      <c r="F860" s="16">
        <v>8929</v>
      </c>
      <c r="G860" s="16">
        <v>30</v>
      </c>
      <c r="H860" s="16">
        <v>32768</v>
      </c>
      <c r="I860" s="16">
        <v>27</v>
      </c>
      <c r="J860" s="15" t="s">
        <v>1</v>
      </c>
      <c r="K860" s="15" t="s">
        <v>2</v>
      </c>
      <c r="L860" s="8">
        <f>InterspecUsage[[#This Row],[Used-MB]]-F850</f>
        <v>16</v>
      </c>
      <c r="M860">
        <f>InterspecUsage[[#This Row],[Max]]-InterspecUsage[[#This Row],[Used-MB]]</f>
        <v>23839</v>
      </c>
      <c r="N860" s="5">
        <f>IF($L860&gt;0,InterspecUsage[[#This Row],[Free-of-Max]]/InterspecUsage[[#This Row],[Usage-Delta-MB]],InterspecUsage[[#This Row],[Free-of-Max]])</f>
        <v>1489.9375</v>
      </c>
    </row>
    <row r="861" spans="1:14" x14ac:dyDescent="0.25">
      <c r="A861" s="3">
        <v>45138</v>
      </c>
      <c r="B861" s="15" t="s">
        <v>29</v>
      </c>
      <c r="C861" s="16">
        <v>0</v>
      </c>
      <c r="D861" s="16">
        <v>500</v>
      </c>
      <c r="E861" s="16">
        <v>499</v>
      </c>
      <c r="F861" s="16">
        <v>1</v>
      </c>
      <c r="G861" s="16">
        <v>100</v>
      </c>
      <c r="H861" s="16">
        <v>500</v>
      </c>
      <c r="I861" s="16">
        <v>0</v>
      </c>
      <c r="J861" s="15" t="s">
        <v>1</v>
      </c>
      <c r="K861" s="15" t="s">
        <v>2</v>
      </c>
      <c r="L861" s="8">
        <f>InterspecUsage[[#This Row],[Used-MB]]-F851</f>
        <v>0</v>
      </c>
      <c r="M861">
        <f>InterspecUsage[[#This Row],[Max]]-InterspecUsage[[#This Row],[Used-MB]]</f>
        <v>499</v>
      </c>
      <c r="N861" s="5">
        <f>IF($L861&gt;0,InterspecUsage[[#This Row],[Free-of-Max]]/InterspecUsage[[#This Row],[Usage-Delta-MB]],InterspecUsage[[#This Row],[Free-of-Max]])</f>
        <v>499</v>
      </c>
    </row>
    <row r="862" spans="1:14" x14ac:dyDescent="0.25">
      <c r="A862" s="3">
        <v>45145</v>
      </c>
      <c r="B862" s="15" t="s">
        <v>26</v>
      </c>
      <c r="C862" s="16">
        <v>94</v>
      </c>
      <c r="D862" s="16">
        <v>22288</v>
      </c>
      <c r="E862" s="16">
        <v>1269</v>
      </c>
      <c r="F862" s="16">
        <v>21019</v>
      </c>
      <c r="G862" s="16">
        <v>6</v>
      </c>
      <c r="H862" s="16">
        <v>40960</v>
      </c>
      <c r="I862" s="16">
        <v>51</v>
      </c>
      <c r="J862" s="15" t="s">
        <v>1</v>
      </c>
      <c r="K862" s="15" t="s">
        <v>2</v>
      </c>
      <c r="L862" s="8">
        <f>InterspecUsage[[#This Row],[Used-MB]]-F852</f>
        <v>64</v>
      </c>
      <c r="M862">
        <f>InterspecUsage[[#This Row],[Max]]-InterspecUsage[[#This Row],[Used-MB]]</f>
        <v>19941</v>
      </c>
      <c r="N862" s="5">
        <f>IF($L862&gt;0,InterspecUsage[[#This Row],[Free-of-Max]]/InterspecUsage[[#This Row],[Usage-Delta-MB]],InterspecUsage[[#This Row],[Free-of-Max]])</f>
        <v>311.578125</v>
      </c>
    </row>
    <row r="863" spans="1:14" x14ac:dyDescent="0.25">
      <c r="A863" s="3">
        <v>45145</v>
      </c>
      <c r="B863" s="15" t="s">
        <v>24</v>
      </c>
      <c r="C863" s="16">
        <v>90</v>
      </c>
      <c r="D863" s="16">
        <v>18400</v>
      </c>
      <c r="E863" s="16">
        <v>1916</v>
      </c>
      <c r="F863" s="16">
        <v>16484</v>
      </c>
      <c r="G863" s="16">
        <v>10</v>
      </c>
      <c r="H863" s="16">
        <v>32768</v>
      </c>
      <c r="I863" s="16">
        <v>50</v>
      </c>
      <c r="J863" s="15" t="s">
        <v>1</v>
      </c>
      <c r="K863" s="15" t="s">
        <v>2</v>
      </c>
      <c r="L863" s="8">
        <f>InterspecUsage[[#This Row],[Used-MB]]-F853</f>
        <v>97</v>
      </c>
      <c r="M863">
        <f>InterspecUsage[[#This Row],[Max]]-InterspecUsage[[#This Row],[Used-MB]]</f>
        <v>16284</v>
      </c>
      <c r="N863" s="5">
        <f>IF($L863&gt;0,InterspecUsage[[#This Row],[Free-of-Max]]/InterspecUsage[[#This Row],[Usage-Delta-MB]],InterspecUsage[[#This Row],[Free-of-Max]])</f>
        <v>167.8762886597938</v>
      </c>
    </row>
    <row r="864" spans="1:14" x14ac:dyDescent="0.25">
      <c r="A864" s="3">
        <v>45145</v>
      </c>
      <c r="B864" s="15" t="s">
        <v>35</v>
      </c>
      <c r="C864" s="16">
        <v>96</v>
      </c>
      <c r="D864" s="16">
        <v>27800</v>
      </c>
      <c r="E864" s="16">
        <v>1108</v>
      </c>
      <c r="F864" s="16">
        <v>26692</v>
      </c>
      <c r="G864" s="16">
        <v>4</v>
      </c>
      <c r="H864" s="16">
        <v>32768</v>
      </c>
      <c r="I864" s="16">
        <v>81</v>
      </c>
      <c r="J864" s="15" t="s">
        <v>1</v>
      </c>
      <c r="K864" s="15" t="s">
        <v>2</v>
      </c>
      <c r="L864" s="8">
        <f>InterspecUsage[[#This Row],[Used-MB]]-F854</f>
        <v>64</v>
      </c>
      <c r="M864">
        <f>InterspecUsage[[#This Row],[Max]]-InterspecUsage[[#This Row],[Used-MB]]</f>
        <v>6076</v>
      </c>
      <c r="N864" s="5">
        <f>IF($L864&gt;0,InterspecUsage[[#This Row],[Free-of-Max]]/InterspecUsage[[#This Row],[Usage-Delta-MB]],InterspecUsage[[#This Row],[Free-of-Max]])</f>
        <v>94.9375</v>
      </c>
    </row>
    <row r="865" spans="1:14" x14ac:dyDescent="0.25">
      <c r="A865" s="3">
        <v>45145</v>
      </c>
      <c r="B865" s="15" t="s">
        <v>27</v>
      </c>
      <c r="C865" s="16">
        <v>84</v>
      </c>
      <c r="D865" s="16">
        <v>163840</v>
      </c>
      <c r="E865" s="16">
        <v>26956</v>
      </c>
      <c r="F865" s="16">
        <v>136884</v>
      </c>
      <c r="G865" s="16">
        <v>16</v>
      </c>
      <c r="H865" s="16">
        <v>163840</v>
      </c>
      <c r="I865" s="16">
        <v>84</v>
      </c>
      <c r="J865" s="15" t="s">
        <v>1</v>
      </c>
      <c r="K865" s="15" t="s">
        <v>2</v>
      </c>
      <c r="L865" s="8">
        <f>InterspecUsage[[#This Row],[Used-MB]]-F855</f>
        <v>203</v>
      </c>
      <c r="M865">
        <f>InterspecUsage[[#This Row],[Max]]-InterspecUsage[[#This Row],[Used-MB]]</f>
        <v>26956</v>
      </c>
      <c r="N865" s="5">
        <f>IF($L865&gt;0,InterspecUsage[[#This Row],[Free-of-Max]]/InterspecUsage[[#This Row],[Usage-Delta-MB]],InterspecUsage[[#This Row],[Free-of-Max]])</f>
        <v>132.78817733990147</v>
      </c>
    </row>
    <row r="866" spans="1:14" x14ac:dyDescent="0.25">
      <c r="A866" s="3">
        <v>45145</v>
      </c>
      <c r="B866" s="15" t="s">
        <v>7</v>
      </c>
      <c r="C866" s="16">
        <v>95</v>
      </c>
      <c r="D866" s="16">
        <v>1660</v>
      </c>
      <c r="E866" s="16">
        <v>90</v>
      </c>
      <c r="F866" s="16">
        <v>1570</v>
      </c>
      <c r="G866" s="16">
        <v>5</v>
      </c>
      <c r="H866" s="16">
        <v>32768</v>
      </c>
      <c r="I866" s="16">
        <v>5</v>
      </c>
      <c r="J866" s="15" t="s">
        <v>1</v>
      </c>
      <c r="K866" s="15" t="s">
        <v>2</v>
      </c>
      <c r="L866" s="8">
        <f>InterspecUsage[[#This Row],[Used-MB]]-F856</f>
        <v>-2</v>
      </c>
      <c r="M866">
        <f>InterspecUsage[[#This Row],[Max]]-InterspecUsage[[#This Row],[Used-MB]]</f>
        <v>31198</v>
      </c>
      <c r="N866" s="5">
        <f>IF($L866&gt;0,InterspecUsage[[#This Row],[Free-of-Max]]/InterspecUsage[[#This Row],[Usage-Delta-MB]],InterspecUsage[[#This Row],[Free-of-Max]])</f>
        <v>31198</v>
      </c>
    </row>
    <row r="867" spans="1:14" x14ac:dyDescent="0.25">
      <c r="A867" s="3">
        <v>45145</v>
      </c>
      <c r="B867" s="15" t="s">
        <v>0</v>
      </c>
      <c r="C867" s="16">
        <v>100</v>
      </c>
      <c r="D867" s="16">
        <v>4050</v>
      </c>
      <c r="E867" s="16">
        <v>17</v>
      </c>
      <c r="F867" s="16">
        <v>4033</v>
      </c>
      <c r="G867" s="16">
        <v>0</v>
      </c>
      <c r="H867" s="16">
        <v>32768</v>
      </c>
      <c r="I867" s="16">
        <v>12</v>
      </c>
      <c r="J867" s="15" t="s">
        <v>1</v>
      </c>
      <c r="K867" s="15" t="s">
        <v>2</v>
      </c>
      <c r="L867" s="8">
        <f>InterspecUsage[[#This Row],[Used-MB]]-F857</f>
        <v>0</v>
      </c>
      <c r="M867">
        <f>InterspecUsage[[#This Row],[Max]]-InterspecUsage[[#This Row],[Used-MB]]</f>
        <v>28735</v>
      </c>
      <c r="N867" s="5">
        <f>IF($L867&gt;0,InterspecUsage[[#This Row],[Free-of-Max]]/InterspecUsage[[#This Row],[Usage-Delta-MB]],InterspecUsage[[#This Row],[Free-of-Max]])</f>
        <v>28735</v>
      </c>
    </row>
    <row r="868" spans="1:14" x14ac:dyDescent="0.25">
      <c r="A868" s="3">
        <v>45145</v>
      </c>
      <c r="B868" s="15" t="s">
        <v>30</v>
      </c>
      <c r="C868" s="16">
        <v>70</v>
      </c>
      <c r="D868" s="16">
        <v>32767</v>
      </c>
      <c r="E868" s="16">
        <v>9850</v>
      </c>
      <c r="F868" s="16">
        <v>22917</v>
      </c>
      <c r="G868" s="16">
        <v>30</v>
      </c>
      <c r="H868" s="16">
        <v>32768</v>
      </c>
      <c r="I868" s="16">
        <v>70</v>
      </c>
      <c r="J868" s="15" t="s">
        <v>1</v>
      </c>
      <c r="K868" s="15" t="s">
        <v>13</v>
      </c>
      <c r="L868" s="8">
        <f>InterspecUsage[[#This Row],[Used-MB]]-F858</f>
        <v>-6</v>
      </c>
      <c r="M868">
        <f>InterspecUsage[[#This Row],[Max]]-InterspecUsage[[#This Row],[Used-MB]]</f>
        <v>9851</v>
      </c>
      <c r="N868" s="5">
        <f>IF($L868&gt;0,InterspecUsage[[#This Row],[Free-of-Max]]/InterspecUsage[[#This Row],[Usage-Delta-MB]],InterspecUsage[[#This Row],[Free-of-Max]])</f>
        <v>9851</v>
      </c>
    </row>
    <row r="869" spans="1:14" x14ac:dyDescent="0.25">
      <c r="A869" s="3">
        <v>45145</v>
      </c>
      <c r="B869" s="15" t="s">
        <v>28</v>
      </c>
      <c r="C869" s="16">
        <v>5</v>
      </c>
      <c r="D869" s="16">
        <v>23320</v>
      </c>
      <c r="E869" s="16">
        <v>22086</v>
      </c>
      <c r="F869" s="16">
        <v>1234</v>
      </c>
      <c r="G869" s="16">
        <v>95</v>
      </c>
      <c r="H869" s="16">
        <v>32768</v>
      </c>
      <c r="I869" s="16">
        <v>4</v>
      </c>
      <c r="J869" s="15" t="s">
        <v>1</v>
      </c>
      <c r="K869" s="15" t="s">
        <v>10</v>
      </c>
      <c r="L869" s="8">
        <f>InterspecUsage[[#This Row],[Used-MB]]-F859</f>
        <v>719</v>
      </c>
      <c r="M869">
        <f>InterspecUsage[[#This Row],[Max]]-InterspecUsage[[#This Row],[Used-MB]]</f>
        <v>31534</v>
      </c>
      <c r="N869" s="5">
        <f>IF($L869&gt;0,InterspecUsage[[#This Row],[Free-of-Max]]/InterspecUsage[[#This Row],[Usage-Delta-MB]],InterspecUsage[[#This Row],[Free-of-Max]])</f>
        <v>43.858136300417243</v>
      </c>
    </row>
    <row r="870" spans="1:14" x14ac:dyDescent="0.25">
      <c r="A870" s="3">
        <v>45145</v>
      </c>
      <c r="B870" s="15" t="s">
        <v>25</v>
      </c>
      <c r="C870" s="16">
        <v>72</v>
      </c>
      <c r="D870" s="16">
        <v>12700</v>
      </c>
      <c r="E870" s="16">
        <v>3561</v>
      </c>
      <c r="F870" s="16">
        <v>9139</v>
      </c>
      <c r="G870" s="16">
        <v>28</v>
      </c>
      <c r="H870" s="16">
        <v>32768</v>
      </c>
      <c r="I870" s="16">
        <v>28</v>
      </c>
      <c r="J870" s="15" t="s">
        <v>1</v>
      </c>
      <c r="K870" s="15" t="s">
        <v>2</v>
      </c>
      <c r="L870" s="8">
        <f>InterspecUsage[[#This Row],[Used-MB]]-F860</f>
        <v>210</v>
      </c>
      <c r="M870">
        <f>InterspecUsage[[#This Row],[Max]]-InterspecUsage[[#This Row],[Used-MB]]</f>
        <v>23629</v>
      </c>
      <c r="N870" s="5">
        <f>IF($L870&gt;0,InterspecUsage[[#This Row],[Free-of-Max]]/InterspecUsage[[#This Row],[Usage-Delta-MB]],InterspecUsage[[#This Row],[Free-of-Max]])</f>
        <v>112.51904761904763</v>
      </c>
    </row>
    <row r="871" spans="1:14" x14ac:dyDescent="0.25">
      <c r="A871" s="3">
        <v>45145</v>
      </c>
      <c r="B871" s="15" t="s">
        <v>29</v>
      </c>
      <c r="C871" s="16">
        <v>0</v>
      </c>
      <c r="D871" s="16">
        <v>500</v>
      </c>
      <c r="E871" s="16">
        <v>499</v>
      </c>
      <c r="F871" s="16">
        <v>1</v>
      </c>
      <c r="G871" s="16">
        <v>100</v>
      </c>
      <c r="H871" s="16">
        <v>500</v>
      </c>
      <c r="I871" s="16">
        <v>0</v>
      </c>
      <c r="J871" s="15" t="s">
        <v>1</v>
      </c>
      <c r="K871" s="15" t="s">
        <v>2</v>
      </c>
      <c r="L871" s="8">
        <f>InterspecUsage[[#This Row],[Used-MB]]-F861</f>
        <v>0</v>
      </c>
      <c r="M871">
        <f>InterspecUsage[[#This Row],[Max]]-InterspecUsage[[#This Row],[Used-MB]]</f>
        <v>499</v>
      </c>
      <c r="N871" s="5">
        <f>IF($L871&gt;0,InterspecUsage[[#This Row],[Free-of-Max]]/InterspecUsage[[#This Row],[Usage-Delta-MB]],InterspecUsage[[#This Row],[Free-of-Max]])</f>
        <v>499</v>
      </c>
    </row>
    <row r="872" spans="1:14" x14ac:dyDescent="0.25">
      <c r="A872" s="3">
        <v>45152</v>
      </c>
      <c r="B872" s="15" t="s">
        <v>26</v>
      </c>
      <c r="C872" s="16">
        <v>95</v>
      </c>
      <c r="D872" s="16">
        <v>22288</v>
      </c>
      <c r="E872" s="16">
        <v>1205</v>
      </c>
      <c r="F872" s="16">
        <v>21083</v>
      </c>
      <c r="G872" s="16">
        <v>5</v>
      </c>
      <c r="H872" s="16">
        <v>40960</v>
      </c>
      <c r="I872" s="16">
        <v>51</v>
      </c>
      <c r="J872" s="15" t="s">
        <v>1</v>
      </c>
      <c r="K872" s="15" t="s">
        <v>2</v>
      </c>
      <c r="L872" s="8">
        <f>InterspecUsage[[#This Row],[Used-MB]]-F862</f>
        <v>64</v>
      </c>
      <c r="M872">
        <f>InterspecUsage[[#This Row],[Max]]-InterspecUsage[[#This Row],[Used-MB]]</f>
        <v>19877</v>
      </c>
      <c r="N872" s="5">
        <f>IF($L872&gt;0,InterspecUsage[[#This Row],[Free-of-Max]]/InterspecUsage[[#This Row],[Usage-Delta-MB]],InterspecUsage[[#This Row],[Free-of-Max]])</f>
        <v>310.578125</v>
      </c>
    </row>
    <row r="873" spans="1:14" x14ac:dyDescent="0.25">
      <c r="A873" s="3">
        <v>45152</v>
      </c>
      <c r="B873" s="15" t="s">
        <v>24</v>
      </c>
      <c r="C873" s="16">
        <v>90</v>
      </c>
      <c r="D873" s="16">
        <v>18400</v>
      </c>
      <c r="E873" s="16">
        <v>1878</v>
      </c>
      <c r="F873" s="16">
        <v>16522</v>
      </c>
      <c r="G873" s="16">
        <v>10</v>
      </c>
      <c r="H873" s="16">
        <v>32768</v>
      </c>
      <c r="I873" s="16">
        <v>50</v>
      </c>
      <c r="J873" s="15" t="s">
        <v>1</v>
      </c>
      <c r="K873" s="15" t="s">
        <v>2</v>
      </c>
      <c r="L873" s="8">
        <f>InterspecUsage[[#This Row],[Used-MB]]-F863</f>
        <v>38</v>
      </c>
      <c r="M873">
        <f>InterspecUsage[[#This Row],[Max]]-InterspecUsage[[#This Row],[Used-MB]]</f>
        <v>16246</v>
      </c>
      <c r="N873" s="5">
        <f>IF($L873&gt;0,InterspecUsage[[#This Row],[Free-of-Max]]/InterspecUsage[[#This Row],[Usage-Delta-MB]],InterspecUsage[[#This Row],[Free-of-Max]])</f>
        <v>427.5263157894737</v>
      </c>
    </row>
    <row r="874" spans="1:14" x14ac:dyDescent="0.25">
      <c r="A874" s="3">
        <v>45152</v>
      </c>
      <c r="B874" s="15" t="s">
        <v>35</v>
      </c>
      <c r="C874" s="16">
        <v>96</v>
      </c>
      <c r="D874" s="16">
        <v>27800</v>
      </c>
      <c r="E874" s="16">
        <v>1044</v>
      </c>
      <c r="F874" s="16">
        <v>26756</v>
      </c>
      <c r="G874" s="16">
        <v>4</v>
      </c>
      <c r="H874" s="16">
        <v>32768</v>
      </c>
      <c r="I874" s="16">
        <v>82</v>
      </c>
      <c r="J874" s="15" t="s">
        <v>1</v>
      </c>
      <c r="K874" s="15" t="s">
        <v>2</v>
      </c>
      <c r="L874" s="8">
        <f>InterspecUsage[[#This Row],[Used-MB]]-F864</f>
        <v>64</v>
      </c>
      <c r="M874">
        <f>InterspecUsage[[#This Row],[Max]]-InterspecUsage[[#This Row],[Used-MB]]</f>
        <v>6012</v>
      </c>
      <c r="N874" s="5">
        <f>IF($L874&gt;0,InterspecUsage[[#This Row],[Free-of-Max]]/InterspecUsage[[#This Row],[Usage-Delta-MB]],InterspecUsage[[#This Row],[Free-of-Max]])</f>
        <v>93.9375</v>
      </c>
    </row>
    <row r="875" spans="1:14" x14ac:dyDescent="0.25">
      <c r="A875" s="3">
        <v>45152</v>
      </c>
      <c r="B875" s="15" t="s">
        <v>27</v>
      </c>
      <c r="C875" s="16">
        <v>84</v>
      </c>
      <c r="D875" s="16">
        <v>163840</v>
      </c>
      <c r="E875" s="16">
        <v>26767</v>
      </c>
      <c r="F875" s="16">
        <v>137073</v>
      </c>
      <c r="G875" s="16">
        <v>16</v>
      </c>
      <c r="H875" s="16">
        <v>163840</v>
      </c>
      <c r="I875" s="16">
        <v>84</v>
      </c>
      <c r="J875" s="15" t="s">
        <v>1</v>
      </c>
      <c r="K875" s="15" t="s">
        <v>2</v>
      </c>
      <c r="L875" s="8">
        <f>InterspecUsage[[#This Row],[Used-MB]]-F865</f>
        <v>189</v>
      </c>
      <c r="M875">
        <f>InterspecUsage[[#This Row],[Max]]-InterspecUsage[[#This Row],[Used-MB]]</f>
        <v>26767</v>
      </c>
      <c r="N875" s="5">
        <f>IF($L875&gt;0,InterspecUsage[[#This Row],[Free-of-Max]]/InterspecUsage[[#This Row],[Usage-Delta-MB]],InterspecUsage[[#This Row],[Free-of-Max]])</f>
        <v>141.62433862433863</v>
      </c>
    </row>
    <row r="876" spans="1:14" x14ac:dyDescent="0.25">
      <c r="A876" s="3">
        <v>45152</v>
      </c>
      <c r="B876" s="15" t="s">
        <v>7</v>
      </c>
      <c r="C876" s="16">
        <v>95</v>
      </c>
      <c r="D876" s="16">
        <v>1660</v>
      </c>
      <c r="E876" s="16">
        <v>81</v>
      </c>
      <c r="F876" s="16">
        <v>1579</v>
      </c>
      <c r="G876" s="16">
        <v>5</v>
      </c>
      <c r="H876" s="16">
        <v>32768</v>
      </c>
      <c r="I876" s="16">
        <v>5</v>
      </c>
      <c r="J876" s="15" t="s">
        <v>1</v>
      </c>
      <c r="K876" s="15" t="s">
        <v>2</v>
      </c>
      <c r="L876" s="8">
        <f>InterspecUsage[[#This Row],[Used-MB]]-F866</f>
        <v>9</v>
      </c>
      <c r="M876">
        <f>InterspecUsage[[#This Row],[Max]]-InterspecUsage[[#This Row],[Used-MB]]</f>
        <v>31189</v>
      </c>
      <c r="N876" s="5">
        <f>IF($L876&gt;0,InterspecUsage[[#This Row],[Free-of-Max]]/InterspecUsage[[#This Row],[Usage-Delta-MB]],InterspecUsage[[#This Row],[Free-of-Max]])</f>
        <v>3465.4444444444443</v>
      </c>
    </row>
    <row r="877" spans="1:14" x14ac:dyDescent="0.25">
      <c r="A877" s="3">
        <v>45152</v>
      </c>
      <c r="B877" s="15" t="s">
        <v>0</v>
      </c>
      <c r="C877" s="16">
        <v>99</v>
      </c>
      <c r="D877" s="16">
        <v>4120</v>
      </c>
      <c r="E877" s="16">
        <v>23</v>
      </c>
      <c r="F877" s="16">
        <v>4097</v>
      </c>
      <c r="G877" s="16">
        <v>1</v>
      </c>
      <c r="H877" s="16">
        <v>32768</v>
      </c>
      <c r="I877" s="16">
        <v>13</v>
      </c>
      <c r="J877" s="15" t="s">
        <v>1</v>
      </c>
      <c r="K877" s="15" t="s">
        <v>2</v>
      </c>
      <c r="L877" s="8">
        <f>InterspecUsage[[#This Row],[Used-MB]]-F867</f>
        <v>64</v>
      </c>
      <c r="M877">
        <f>InterspecUsage[[#This Row],[Max]]-InterspecUsage[[#This Row],[Used-MB]]</f>
        <v>28671</v>
      </c>
      <c r="N877" s="5">
        <f>IF($L877&gt;0,InterspecUsage[[#This Row],[Free-of-Max]]/InterspecUsage[[#This Row],[Usage-Delta-MB]],InterspecUsage[[#This Row],[Free-of-Max]])</f>
        <v>447.984375</v>
      </c>
    </row>
    <row r="878" spans="1:14" x14ac:dyDescent="0.25">
      <c r="A878" s="3">
        <v>45152</v>
      </c>
      <c r="B878" s="15" t="s">
        <v>30</v>
      </c>
      <c r="C878" s="16">
        <v>70</v>
      </c>
      <c r="D878" s="16">
        <v>32767</v>
      </c>
      <c r="E878" s="16">
        <v>9838</v>
      </c>
      <c r="F878" s="16">
        <v>22929</v>
      </c>
      <c r="G878" s="16">
        <v>30</v>
      </c>
      <c r="H878" s="16">
        <v>32768</v>
      </c>
      <c r="I878" s="16">
        <v>70</v>
      </c>
      <c r="J878" s="15" t="s">
        <v>1</v>
      </c>
      <c r="K878" s="15" t="s">
        <v>13</v>
      </c>
      <c r="L878" s="8">
        <f>InterspecUsage[[#This Row],[Used-MB]]-F868</f>
        <v>12</v>
      </c>
      <c r="M878">
        <f>InterspecUsage[[#This Row],[Max]]-InterspecUsage[[#This Row],[Used-MB]]</f>
        <v>9839</v>
      </c>
      <c r="N878" s="5">
        <f>IF($L878&gt;0,InterspecUsage[[#This Row],[Free-of-Max]]/InterspecUsage[[#This Row],[Usage-Delta-MB]],InterspecUsage[[#This Row],[Free-of-Max]])</f>
        <v>819.91666666666663</v>
      </c>
    </row>
    <row r="879" spans="1:14" x14ac:dyDescent="0.25">
      <c r="A879" s="3">
        <v>45152</v>
      </c>
      <c r="B879" s="15" t="s">
        <v>28</v>
      </c>
      <c r="C879" s="16">
        <v>5</v>
      </c>
      <c r="D879" s="16">
        <v>23320</v>
      </c>
      <c r="E879" s="16">
        <v>22146</v>
      </c>
      <c r="F879" s="16">
        <v>1174</v>
      </c>
      <c r="G879" s="16">
        <v>95</v>
      </c>
      <c r="H879" s="16">
        <v>32768</v>
      </c>
      <c r="I879" s="16">
        <v>4</v>
      </c>
      <c r="J879" s="15" t="s">
        <v>1</v>
      </c>
      <c r="K879" s="15" t="s">
        <v>10</v>
      </c>
      <c r="L879" s="8">
        <f>InterspecUsage[[#This Row],[Used-MB]]-F869</f>
        <v>-60</v>
      </c>
      <c r="M879">
        <f>InterspecUsage[[#This Row],[Max]]-InterspecUsage[[#This Row],[Used-MB]]</f>
        <v>31594</v>
      </c>
      <c r="N879" s="5">
        <f>IF($L879&gt;0,InterspecUsage[[#This Row],[Free-of-Max]]/InterspecUsage[[#This Row],[Usage-Delta-MB]],InterspecUsage[[#This Row],[Free-of-Max]])</f>
        <v>31594</v>
      </c>
    </row>
    <row r="880" spans="1:14" x14ac:dyDescent="0.25">
      <c r="A880" s="3">
        <v>45152</v>
      </c>
      <c r="B880" s="15" t="s">
        <v>25</v>
      </c>
      <c r="C880" s="16">
        <v>72</v>
      </c>
      <c r="D880" s="16">
        <v>12700</v>
      </c>
      <c r="E880" s="16">
        <v>3544</v>
      </c>
      <c r="F880" s="16">
        <v>9156</v>
      </c>
      <c r="G880" s="16">
        <v>28</v>
      </c>
      <c r="H880" s="16">
        <v>32768</v>
      </c>
      <c r="I880" s="16">
        <v>28</v>
      </c>
      <c r="J880" s="15" t="s">
        <v>1</v>
      </c>
      <c r="K880" s="15" t="s">
        <v>2</v>
      </c>
      <c r="L880" s="8">
        <f>InterspecUsage[[#This Row],[Used-MB]]-F870</f>
        <v>17</v>
      </c>
      <c r="M880">
        <f>InterspecUsage[[#This Row],[Max]]-InterspecUsage[[#This Row],[Used-MB]]</f>
        <v>23612</v>
      </c>
      <c r="N880" s="5">
        <f>IF($L880&gt;0,InterspecUsage[[#This Row],[Free-of-Max]]/InterspecUsage[[#This Row],[Usage-Delta-MB]],InterspecUsage[[#This Row],[Free-of-Max]])</f>
        <v>1388.9411764705883</v>
      </c>
    </row>
    <row r="881" spans="1:14" x14ac:dyDescent="0.25">
      <c r="A881" s="3">
        <v>45152</v>
      </c>
      <c r="B881" s="15" t="s">
        <v>29</v>
      </c>
      <c r="C881" s="16">
        <v>0</v>
      </c>
      <c r="D881" s="16">
        <v>500</v>
      </c>
      <c r="E881" s="16">
        <v>499</v>
      </c>
      <c r="F881" s="16">
        <v>1</v>
      </c>
      <c r="G881" s="16">
        <v>100</v>
      </c>
      <c r="H881" s="16">
        <v>500</v>
      </c>
      <c r="I881" s="16">
        <v>0</v>
      </c>
      <c r="J881" s="15" t="s">
        <v>1</v>
      </c>
      <c r="K881" s="15" t="s">
        <v>2</v>
      </c>
      <c r="L881" s="8">
        <f>InterspecUsage[[#This Row],[Used-MB]]-F871</f>
        <v>0</v>
      </c>
      <c r="M881">
        <f>InterspecUsage[[#This Row],[Max]]-InterspecUsage[[#This Row],[Used-MB]]</f>
        <v>499</v>
      </c>
      <c r="N881" s="5">
        <f>IF($L881&gt;0,InterspecUsage[[#This Row],[Free-of-Max]]/InterspecUsage[[#This Row],[Usage-Delta-MB]],InterspecUsage[[#This Row],[Free-of-Max]])</f>
        <v>499</v>
      </c>
    </row>
    <row r="882" spans="1:14" x14ac:dyDescent="0.25">
      <c r="A882" s="3">
        <v>45159</v>
      </c>
      <c r="B882" s="15" t="s">
        <v>26</v>
      </c>
      <c r="C882" s="16">
        <v>95</v>
      </c>
      <c r="D882" s="16">
        <v>22288</v>
      </c>
      <c r="E882" s="16">
        <v>1205</v>
      </c>
      <c r="F882" s="16">
        <v>21083</v>
      </c>
      <c r="G882" s="16">
        <v>5</v>
      </c>
      <c r="H882" s="16">
        <v>40960</v>
      </c>
      <c r="I882" s="16">
        <v>51</v>
      </c>
      <c r="J882" s="15" t="s">
        <v>1</v>
      </c>
      <c r="K882" s="15" t="s">
        <v>2</v>
      </c>
      <c r="L882" s="8">
        <f>InterspecUsage[[#This Row],[Used-MB]]-F872</f>
        <v>0</v>
      </c>
      <c r="M882">
        <f>InterspecUsage[[#This Row],[Max]]-InterspecUsage[[#This Row],[Used-MB]]</f>
        <v>19877</v>
      </c>
      <c r="N882" s="5">
        <f>IF($L882&gt;0,InterspecUsage[[#This Row],[Free-of-Max]]/InterspecUsage[[#This Row],[Usage-Delta-MB]],InterspecUsage[[#This Row],[Free-of-Max]])</f>
        <v>19877</v>
      </c>
    </row>
    <row r="883" spans="1:14" x14ac:dyDescent="0.25">
      <c r="A883" s="3">
        <v>45159</v>
      </c>
      <c r="B883" s="15" t="s">
        <v>24</v>
      </c>
      <c r="C883" s="16">
        <v>90</v>
      </c>
      <c r="D883" s="16">
        <v>18400</v>
      </c>
      <c r="E883" s="16">
        <v>1845</v>
      </c>
      <c r="F883" s="16">
        <v>16555</v>
      </c>
      <c r="G883" s="16">
        <v>10</v>
      </c>
      <c r="H883" s="16">
        <v>32768</v>
      </c>
      <c r="I883" s="16">
        <v>51</v>
      </c>
      <c r="J883" s="15" t="s">
        <v>1</v>
      </c>
      <c r="K883" s="15" t="s">
        <v>2</v>
      </c>
      <c r="L883" s="8">
        <f>InterspecUsage[[#This Row],[Used-MB]]-F873</f>
        <v>33</v>
      </c>
      <c r="M883">
        <f>InterspecUsage[[#This Row],[Max]]-InterspecUsage[[#This Row],[Used-MB]]</f>
        <v>16213</v>
      </c>
      <c r="N883" s="5">
        <f>IF($L883&gt;0,InterspecUsage[[#This Row],[Free-of-Max]]/InterspecUsage[[#This Row],[Usage-Delta-MB]],InterspecUsage[[#This Row],[Free-of-Max]])</f>
        <v>491.30303030303031</v>
      </c>
    </row>
    <row r="884" spans="1:14" x14ac:dyDescent="0.25">
      <c r="A884" s="3">
        <v>45159</v>
      </c>
      <c r="B884" s="15" t="s">
        <v>35</v>
      </c>
      <c r="C884" s="16">
        <v>96</v>
      </c>
      <c r="D884" s="16">
        <v>27800</v>
      </c>
      <c r="E884" s="16">
        <v>1044</v>
      </c>
      <c r="F884" s="16">
        <v>26756</v>
      </c>
      <c r="G884" s="16">
        <v>4</v>
      </c>
      <c r="H884" s="16">
        <v>32768</v>
      </c>
      <c r="I884" s="16">
        <v>82</v>
      </c>
      <c r="J884" s="15" t="s">
        <v>1</v>
      </c>
      <c r="K884" s="15" t="s">
        <v>2</v>
      </c>
      <c r="L884" s="8">
        <f>InterspecUsage[[#This Row],[Used-MB]]-F874</f>
        <v>0</v>
      </c>
      <c r="M884">
        <f>InterspecUsage[[#This Row],[Max]]-InterspecUsage[[#This Row],[Used-MB]]</f>
        <v>6012</v>
      </c>
      <c r="N884" s="5">
        <f>IF($L884&gt;0,InterspecUsage[[#This Row],[Free-of-Max]]/InterspecUsage[[#This Row],[Usage-Delta-MB]],InterspecUsage[[#This Row],[Free-of-Max]])</f>
        <v>6012</v>
      </c>
    </row>
    <row r="885" spans="1:14" x14ac:dyDescent="0.25">
      <c r="A885" s="3">
        <v>45159</v>
      </c>
      <c r="B885" s="15" t="s">
        <v>27</v>
      </c>
      <c r="C885" s="16">
        <v>84</v>
      </c>
      <c r="D885" s="16">
        <v>163840</v>
      </c>
      <c r="E885" s="16">
        <v>26591</v>
      </c>
      <c r="F885" s="16">
        <v>137249</v>
      </c>
      <c r="G885" s="16">
        <v>16</v>
      </c>
      <c r="H885" s="16">
        <v>163840</v>
      </c>
      <c r="I885" s="16">
        <v>84</v>
      </c>
      <c r="J885" s="15" t="s">
        <v>1</v>
      </c>
      <c r="K885" s="15" t="s">
        <v>2</v>
      </c>
      <c r="L885" s="8">
        <f>InterspecUsage[[#This Row],[Used-MB]]-F875</f>
        <v>176</v>
      </c>
      <c r="M885">
        <f>InterspecUsage[[#This Row],[Max]]-InterspecUsage[[#This Row],[Used-MB]]</f>
        <v>26591</v>
      </c>
      <c r="N885" s="5">
        <f>IF($L885&gt;0,InterspecUsage[[#This Row],[Free-of-Max]]/InterspecUsage[[#This Row],[Usage-Delta-MB]],InterspecUsage[[#This Row],[Free-of-Max]])</f>
        <v>151.08522727272728</v>
      </c>
    </row>
    <row r="886" spans="1:14" x14ac:dyDescent="0.25">
      <c r="A886" s="3">
        <v>45159</v>
      </c>
      <c r="B886" s="15" t="s">
        <v>7</v>
      </c>
      <c r="C886" s="16">
        <v>95</v>
      </c>
      <c r="D886" s="16">
        <v>1670</v>
      </c>
      <c r="E886" s="16">
        <v>83</v>
      </c>
      <c r="F886" s="16">
        <v>1587</v>
      </c>
      <c r="G886" s="16">
        <v>5</v>
      </c>
      <c r="H886" s="16">
        <v>32768</v>
      </c>
      <c r="I886" s="16">
        <v>5</v>
      </c>
      <c r="J886" s="15" t="s">
        <v>1</v>
      </c>
      <c r="K886" s="15" t="s">
        <v>2</v>
      </c>
      <c r="L886" s="8">
        <f>InterspecUsage[[#This Row],[Used-MB]]-F876</f>
        <v>8</v>
      </c>
      <c r="M886">
        <f>InterspecUsage[[#This Row],[Max]]-InterspecUsage[[#This Row],[Used-MB]]</f>
        <v>31181</v>
      </c>
      <c r="N886" s="5">
        <f>IF($L886&gt;0,InterspecUsage[[#This Row],[Free-of-Max]]/InterspecUsage[[#This Row],[Usage-Delta-MB]],InterspecUsage[[#This Row],[Free-of-Max]])</f>
        <v>3897.625</v>
      </c>
    </row>
    <row r="887" spans="1:14" x14ac:dyDescent="0.25">
      <c r="A887" s="3">
        <v>45159</v>
      </c>
      <c r="B887" s="15" t="s">
        <v>0</v>
      </c>
      <c r="C887" s="16">
        <v>99</v>
      </c>
      <c r="D887" s="16">
        <v>4120</v>
      </c>
      <c r="E887" s="16">
        <v>23</v>
      </c>
      <c r="F887" s="16">
        <v>4097</v>
      </c>
      <c r="G887" s="16">
        <v>1</v>
      </c>
      <c r="H887" s="16">
        <v>32768</v>
      </c>
      <c r="I887" s="16">
        <v>13</v>
      </c>
      <c r="J887" s="15" t="s">
        <v>1</v>
      </c>
      <c r="K887" s="15" t="s">
        <v>2</v>
      </c>
      <c r="L887" s="8">
        <f>InterspecUsage[[#This Row],[Used-MB]]-F877</f>
        <v>0</v>
      </c>
      <c r="M887">
        <f>InterspecUsage[[#This Row],[Max]]-InterspecUsage[[#This Row],[Used-MB]]</f>
        <v>28671</v>
      </c>
      <c r="N887" s="5">
        <f>IF($L887&gt;0,InterspecUsage[[#This Row],[Free-of-Max]]/InterspecUsage[[#This Row],[Usage-Delta-MB]],InterspecUsage[[#This Row],[Free-of-Max]])</f>
        <v>28671</v>
      </c>
    </row>
    <row r="888" spans="1:14" x14ac:dyDescent="0.25">
      <c r="A888" s="3">
        <v>45159</v>
      </c>
      <c r="B888" s="15" t="s">
        <v>30</v>
      </c>
      <c r="C888" s="16">
        <v>0</v>
      </c>
      <c r="D888" s="16">
        <v>32767</v>
      </c>
      <c r="E888" s="16">
        <v>32758</v>
      </c>
      <c r="F888" s="16">
        <v>9</v>
      </c>
      <c r="G888" s="16">
        <v>100</v>
      </c>
      <c r="H888" s="16">
        <v>32768</v>
      </c>
      <c r="I888" s="16">
        <v>0</v>
      </c>
      <c r="J888" s="15" t="s">
        <v>1</v>
      </c>
      <c r="K888" s="15" t="s">
        <v>13</v>
      </c>
      <c r="L888" s="8">
        <f>InterspecUsage[[#This Row],[Used-MB]]-F878</f>
        <v>-22920</v>
      </c>
      <c r="M888">
        <f>InterspecUsage[[#This Row],[Max]]-InterspecUsage[[#This Row],[Used-MB]]</f>
        <v>32759</v>
      </c>
      <c r="N888" s="5">
        <f>IF($L888&gt;0,InterspecUsage[[#This Row],[Free-of-Max]]/InterspecUsage[[#This Row],[Usage-Delta-MB]],InterspecUsage[[#This Row],[Free-of-Max]])</f>
        <v>32759</v>
      </c>
    </row>
    <row r="889" spans="1:14" x14ac:dyDescent="0.25">
      <c r="A889" s="3">
        <v>45159</v>
      </c>
      <c r="B889" s="15" t="s">
        <v>28</v>
      </c>
      <c r="C889" s="16">
        <v>7</v>
      </c>
      <c r="D889" s="16">
        <v>23320</v>
      </c>
      <c r="E889" s="16">
        <v>21787</v>
      </c>
      <c r="F889" s="16">
        <v>1533</v>
      </c>
      <c r="G889" s="16">
        <v>93</v>
      </c>
      <c r="H889" s="16">
        <v>32768</v>
      </c>
      <c r="I889" s="16">
        <v>5</v>
      </c>
      <c r="J889" s="15" t="s">
        <v>1</v>
      </c>
      <c r="K889" s="15" t="s">
        <v>10</v>
      </c>
      <c r="L889" s="8">
        <f>InterspecUsage[[#This Row],[Used-MB]]-F879</f>
        <v>359</v>
      </c>
      <c r="M889">
        <f>InterspecUsage[[#This Row],[Max]]-InterspecUsage[[#This Row],[Used-MB]]</f>
        <v>31235</v>
      </c>
      <c r="N889" s="5">
        <f>IF($L889&gt;0,InterspecUsage[[#This Row],[Free-of-Max]]/InterspecUsage[[#This Row],[Usage-Delta-MB]],InterspecUsage[[#This Row],[Free-of-Max]])</f>
        <v>87.005571030640667</v>
      </c>
    </row>
    <row r="890" spans="1:14" x14ac:dyDescent="0.25">
      <c r="A890" s="3">
        <v>45159</v>
      </c>
      <c r="B890" s="15" t="s">
        <v>25</v>
      </c>
      <c r="C890" s="16">
        <v>72</v>
      </c>
      <c r="D890" s="16">
        <v>12700</v>
      </c>
      <c r="E890" s="16">
        <v>3528</v>
      </c>
      <c r="F890" s="16">
        <v>9172</v>
      </c>
      <c r="G890" s="16">
        <v>28</v>
      </c>
      <c r="H890" s="16">
        <v>32768</v>
      </c>
      <c r="I890" s="16">
        <v>28</v>
      </c>
      <c r="J890" s="15" t="s">
        <v>1</v>
      </c>
      <c r="K890" s="15" t="s">
        <v>2</v>
      </c>
      <c r="L890" s="8">
        <f>InterspecUsage[[#This Row],[Used-MB]]-F880</f>
        <v>16</v>
      </c>
      <c r="M890">
        <f>InterspecUsage[[#This Row],[Max]]-InterspecUsage[[#This Row],[Used-MB]]</f>
        <v>23596</v>
      </c>
      <c r="N890" s="5">
        <f>IF($L890&gt;0,InterspecUsage[[#This Row],[Free-of-Max]]/InterspecUsage[[#This Row],[Usage-Delta-MB]],InterspecUsage[[#This Row],[Free-of-Max]])</f>
        <v>1474.75</v>
      </c>
    </row>
    <row r="891" spans="1:14" x14ac:dyDescent="0.25">
      <c r="A891" s="3">
        <v>45159</v>
      </c>
      <c r="B891" s="15" t="s">
        <v>29</v>
      </c>
      <c r="C891" s="16">
        <v>0</v>
      </c>
      <c r="D891" s="16">
        <v>500</v>
      </c>
      <c r="E891" s="16">
        <v>499</v>
      </c>
      <c r="F891" s="16">
        <v>1</v>
      </c>
      <c r="G891" s="16">
        <v>100</v>
      </c>
      <c r="H891" s="16">
        <v>500</v>
      </c>
      <c r="I891" s="16">
        <v>0</v>
      </c>
      <c r="J891" s="15" t="s">
        <v>1</v>
      </c>
      <c r="K891" s="15" t="s">
        <v>2</v>
      </c>
      <c r="L891" s="8">
        <f>InterspecUsage[[#This Row],[Used-MB]]-F881</f>
        <v>0</v>
      </c>
      <c r="M891">
        <f>InterspecUsage[[#This Row],[Max]]-InterspecUsage[[#This Row],[Used-MB]]</f>
        <v>499</v>
      </c>
      <c r="N891" s="5">
        <f>IF($L891&gt;0,InterspecUsage[[#This Row],[Free-of-Max]]/InterspecUsage[[#This Row],[Usage-Delta-MB]],InterspecUsage[[#This Row],[Free-of-Max]])</f>
        <v>499</v>
      </c>
    </row>
    <row r="892" spans="1:14" x14ac:dyDescent="0.25">
      <c r="A892" s="3">
        <v>45166</v>
      </c>
      <c r="B892" s="15" t="s">
        <v>26</v>
      </c>
      <c r="C892" s="16">
        <v>95</v>
      </c>
      <c r="D892" s="16">
        <v>22288</v>
      </c>
      <c r="E892" s="16">
        <v>1204</v>
      </c>
      <c r="F892" s="16">
        <v>21084</v>
      </c>
      <c r="G892" s="16">
        <v>5</v>
      </c>
      <c r="H892" s="16">
        <v>40960</v>
      </c>
      <c r="I892" s="16">
        <v>51</v>
      </c>
      <c r="J892" s="15" t="s">
        <v>1</v>
      </c>
      <c r="K892" s="15" t="s">
        <v>2</v>
      </c>
      <c r="L892" s="8">
        <f>InterspecUsage[[#This Row],[Used-MB]]-F882</f>
        <v>1</v>
      </c>
      <c r="M892">
        <f>InterspecUsage[[#This Row],[Max]]-InterspecUsage[[#This Row],[Used-MB]]</f>
        <v>19876</v>
      </c>
      <c r="N892" s="5">
        <f>IF($L892&gt;0,InterspecUsage[[#This Row],[Free-of-Max]]/InterspecUsage[[#This Row],[Usage-Delta-MB]],InterspecUsage[[#This Row],[Free-of-Max]])</f>
        <v>19876</v>
      </c>
    </row>
    <row r="893" spans="1:14" x14ac:dyDescent="0.25">
      <c r="A893" s="3">
        <v>45166</v>
      </c>
      <c r="B893" s="15" t="s">
        <v>24</v>
      </c>
      <c r="C893" s="16">
        <v>90</v>
      </c>
      <c r="D893" s="16">
        <v>18400</v>
      </c>
      <c r="E893" s="16">
        <v>1818</v>
      </c>
      <c r="F893" s="16">
        <v>16582</v>
      </c>
      <c r="G893" s="16">
        <v>10</v>
      </c>
      <c r="H893" s="16">
        <v>32768</v>
      </c>
      <c r="I893" s="16">
        <v>51</v>
      </c>
      <c r="J893" s="15" t="s">
        <v>1</v>
      </c>
      <c r="K893" s="15" t="s">
        <v>2</v>
      </c>
      <c r="L893" s="8">
        <f>InterspecUsage[[#This Row],[Used-MB]]-F883</f>
        <v>27</v>
      </c>
      <c r="M893">
        <f>InterspecUsage[[#This Row],[Max]]-InterspecUsage[[#This Row],[Used-MB]]</f>
        <v>16186</v>
      </c>
      <c r="N893" s="5">
        <f>IF($L893&gt;0,InterspecUsage[[#This Row],[Free-of-Max]]/InterspecUsage[[#This Row],[Usage-Delta-MB]],InterspecUsage[[#This Row],[Free-of-Max]])</f>
        <v>599.48148148148152</v>
      </c>
    </row>
    <row r="894" spans="1:14" x14ac:dyDescent="0.25">
      <c r="A894" s="3">
        <v>45166</v>
      </c>
      <c r="B894" s="15" t="s">
        <v>35</v>
      </c>
      <c r="C894" s="16">
        <v>95</v>
      </c>
      <c r="D894" s="16">
        <v>28200</v>
      </c>
      <c r="E894" s="16">
        <v>1316</v>
      </c>
      <c r="F894" s="16">
        <v>26884</v>
      </c>
      <c r="G894" s="16">
        <v>5</v>
      </c>
      <c r="H894" s="16">
        <v>32768</v>
      </c>
      <c r="I894" s="16">
        <v>82</v>
      </c>
      <c r="J894" s="15" t="s">
        <v>1</v>
      </c>
      <c r="K894" s="15" t="s">
        <v>2</v>
      </c>
      <c r="L894" s="8">
        <f>InterspecUsage[[#This Row],[Used-MB]]-F884</f>
        <v>128</v>
      </c>
      <c r="M894">
        <f>InterspecUsage[[#This Row],[Max]]-InterspecUsage[[#This Row],[Used-MB]]</f>
        <v>5884</v>
      </c>
      <c r="N894" s="5">
        <f>IF($L894&gt;0,InterspecUsage[[#This Row],[Free-of-Max]]/InterspecUsage[[#This Row],[Usage-Delta-MB]],InterspecUsage[[#This Row],[Free-of-Max]])</f>
        <v>45.96875</v>
      </c>
    </row>
    <row r="895" spans="1:14" x14ac:dyDescent="0.25">
      <c r="A895" s="3">
        <v>45166</v>
      </c>
      <c r="B895" s="15" t="s">
        <v>27</v>
      </c>
      <c r="C895" s="16">
        <v>84</v>
      </c>
      <c r="D895" s="16">
        <v>163840</v>
      </c>
      <c r="E895" s="16">
        <v>26065</v>
      </c>
      <c r="F895" s="16">
        <v>137775</v>
      </c>
      <c r="G895" s="16">
        <v>16</v>
      </c>
      <c r="H895" s="16">
        <v>163840</v>
      </c>
      <c r="I895" s="16">
        <v>84</v>
      </c>
      <c r="J895" s="15" t="s">
        <v>1</v>
      </c>
      <c r="K895" s="15" t="s">
        <v>2</v>
      </c>
      <c r="L895" s="8">
        <f>InterspecUsage[[#This Row],[Used-MB]]-F885</f>
        <v>526</v>
      </c>
      <c r="M895">
        <f>InterspecUsage[[#This Row],[Max]]-InterspecUsage[[#This Row],[Used-MB]]</f>
        <v>26065</v>
      </c>
      <c r="N895" s="5">
        <f>IF($L895&gt;0,InterspecUsage[[#This Row],[Free-of-Max]]/InterspecUsage[[#This Row],[Usage-Delta-MB]],InterspecUsage[[#This Row],[Free-of-Max]])</f>
        <v>49.553231939163496</v>
      </c>
    </row>
    <row r="896" spans="1:14" x14ac:dyDescent="0.25">
      <c r="A896" s="3">
        <v>45166</v>
      </c>
      <c r="B896" s="15" t="s">
        <v>7</v>
      </c>
      <c r="C896" s="16">
        <v>96</v>
      </c>
      <c r="D896" s="16">
        <v>1670</v>
      </c>
      <c r="E896" s="16">
        <v>74</v>
      </c>
      <c r="F896" s="16">
        <v>1596</v>
      </c>
      <c r="G896" s="16">
        <v>4</v>
      </c>
      <c r="H896" s="16">
        <v>32768</v>
      </c>
      <c r="I896" s="16">
        <v>5</v>
      </c>
      <c r="J896" s="15" t="s">
        <v>1</v>
      </c>
      <c r="K896" s="15" t="s">
        <v>2</v>
      </c>
      <c r="L896" s="8">
        <f>InterspecUsage[[#This Row],[Used-MB]]-F886</f>
        <v>9</v>
      </c>
      <c r="M896">
        <f>InterspecUsage[[#This Row],[Max]]-InterspecUsage[[#This Row],[Used-MB]]</f>
        <v>31172</v>
      </c>
      <c r="N896" s="5">
        <f>IF($L896&gt;0,InterspecUsage[[#This Row],[Free-of-Max]]/InterspecUsage[[#This Row],[Usage-Delta-MB]],InterspecUsage[[#This Row],[Free-of-Max]])</f>
        <v>3463.5555555555557</v>
      </c>
    </row>
    <row r="897" spans="1:14" x14ac:dyDescent="0.25">
      <c r="A897" s="3">
        <v>45166</v>
      </c>
      <c r="B897" s="15" t="s">
        <v>0</v>
      </c>
      <c r="C897" s="16">
        <v>99</v>
      </c>
      <c r="D897" s="16">
        <v>4120</v>
      </c>
      <c r="E897" s="16">
        <v>23</v>
      </c>
      <c r="F897" s="16">
        <v>4097</v>
      </c>
      <c r="G897" s="16">
        <v>1</v>
      </c>
      <c r="H897" s="16">
        <v>32768</v>
      </c>
      <c r="I897" s="16">
        <v>13</v>
      </c>
      <c r="J897" s="15" t="s">
        <v>1</v>
      </c>
      <c r="K897" s="15" t="s">
        <v>2</v>
      </c>
      <c r="L897" s="8">
        <f>InterspecUsage[[#This Row],[Used-MB]]-F887</f>
        <v>0</v>
      </c>
      <c r="M897">
        <f>InterspecUsage[[#This Row],[Max]]-InterspecUsage[[#This Row],[Used-MB]]</f>
        <v>28671</v>
      </c>
      <c r="N897" s="5">
        <f>IF($L897&gt;0,InterspecUsage[[#This Row],[Free-of-Max]]/InterspecUsage[[#This Row],[Usage-Delta-MB]],InterspecUsage[[#This Row],[Free-of-Max]])</f>
        <v>28671</v>
      </c>
    </row>
    <row r="898" spans="1:14" x14ac:dyDescent="0.25">
      <c r="A898" s="3">
        <v>45166</v>
      </c>
      <c r="B898" s="15" t="s">
        <v>30</v>
      </c>
      <c r="C898" s="16">
        <v>0</v>
      </c>
      <c r="D898" s="16">
        <v>32767</v>
      </c>
      <c r="E898" s="16">
        <v>32751</v>
      </c>
      <c r="F898" s="16">
        <v>16</v>
      </c>
      <c r="G898" s="16">
        <v>100</v>
      </c>
      <c r="H898" s="16">
        <v>32768</v>
      </c>
      <c r="I898" s="16">
        <v>0</v>
      </c>
      <c r="J898" s="15" t="s">
        <v>1</v>
      </c>
      <c r="K898" s="15" t="s">
        <v>13</v>
      </c>
      <c r="L898" s="8">
        <f>InterspecUsage[[#This Row],[Used-MB]]-F888</f>
        <v>7</v>
      </c>
      <c r="M898">
        <f>InterspecUsage[[#This Row],[Max]]-InterspecUsage[[#This Row],[Used-MB]]</f>
        <v>32752</v>
      </c>
      <c r="N898" s="5">
        <f>IF($L898&gt;0,InterspecUsage[[#This Row],[Free-of-Max]]/InterspecUsage[[#This Row],[Usage-Delta-MB]],InterspecUsage[[#This Row],[Free-of-Max]])</f>
        <v>4678.8571428571431</v>
      </c>
    </row>
    <row r="899" spans="1:14" x14ac:dyDescent="0.25">
      <c r="A899" s="3">
        <v>45166</v>
      </c>
      <c r="B899" s="15" t="s">
        <v>28</v>
      </c>
      <c r="C899" s="16">
        <v>3</v>
      </c>
      <c r="D899" s="16">
        <v>23320</v>
      </c>
      <c r="E899" s="16">
        <v>22616</v>
      </c>
      <c r="F899" s="16">
        <v>704</v>
      </c>
      <c r="G899" s="16">
        <v>97</v>
      </c>
      <c r="H899" s="16">
        <v>32768</v>
      </c>
      <c r="I899" s="16">
        <v>2</v>
      </c>
      <c r="J899" s="15" t="s">
        <v>1</v>
      </c>
      <c r="K899" s="15" t="s">
        <v>10</v>
      </c>
      <c r="L899" s="8">
        <f>InterspecUsage[[#This Row],[Used-MB]]-F889</f>
        <v>-829</v>
      </c>
      <c r="M899">
        <f>InterspecUsage[[#This Row],[Max]]-InterspecUsage[[#This Row],[Used-MB]]</f>
        <v>32064</v>
      </c>
      <c r="N899" s="5">
        <f>IF($L899&gt;0,InterspecUsage[[#This Row],[Free-of-Max]]/InterspecUsage[[#This Row],[Usage-Delta-MB]],InterspecUsage[[#This Row],[Free-of-Max]])</f>
        <v>32064</v>
      </c>
    </row>
    <row r="900" spans="1:14" x14ac:dyDescent="0.25">
      <c r="A900" s="3">
        <v>45166</v>
      </c>
      <c r="B900" s="15" t="s">
        <v>25</v>
      </c>
      <c r="C900" s="16">
        <v>72</v>
      </c>
      <c r="D900" s="16">
        <v>12700</v>
      </c>
      <c r="E900" s="16">
        <v>3510</v>
      </c>
      <c r="F900" s="16">
        <v>9191</v>
      </c>
      <c r="G900" s="16">
        <v>28</v>
      </c>
      <c r="H900" s="16">
        <v>32768</v>
      </c>
      <c r="I900" s="16">
        <v>28</v>
      </c>
      <c r="J900" s="15" t="s">
        <v>1</v>
      </c>
      <c r="K900" s="15" t="s">
        <v>2</v>
      </c>
      <c r="L900" s="8">
        <f>InterspecUsage[[#This Row],[Used-MB]]-F890</f>
        <v>19</v>
      </c>
      <c r="M900">
        <f>InterspecUsage[[#This Row],[Max]]-InterspecUsage[[#This Row],[Used-MB]]</f>
        <v>23577</v>
      </c>
      <c r="N900" s="5">
        <f>IF($L900&gt;0,InterspecUsage[[#This Row],[Free-of-Max]]/InterspecUsage[[#This Row],[Usage-Delta-MB]],InterspecUsage[[#This Row],[Free-of-Max]])</f>
        <v>1240.8947368421052</v>
      </c>
    </row>
    <row r="901" spans="1:14" x14ac:dyDescent="0.25">
      <c r="A901" s="3">
        <v>45166</v>
      </c>
      <c r="B901" s="15" t="s">
        <v>29</v>
      </c>
      <c r="C901" s="16">
        <v>0</v>
      </c>
      <c r="D901" s="16">
        <v>500</v>
      </c>
      <c r="E901" s="16">
        <v>499</v>
      </c>
      <c r="F901" s="16">
        <v>1</v>
      </c>
      <c r="G901" s="16">
        <v>100</v>
      </c>
      <c r="H901" s="16">
        <v>500</v>
      </c>
      <c r="I901" s="16">
        <v>0</v>
      </c>
      <c r="J901" s="15" t="s">
        <v>1</v>
      </c>
      <c r="K901" s="15" t="s">
        <v>2</v>
      </c>
      <c r="L901" s="8">
        <f>InterspecUsage[[#This Row],[Used-MB]]-F891</f>
        <v>0</v>
      </c>
      <c r="M901">
        <f>InterspecUsage[[#This Row],[Max]]-InterspecUsage[[#This Row],[Used-MB]]</f>
        <v>499</v>
      </c>
      <c r="N901" s="5">
        <f>IF($L901&gt;0,InterspecUsage[[#This Row],[Free-of-Max]]/InterspecUsage[[#This Row],[Usage-Delta-MB]],InterspecUsage[[#This Row],[Free-of-Max]])</f>
        <v>499</v>
      </c>
    </row>
    <row r="902" spans="1:14" x14ac:dyDescent="0.25">
      <c r="A902" s="3">
        <v>45173</v>
      </c>
      <c r="B902" s="15" t="s">
        <v>26</v>
      </c>
      <c r="C902" s="16">
        <v>95</v>
      </c>
      <c r="D902" s="16">
        <v>22288</v>
      </c>
      <c r="E902" s="16">
        <v>1140</v>
      </c>
      <c r="F902" s="16">
        <v>21148</v>
      </c>
      <c r="G902" s="16">
        <v>5</v>
      </c>
      <c r="H902" s="16">
        <v>40960</v>
      </c>
      <c r="I902" s="16">
        <v>52</v>
      </c>
      <c r="J902" s="15" t="s">
        <v>1</v>
      </c>
      <c r="K902" s="15" t="s">
        <v>2</v>
      </c>
      <c r="L902" s="8">
        <f>InterspecUsage[[#This Row],[Used-MB]]-F892</f>
        <v>64</v>
      </c>
      <c r="M902">
        <f>InterspecUsage[[#This Row],[Max]]-InterspecUsage[[#This Row],[Used-MB]]</f>
        <v>19812</v>
      </c>
      <c r="N902" s="5">
        <f>IF($L902&gt;0,InterspecUsage[[#This Row],[Free-of-Max]]/InterspecUsage[[#This Row],[Usage-Delta-MB]],InterspecUsage[[#This Row],[Free-of-Max]])</f>
        <v>309.5625</v>
      </c>
    </row>
    <row r="903" spans="1:14" x14ac:dyDescent="0.25">
      <c r="A903" s="3">
        <v>45173</v>
      </c>
      <c r="B903" s="15" t="s">
        <v>24</v>
      </c>
      <c r="C903" s="16">
        <v>90</v>
      </c>
      <c r="D903" s="16">
        <v>18400</v>
      </c>
      <c r="E903" s="16">
        <v>1766</v>
      </c>
      <c r="F903" s="16">
        <v>16634</v>
      </c>
      <c r="G903" s="16">
        <v>10</v>
      </c>
      <c r="H903" s="16">
        <v>32768</v>
      </c>
      <c r="I903" s="16">
        <v>51</v>
      </c>
      <c r="J903" s="15" t="s">
        <v>1</v>
      </c>
      <c r="K903" s="15" t="s">
        <v>2</v>
      </c>
      <c r="L903" s="8">
        <f>InterspecUsage[[#This Row],[Used-MB]]-F893</f>
        <v>52</v>
      </c>
      <c r="M903">
        <f>InterspecUsage[[#This Row],[Max]]-InterspecUsage[[#This Row],[Used-MB]]</f>
        <v>16134</v>
      </c>
      <c r="N903" s="5">
        <f>IF($L903&gt;0,InterspecUsage[[#This Row],[Free-of-Max]]/InterspecUsage[[#This Row],[Usage-Delta-MB]],InterspecUsage[[#This Row],[Free-of-Max]])</f>
        <v>310.26923076923077</v>
      </c>
    </row>
    <row r="904" spans="1:14" x14ac:dyDescent="0.25">
      <c r="A904" s="3">
        <v>45173</v>
      </c>
      <c r="B904" s="15" t="s">
        <v>35</v>
      </c>
      <c r="C904" s="16">
        <v>95</v>
      </c>
      <c r="D904" s="16">
        <v>28200</v>
      </c>
      <c r="E904" s="16">
        <v>1316</v>
      </c>
      <c r="F904" s="16">
        <v>26884</v>
      </c>
      <c r="G904" s="16">
        <v>5</v>
      </c>
      <c r="H904" s="16">
        <v>32768</v>
      </c>
      <c r="I904" s="16">
        <v>82</v>
      </c>
      <c r="J904" s="15" t="s">
        <v>1</v>
      </c>
      <c r="K904" s="15" t="s">
        <v>2</v>
      </c>
      <c r="L904" s="8">
        <f>InterspecUsage[[#This Row],[Used-MB]]-F894</f>
        <v>0</v>
      </c>
      <c r="M904">
        <f>InterspecUsage[[#This Row],[Max]]-InterspecUsage[[#This Row],[Used-MB]]</f>
        <v>5884</v>
      </c>
      <c r="N904" s="5">
        <f>IF($L904&gt;0,InterspecUsage[[#This Row],[Free-of-Max]]/InterspecUsage[[#This Row],[Usage-Delta-MB]],InterspecUsage[[#This Row],[Free-of-Max]])</f>
        <v>5884</v>
      </c>
    </row>
    <row r="905" spans="1:14" x14ac:dyDescent="0.25">
      <c r="A905" s="3">
        <v>45173</v>
      </c>
      <c r="B905" s="15" t="s">
        <v>27</v>
      </c>
      <c r="C905" s="16">
        <v>84</v>
      </c>
      <c r="D905" s="16">
        <v>163840</v>
      </c>
      <c r="E905" s="16">
        <v>25864</v>
      </c>
      <c r="F905" s="16">
        <v>137976</v>
      </c>
      <c r="G905" s="16">
        <v>16</v>
      </c>
      <c r="H905" s="16">
        <v>163840</v>
      </c>
      <c r="I905" s="16">
        <v>84</v>
      </c>
      <c r="J905" s="15" t="s">
        <v>1</v>
      </c>
      <c r="K905" s="15" t="s">
        <v>2</v>
      </c>
      <c r="L905" s="8">
        <f>InterspecUsage[[#This Row],[Used-MB]]-F895</f>
        <v>201</v>
      </c>
      <c r="M905">
        <f>InterspecUsage[[#This Row],[Max]]-InterspecUsage[[#This Row],[Used-MB]]</f>
        <v>25864</v>
      </c>
      <c r="N905" s="5">
        <f>IF($L905&gt;0,InterspecUsage[[#This Row],[Free-of-Max]]/InterspecUsage[[#This Row],[Usage-Delta-MB]],InterspecUsage[[#This Row],[Free-of-Max]])</f>
        <v>128.6766169154229</v>
      </c>
    </row>
    <row r="906" spans="1:14" x14ac:dyDescent="0.25">
      <c r="A906" s="3">
        <v>45173</v>
      </c>
      <c r="B906" s="15" t="s">
        <v>7</v>
      </c>
      <c r="C906" s="16">
        <v>96</v>
      </c>
      <c r="D906" s="16">
        <v>1670</v>
      </c>
      <c r="E906" s="16">
        <v>74</v>
      </c>
      <c r="F906" s="16">
        <v>1596</v>
      </c>
      <c r="G906" s="16">
        <v>4</v>
      </c>
      <c r="H906" s="16">
        <v>32768</v>
      </c>
      <c r="I906" s="16">
        <v>5</v>
      </c>
      <c r="J906" s="15" t="s">
        <v>1</v>
      </c>
      <c r="K906" s="15" t="s">
        <v>2</v>
      </c>
      <c r="L906" s="8">
        <f>InterspecUsage[[#This Row],[Used-MB]]-F896</f>
        <v>0</v>
      </c>
      <c r="M906">
        <f>InterspecUsage[[#This Row],[Max]]-InterspecUsage[[#This Row],[Used-MB]]</f>
        <v>31172</v>
      </c>
      <c r="N906" s="5">
        <f>IF($L906&gt;0,InterspecUsage[[#This Row],[Free-of-Max]]/InterspecUsage[[#This Row],[Usage-Delta-MB]],InterspecUsage[[#This Row],[Free-of-Max]])</f>
        <v>31172</v>
      </c>
    </row>
    <row r="907" spans="1:14" x14ac:dyDescent="0.25">
      <c r="A907" s="3">
        <v>45173</v>
      </c>
      <c r="B907" s="15" t="s">
        <v>0</v>
      </c>
      <c r="C907" s="16">
        <v>99</v>
      </c>
      <c r="D907" s="16">
        <v>4120</v>
      </c>
      <c r="E907" s="16">
        <v>23</v>
      </c>
      <c r="F907" s="16">
        <v>4097</v>
      </c>
      <c r="G907" s="16">
        <v>1</v>
      </c>
      <c r="H907" s="16">
        <v>32768</v>
      </c>
      <c r="I907" s="16">
        <v>13</v>
      </c>
      <c r="J907" s="15" t="s">
        <v>1</v>
      </c>
      <c r="K907" s="15" t="s">
        <v>2</v>
      </c>
      <c r="L907" s="8">
        <f>InterspecUsage[[#This Row],[Used-MB]]-F897</f>
        <v>0</v>
      </c>
      <c r="M907">
        <f>InterspecUsage[[#This Row],[Max]]-InterspecUsage[[#This Row],[Used-MB]]</f>
        <v>28671</v>
      </c>
      <c r="N907" s="5">
        <f>IF($L907&gt;0,InterspecUsage[[#This Row],[Free-of-Max]]/InterspecUsage[[#This Row],[Usage-Delta-MB]],InterspecUsage[[#This Row],[Free-of-Max]])</f>
        <v>28671</v>
      </c>
    </row>
    <row r="908" spans="1:14" x14ac:dyDescent="0.25">
      <c r="A908" s="3">
        <v>45173</v>
      </c>
      <c r="B908" s="15" t="s">
        <v>30</v>
      </c>
      <c r="C908" s="16">
        <v>0</v>
      </c>
      <c r="D908" s="16">
        <v>32767</v>
      </c>
      <c r="E908" s="16">
        <v>32758</v>
      </c>
      <c r="F908" s="16">
        <v>9</v>
      </c>
      <c r="G908" s="16">
        <v>100</v>
      </c>
      <c r="H908" s="16">
        <v>32768</v>
      </c>
      <c r="I908" s="16">
        <v>0</v>
      </c>
      <c r="J908" s="15" t="s">
        <v>1</v>
      </c>
      <c r="K908" s="15" t="s">
        <v>13</v>
      </c>
      <c r="L908" s="8">
        <f>InterspecUsage[[#This Row],[Used-MB]]-F898</f>
        <v>-7</v>
      </c>
      <c r="M908">
        <f>InterspecUsage[[#This Row],[Max]]-InterspecUsage[[#This Row],[Used-MB]]</f>
        <v>32759</v>
      </c>
      <c r="N908" s="5">
        <f>IF($L908&gt;0,InterspecUsage[[#This Row],[Free-of-Max]]/InterspecUsage[[#This Row],[Usage-Delta-MB]],InterspecUsage[[#This Row],[Free-of-Max]])</f>
        <v>32759</v>
      </c>
    </row>
    <row r="909" spans="1:14" x14ac:dyDescent="0.25">
      <c r="A909" s="3">
        <v>45173</v>
      </c>
      <c r="B909" s="15" t="s">
        <v>28</v>
      </c>
      <c r="C909" s="16">
        <v>3</v>
      </c>
      <c r="D909" s="16">
        <v>23320</v>
      </c>
      <c r="E909" s="16">
        <v>22640</v>
      </c>
      <c r="F909" s="16">
        <v>680</v>
      </c>
      <c r="G909" s="16">
        <v>97</v>
      </c>
      <c r="H909" s="16">
        <v>32768</v>
      </c>
      <c r="I909" s="16">
        <v>2</v>
      </c>
      <c r="J909" s="15" t="s">
        <v>1</v>
      </c>
      <c r="K909" s="15" t="s">
        <v>10</v>
      </c>
      <c r="L909" s="8">
        <f>InterspecUsage[[#This Row],[Used-MB]]-F899</f>
        <v>-24</v>
      </c>
      <c r="M909">
        <f>InterspecUsage[[#This Row],[Max]]-InterspecUsage[[#This Row],[Used-MB]]</f>
        <v>32088</v>
      </c>
      <c r="N909" s="5">
        <f>IF($L909&gt;0,InterspecUsage[[#This Row],[Free-of-Max]]/InterspecUsage[[#This Row],[Usage-Delta-MB]],InterspecUsage[[#This Row],[Free-of-Max]])</f>
        <v>32088</v>
      </c>
    </row>
    <row r="910" spans="1:14" x14ac:dyDescent="0.25">
      <c r="A910" s="3">
        <v>45173</v>
      </c>
      <c r="B910" s="15" t="s">
        <v>25</v>
      </c>
      <c r="C910" s="16">
        <v>73</v>
      </c>
      <c r="D910" s="16">
        <v>12700</v>
      </c>
      <c r="E910" s="16">
        <v>3492</v>
      </c>
      <c r="F910" s="16">
        <v>9209</v>
      </c>
      <c r="G910" s="16">
        <v>27</v>
      </c>
      <c r="H910" s="16">
        <v>32768</v>
      </c>
      <c r="I910" s="16">
        <v>28</v>
      </c>
      <c r="J910" s="15" t="s">
        <v>1</v>
      </c>
      <c r="K910" s="15" t="s">
        <v>2</v>
      </c>
      <c r="L910" s="8">
        <f>InterspecUsage[[#This Row],[Used-MB]]-F900</f>
        <v>18</v>
      </c>
      <c r="M910">
        <f>InterspecUsage[[#This Row],[Max]]-InterspecUsage[[#This Row],[Used-MB]]</f>
        <v>23559</v>
      </c>
      <c r="N910" s="5">
        <f>IF($L910&gt;0,InterspecUsage[[#This Row],[Free-of-Max]]/InterspecUsage[[#This Row],[Usage-Delta-MB]],InterspecUsage[[#This Row],[Free-of-Max]])</f>
        <v>1308.8333333333333</v>
      </c>
    </row>
    <row r="911" spans="1:14" x14ac:dyDescent="0.25">
      <c r="A911" s="3">
        <v>45173</v>
      </c>
      <c r="B911" s="15" t="s">
        <v>29</v>
      </c>
      <c r="C911" s="16">
        <v>0</v>
      </c>
      <c r="D911" s="16">
        <v>500</v>
      </c>
      <c r="E911" s="16">
        <v>499</v>
      </c>
      <c r="F911" s="16">
        <v>1</v>
      </c>
      <c r="G911" s="16">
        <v>100</v>
      </c>
      <c r="H911" s="16">
        <v>500</v>
      </c>
      <c r="I911" s="16">
        <v>0</v>
      </c>
      <c r="J911" s="15" t="s">
        <v>1</v>
      </c>
      <c r="K911" s="15" t="s">
        <v>2</v>
      </c>
      <c r="L911" s="8">
        <f>InterspecUsage[[#This Row],[Used-MB]]-F901</f>
        <v>0</v>
      </c>
      <c r="M911">
        <f>InterspecUsage[[#This Row],[Max]]-InterspecUsage[[#This Row],[Used-MB]]</f>
        <v>499</v>
      </c>
      <c r="N911" s="5">
        <f>IF($L911&gt;0,InterspecUsage[[#This Row],[Free-of-Max]]/InterspecUsage[[#This Row],[Usage-Delta-MB]],InterspecUsage[[#This Row],[Free-of-Max]])</f>
        <v>499</v>
      </c>
    </row>
    <row r="912" spans="1:14" x14ac:dyDescent="0.25">
      <c r="A912" s="3">
        <v>45187</v>
      </c>
      <c r="B912" s="15" t="s">
        <v>26</v>
      </c>
      <c r="C912" s="16">
        <v>93</v>
      </c>
      <c r="D912" s="16">
        <v>22788</v>
      </c>
      <c r="E912" s="16">
        <v>1512</v>
      </c>
      <c r="F912" s="16">
        <v>21276</v>
      </c>
      <c r="G912" s="16">
        <v>7</v>
      </c>
      <c r="H912" s="16">
        <v>40960</v>
      </c>
      <c r="I912" s="16">
        <v>52</v>
      </c>
      <c r="J912" s="15" t="s">
        <v>1</v>
      </c>
      <c r="K912" s="15" t="s">
        <v>2</v>
      </c>
      <c r="L912" s="8">
        <f>InterspecUsage[[#This Row],[Used-MB]]-F902</f>
        <v>128</v>
      </c>
      <c r="M912">
        <f>InterspecUsage[[#This Row],[Max]]-InterspecUsage[[#This Row],[Used-MB]]</f>
        <v>19684</v>
      </c>
      <c r="N912" s="5">
        <f>IF($L912&gt;0,InterspecUsage[[#This Row],[Free-of-Max]]/InterspecUsage[[#This Row],[Usage-Delta-MB]],InterspecUsage[[#This Row],[Free-of-Max]])</f>
        <v>153.78125</v>
      </c>
    </row>
    <row r="913" spans="1:14" x14ac:dyDescent="0.25">
      <c r="A913" s="3">
        <v>45187</v>
      </c>
      <c r="B913" s="15" t="s">
        <v>24</v>
      </c>
      <c r="C913" s="16">
        <v>91</v>
      </c>
      <c r="D913" s="16">
        <v>18400</v>
      </c>
      <c r="E913" s="16">
        <v>1601</v>
      </c>
      <c r="F913" s="16">
        <v>16799</v>
      </c>
      <c r="G913" s="16">
        <v>9</v>
      </c>
      <c r="H913" s="16">
        <v>32768</v>
      </c>
      <c r="I913" s="16">
        <v>51</v>
      </c>
      <c r="J913" s="15" t="s">
        <v>1</v>
      </c>
      <c r="K913" s="15" t="s">
        <v>2</v>
      </c>
      <c r="L913" s="8">
        <f>InterspecUsage[[#This Row],[Used-MB]]-F903</f>
        <v>165</v>
      </c>
      <c r="M913">
        <f>InterspecUsage[[#This Row],[Max]]-InterspecUsage[[#This Row],[Used-MB]]</f>
        <v>15969</v>
      </c>
      <c r="N913" s="5">
        <f>IF($L913&gt;0,InterspecUsage[[#This Row],[Free-of-Max]]/InterspecUsage[[#This Row],[Usage-Delta-MB]],InterspecUsage[[#This Row],[Free-of-Max]])</f>
        <v>96.781818181818181</v>
      </c>
    </row>
    <row r="914" spans="1:14" x14ac:dyDescent="0.25">
      <c r="A914" s="3">
        <v>45187</v>
      </c>
      <c r="B914" s="15" t="s">
        <v>35</v>
      </c>
      <c r="C914" s="16">
        <v>96</v>
      </c>
      <c r="D914" s="16">
        <v>28200</v>
      </c>
      <c r="E914" s="16">
        <v>1188</v>
      </c>
      <c r="F914" s="16">
        <v>27012</v>
      </c>
      <c r="G914" s="16">
        <v>4</v>
      </c>
      <c r="H914" s="16">
        <v>32768</v>
      </c>
      <c r="I914" s="16">
        <v>82</v>
      </c>
      <c r="J914" s="15" t="s">
        <v>1</v>
      </c>
      <c r="K914" s="15" t="s">
        <v>2</v>
      </c>
      <c r="L914" s="8">
        <f>InterspecUsage[[#This Row],[Used-MB]]-F904</f>
        <v>128</v>
      </c>
      <c r="M914">
        <f>InterspecUsage[[#This Row],[Max]]-InterspecUsage[[#This Row],[Used-MB]]</f>
        <v>5756</v>
      </c>
      <c r="N914" s="5">
        <f>IF($L914&gt;0,InterspecUsage[[#This Row],[Free-of-Max]]/InterspecUsage[[#This Row],[Usage-Delta-MB]],InterspecUsage[[#This Row],[Free-of-Max]])</f>
        <v>44.96875</v>
      </c>
    </row>
    <row r="915" spans="1:14" x14ac:dyDescent="0.25">
      <c r="A915" s="3">
        <v>45187</v>
      </c>
      <c r="B915" s="15" t="s">
        <v>27</v>
      </c>
      <c r="C915" s="16">
        <v>85</v>
      </c>
      <c r="D915" s="16">
        <v>163840</v>
      </c>
      <c r="E915" s="16">
        <v>25083</v>
      </c>
      <c r="F915" s="16">
        <v>138757</v>
      </c>
      <c r="G915" s="16">
        <v>15</v>
      </c>
      <c r="H915" s="16">
        <v>163840</v>
      </c>
      <c r="I915" s="16">
        <v>85</v>
      </c>
      <c r="J915" s="15" t="s">
        <v>1</v>
      </c>
      <c r="K915" s="15" t="s">
        <v>2</v>
      </c>
      <c r="L915" s="8">
        <f>InterspecUsage[[#This Row],[Used-MB]]-F905</f>
        <v>781</v>
      </c>
      <c r="M915">
        <f>InterspecUsage[[#This Row],[Max]]-InterspecUsage[[#This Row],[Used-MB]]</f>
        <v>25083</v>
      </c>
      <c r="N915" s="5">
        <f>IF($L915&gt;0,InterspecUsage[[#This Row],[Free-of-Max]]/InterspecUsage[[#This Row],[Usage-Delta-MB]],InterspecUsage[[#This Row],[Free-of-Max]])</f>
        <v>32.116517285531373</v>
      </c>
    </row>
    <row r="916" spans="1:14" x14ac:dyDescent="0.25">
      <c r="A916" s="3">
        <v>45187</v>
      </c>
      <c r="B916" s="15" t="s">
        <v>7</v>
      </c>
      <c r="C916" s="16">
        <v>95</v>
      </c>
      <c r="D916" s="16">
        <v>1700</v>
      </c>
      <c r="E916" s="16">
        <v>87</v>
      </c>
      <c r="F916" s="16">
        <v>1613</v>
      </c>
      <c r="G916" s="16">
        <v>5</v>
      </c>
      <c r="H916" s="16">
        <v>32768</v>
      </c>
      <c r="I916" s="16">
        <v>5</v>
      </c>
      <c r="J916" s="15" t="s">
        <v>1</v>
      </c>
      <c r="K916" s="15" t="s">
        <v>2</v>
      </c>
      <c r="L916" s="8">
        <f>InterspecUsage[[#This Row],[Used-MB]]-F906</f>
        <v>17</v>
      </c>
      <c r="M916">
        <f>InterspecUsage[[#This Row],[Max]]-InterspecUsage[[#This Row],[Used-MB]]</f>
        <v>31155</v>
      </c>
      <c r="N916" s="5">
        <f>IF($L916&gt;0,InterspecUsage[[#This Row],[Free-of-Max]]/InterspecUsage[[#This Row],[Usage-Delta-MB]],InterspecUsage[[#This Row],[Free-of-Max]])</f>
        <v>1832.6470588235295</v>
      </c>
    </row>
    <row r="917" spans="1:14" x14ac:dyDescent="0.25">
      <c r="A917" s="3">
        <v>45187</v>
      </c>
      <c r="B917" s="15" t="s">
        <v>0</v>
      </c>
      <c r="C917" s="16">
        <v>99</v>
      </c>
      <c r="D917" s="16">
        <v>4190</v>
      </c>
      <c r="E917" s="16">
        <v>29</v>
      </c>
      <c r="F917" s="16">
        <v>4161</v>
      </c>
      <c r="G917" s="16">
        <v>1</v>
      </c>
      <c r="H917" s="16">
        <v>32768</v>
      </c>
      <c r="I917" s="16">
        <v>13</v>
      </c>
      <c r="J917" s="15" t="s">
        <v>1</v>
      </c>
      <c r="K917" s="15" t="s">
        <v>2</v>
      </c>
      <c r="L917" s="8">
        <f>InterspecUsage[[#This Row],[Used-MB]]-F907</f>
        <v>64</v>
      </c>
      <c r="M917">
        <f>InterspecUsage[[#This Row],[Max]]-InterspecUsage[[#This Row],[Used-MB]]</f>
        <v>28607</v>
      </c>
      <c r="N917" s="5">
        <f>IF($L917&gt;0,InterspecUsage[[#This Row],[Free-of-Max]]/InterspecUsage[[#This Row],[Usage-Delta-MB]],InterspecUsage[[#This Row],[Free-of-Max]])</f>
        <v>446.984375</v>
      </c>
    </row>
    <row r="918" spans="1:14" x14ac:dyDescent="0.25">
      <c r="A918" s="3">
        <v>45187</v>
      </c>
      <c r="B918" s="15" t="s">
        <v>30</v>
      </c>
      <c r="C918" s="16">
        <v>0</v>
      </c>
      <c r="D918" s="16">
        <v>32767</v>
      </c>
      <c r="E918" s="16">
        <v>32749</v>
      </c>
      <c r="F918" s="16">
        <v>18</v>
      </c>
      <c r="G918" s="16">
        <v>100</v>
      </c>
      <c r="H918" s="16">
        <v>32768</v>
      </c>
      <c r="I918" s="16">
        <v>0</v>
      </c>
      <c r="J918" s="15" t="s">
        <v>1</v>
      </c>
      <c r="K918" s="15" t="s">
        <v>13</v>
      </c>
      <c r="L918" s="8">
        <f>InterspecUsage[[#This Row],[Used-MB]]-F908</f>
        <v>9</v>
      </c>
      <c r="M918">
        <f>InterspecUsage[[#This Row],[Max]]-InterspecUsage[[#This Row],[Used-MB]]</f>
        <v>32750</v>
      </c>
      <c r="N918" s="5">
        <f>IF($L918&gt;0,InterspecUsage[[#This Row],[Free-of-Max]]/InterspecUsage[[#This Row],[Usage-Delta-MB]],InterspecUsage[[#This Row],[Free-of-Max]])</f>
        <v>3638.8888888888887</v>
      </c>
    </row>
    <row r="919" spans="1:14" x14ac:dyDescent="0.25">
      <c r="A919" s="3">
        <v>45187</v>
      </c>
      <c r="B919" s="15" t="s">
        <v>28</v>
      </c>
      <c r="C919" s="16">
        <v>3</v>
      </c>
      <c r="D919" s="16">
        <v>23320</v>
      </c>
      <c r="E919" s="16">
        <v>22528</v>
      </c>
      <c r="F919" s="16">
        <v>792</v>
      </c>
      <c r="G919" s="16">
        <v>97</v>
      </c>
      <c r="H919" s="16">
        <v>32768</v>
      </c>
      <c r="I919" s="16">
        <v>2</v>
      </c>
      <c r="J919" s="15" t="s">
        <v>1</v>
      </c>
      <c r="K919" s="15" t="s">
        <v>10</v>
      </c>
      <c r="L919" s="8">
        <f>InterspecUsage[[#This Row],[Used-MB]]-F909</f>
        <v>112</v>
      </c>
      <c r="M919">
        <f>InterspecUsage[[#This Row],[Max]]-InterspecUsage[[#This Row],[Used-MB]]</f>
        <v>31976</v>
      </c>
      <c r="N919" s="5">
        <f>IF($L919&gt;0,InterspecUsage[[#This Row],[Free-of-Max]]/InterspecUsage[[#This Row],[Usage-Delta-MB]],InterspecUsage[[#This Row],[Free-of-Max]])</f>
        <v>285.5</v>
      </c>
    </row>
    <row r="920" spans="1:14" x14ac:dyDescent="0.25">
      <c r="A920" s="3">
        <v>45187</v>
      </c>
      <c r="B920" s="15" t="s">
        <v>25</v>
      </c>
      <c r="C920" s="16">
        <v>73</v>
      </c>
      <c r="D920" s="16">
        <v>12700</v>
      </c>
      <c r="E920" s="16">
        <v>3459</v>
      </c>
      <c r="F920" s="16">
        <v>9242</v>
      </c>
      <c r="G920" s="16">
        <v>27</v>
      </c>
      <c r="H920" s="16">
        <v>32768</v>
      </c>
      <c r="I920" s="16">
        <v>28</v>
      </c>
      <c r="J920" s="15" t="s">
        <v>1</v>
      </c>
      <c r="K920" s="15" t="s">
        <v>2</v>
      </c>
      <c r="L920" s="8">
        <f>InterspecUsage[[#This Row],[Used-MB]]-F910</f>
        <v>33</v>
      </c>
      <c r="M920">
        <f>InterspecUsage[[#This Row],[Max]]-InterspecUsage[[#This Row],[Used-MB]]</f>
        <v>23526</v>
      </c>
      <c r="N920" s="5">
        <f>IF($L920&gt;0,InterspecUsage[[#This Row],[Free-of-Max]]/InterspecUsage[[#This Row],[Usage-Delta-MB]],InterspecUsage[[#This Row],[Free-of-Max]])</f>
        <v>712.90909090909088</v>
      </c>
    </row>
    <row r="921" spans="1:14" x14ac:dyDescent="0.25">
      <c r="A921" s="3">
        <v>45187</v>
      </c>
      <c r="B921" s="15" t="s">
        <v>29</v>
      </c>
      <c r="C921" s="16">
        <v>0</v>
      </c>
      <c r="D921" s="16">
        <v>500</v>
      </c>
      <c r="E921" s="16">
        <v>499</v>
      </c>
      <c r="F921" s="16">
        <v>1</v>
      </c>
      <c r="G921" s="16">
        <v>100</v>
      </c>
      <c r="H921" s="16">
        <v>500</v>
      </c>
      <c r="I921" s="16">
        <v>0</v>
      </c>
      <c r="J921" s="15" t="s">
        <v>1</v>
      </c>
      <c r="K921" s="15" t="s">
        <v>2</v>
      </c>
      <c r="L921" s="8">
        <f>InterspecUsage[[#This Row],[Used-MB]]-F911</f>
        <v>0</v>
      </c>
      <c r="M921">
        <f>InterspecUsage[[#This Row],[Max]]-InterspecUsage[[#This Row],[Used-MB]]</f>
        <v>499</v>
      </c>
      <c r="N921" s="5">
        <f>IF($L921&gt;0,InterspecUsage[[#This Row],[Free-of-Max]]/InterspecUsage[[#This Row],[Usage-Delta-MB]],InterspecUsage[[#This Row],[Free-of-Max]])</f>
        <v>499</v>
      </c>
    </row>
    <row r="922" spans="1:14" x14ac:dyDescent="0.25">
      <c r="A922" s="3">
        <v>45194</v>
      </c>
      <c r="B922" s="15" t="s">
        <v>26</v>
      </c>
      <c r="C922" s="16">
        <v>93</v>
      </c>
      <c r="D922" s="16">
        <v>22788</v>
      </c>
      <c r="E922" s="16">
        <v>1512</v>
      </c>
      <c r="F922" s="16">
        <v>21276</v>
      </c>
      <c r="G922" s="16">
        <v>7</v>
      </c>
      <c r="H922" s="16">
        <v>40960</v>
      </c>
      <c r="I922" s="16">
        <v>52</v>
      </c>
      <c r="J922" s="15" t="s">
        <v>1</v>
      </c>
      <c r="K922" s="15" t="s">
        <v>2</v>
      </c>
      <c r="L922" s="8">
        <f>InterspecUsage[[#This Row],[Used-MB]]-F912</f>
        <v>0</v>
      </c>
      <c r="M922">
        <f>InterspecUsage[[#This Row],[Max]]-InterspecUsage[[#This Row],[Used-MB]]</f>
        <v>19684</v>
      </c>
      <c r="N922" s="5">
        <f>IF($L922&gt;0,InterspecUsage[[#This Row],[Free-of-Max]]/InterspecUsage[[#This Row],[Usage-Delta-MB]],InterspecUsage[[#This Row],[Free-of-Max]])</f>
        <v>19684</v>
      </c>
    </row>
    <row r="923" spans="1:14" x14ac:dyDescent="0.25">
      <c r="A923" s="3">
        <v>45194</v>
      </c>
      <c r="B923" s="15" t="s">
        <v>24</v>
      </c>
      <c r="C923" s="16">
        <v>91</v>
      </c>
      <c r="D923" s="16">
        <v>18400</v>
      </c>
      <c r="E923" s="16">
        <v>1567</v>
      </c>
      <c r="F923" s="16">
        <v>16833</v>
      </c>
      <c r="G923" s="16">
        <v>9</v>
      </c>
      <c r="H923" s="16">
        <v>32768</v>
      </c>
      <c r="I923" s="16">
        <v>51</v>
      </c>
      <c r="J923" s="15" t="s">
        <v>1</v>
      </c>
      <c r="K923" s="15" t="s">
        <v>2</v>
      </c>
      <c r="L923" s="8">
        <f>InterspecUsage[[#This Row],[Used-MB]]-F913</f>
        <v>34</v>
      </c>
      <c r="M923">
        <f>InterspecUsage[[#This Row],[Max]]-InterspecUsage[[#This Row],[Used-MB]]</f>
        <v>15935</v>
      </c>
      <c r="N923" s="5">
        <f>IF($L923&gt;0,InterspecUsage[[#This Row],[Free-of-Max]]/InterspecUsage[[#This Row],[Usage-Delta-MB]],InterspecUsage[[#This Row],[Free-of-Max]])</f>
        <v>468.6764705882353</v>
      </c>
    </row>
    <row r="924" spans="1:14" x14ac:dyDescent="0.25">
      <c r="A924" s="3">
        <v>45194</v>
      </c>
      <c r="B924" s="15" t="s">
        <v>35</v>
      </c>
      <c r="C924" s="16">
        <v>96</v>
      </c>
      <c r="D924" s="16">
        <v>28200</v>
      </c>
      <c r="E924" s="16">
        <v>1124</v>
      </c>
      <c r="F924" s="16">
        <v>27076</v>
      </c>
      <c r="G924" s="16">
        <v>4</v>
      </c>
      <c r="H924" s="16">
        <v>32768</v>
      </c>
      <c r="I924" s="16">
        <v>83</v>
      </c>
      <c r="J924" s="15" t="s">
        <v>1</v>
      </c>
      <c r="K924" s="15" t="s">
        <v>2</v>
      </c>
      <c r="L924" s="8">
        <f>InterspecUsage[[#This Row],[Used-MB]]-F914</f>
        <v>64</v>
      </c>
      <c r="M924">
        <f>InterspecUsage[[#This Row],[Max]]-InterspecUsage[[#This Row],[Used-MB]]</f>
        <v>5692</v>
      </c>
      <c r="N924" s="5">
        <f>IF($L924&gt;0,InterspecUsage[[#This Row],[Free-of-Max]]/InterspecUsage[[#This Row],[Usage-Delta-MB]],InterspecUsage[[#This Row],[Free-of-Max]])</f>
        <v>88.9375</v>
      </c>
    </row>
    <row r="925" spans="1:14" x14ac:dyDescent="0.25">
      <c r="A925" s="3">
        <v>45194</v>
      </c>
      <c r="B925" s="15" t="s">
        <v>27</v>
      </c>
      <c r="C925" s="16">
        <v>85</v>
      </c>
      <c r="D925" s="16">
        <v>163840</v>
      </c>
      <c r="E925" s="16">
        <v>24840</v>
      </c>
      <c r="F925" s="16">
        <v>139000</v>
      </c>
      <c r="G925" s="16">
        <v>15</v>
      </c>
      <c r="H925" s="16">
        <v>163840</v>
      </c>
      <c r="I925" s="16">
        <v>85</v>
      </c>
      <c r="J925" s="15" t="s">
        <v>1</v>
      </c>
      <c r="K925" s="15" t="s">
        <v>2</v>
      </c>
      <c r="L925" s="8">
        <f>InterspecUsage[[#This Row],[Used-MB]]-F915</f>
        <v>243</v>
      </c>
      <c r="M925">
        <f>InterspecUsage[[#This Row],[Max]]-InterspecUsage[[#This Row],[Used-MB]]</f>
        <v>24840</v>
      </c>
      <c r="N925" s="5">
        <f>IF($L925&gt;0,InterspecUsage[[#This Row],[Free-of-Max]]/InterspecUsage[[#This Row],[Usage-Delta-MB]],InterspecUsage[[#This Row],[Free-of-Max]])</f>
        <v>102.22222222222223</v>
      </c>
    </row>
    <row r="926" spans="1:14" x14ac:dyDescent="0.25">
      <c r="A926" s="3">
        <v>45194</v>
      </c>
      <c r="B926" s="15" t="s">
        <v>7</v>
      </c>
      <c r="C926" s="16">
        <v>95</v>
      </c>
      <c r="D926" s="16">
        <v>1700</v>
      </c>
      <c r="E926" s="16">
        <v>78</v>
      </c>
      <c r="F926" s="16">
        <v>1622</v>
      </c>
      <c r="G926" s="16">
        <v>5</v>
      </c>
      <c r="H926" s="16">
        <v>32768</v>
      </c>
      <c r="I926" s="16">
        <v>5</v>
      </c>
      <c r="J926" s="15" t="s">
        <v>1</v>
      </c>
      <c r="K926" s="15" t="s">
        <v>2</v>
      </c>
      <c r="L926" s="8">
        <f>InterspecUsage[[#This Row],[Used-MB]]-F916</f>
        <v>9</v>
      </c>
      <c r="M926">
        <f>InterspecUsage[[#This Row],[Max]]-InterspecUsage[[#This Row],[Used-MB]]</f>
        <v>31146</v>
      </c>
      <c r="N926" s="5">
        <f>IF($L926&gt;0,InterspecUsage[[#This Row],[Free-of-Max]]/InterspecUsage[[#This Row],[Usage-Delta-MB]],InterspecUsage[[#This Row],[Free-of-Max]])</f>
        <v>3460.6666666666665</v>
      </c>
    </row>
    <row r="927" spans="1:14" x14ac:dyDescent="0.25">
      <c r="A927" s="3">
        <v>45194</v>
      </c>
      <c r="B927" s="15" t="s">
        <v>0</v>
      </c>
      <c r="C927" s="16">
        <v>99</v>
      </c>
      <c r="D927" s="16">
        <v>4190</v>
      </c>
      <c r="E927" s="16">
        <v>29</v>
      </c>
      <c r="F927" s="16">
        <v>4161</v>
      </c>
      <c r="G927" s="16">
        <v>1</v>
      </c>
      <c r="H927" s="16">
        <v>32768</v>
      </c>
      <c r="I927" s="16">
        <v>13</v>
      </c>
      <c r="J927" s="15" t="s">
        <v>1</v>
      </c>
      <c r="K927" s="15" t="s">
        <v>2</v>
      </c>
      <c r="L927" s="8">
        <f>InterspecUsage[[#This Row],[Used-MB]]-F917</f>
        <v>0</v>
      </c>
      <c r="M927">
        <f>InterspecUsage[[#This Row],[Max]]-InterspecUsage[[#This Row],[Used-MB]]</f>
        <v>28607</v>
      </c>
      <c r="N927" s="5">
        <f>IF($L927&gt;0,InterspecUsage[[#This Row],[Free-of-Max]]/InterspecUsage[[#This Row],[Usage-Delta-MB]],InterspecUsage[[#This Row],[Free-of-Max]])</f>
        <v>28607</v>
      </c>
    </row>
    <row r="928" spans="1:14" x14ac:dyDescent="0.25">
      <c r="A928" s="3">
        <v>45194</v>
      </c>
      <c r="B928" s="15" t="s">
        <v>30</v>
      </c>
      <c r="C928" s="16">
        <v>0</v>
      </c>
      <c r="D928" s="16">
        <v>32767</v>
      </c>
      <c r="E928" s="16">
        <v>32754</v>
      </c>
      <c r="F928" s="16">
        <v>13</v>
      </c>
      <c r="G928" s="16">
        <v>100</v>
      </c>
      <c r="H928" s="16">
        <v>32768</v>
      </c>
      <c r="I928" s="16">
        <v>0</v>
      </c>
      <c r="J928" s="15" t="s">
        <v>1</v>
      </c>
      <c r="K928" s="15" t="s">
        <v>13</v>
      </c>
      <c r="L928" s="8">
        <f>InterspecUsage[[#This Row],[Used-MB]]-F918</f>
        <v>-5</v>
      </c>
      <c r="M928">
        <f>InterspecUsage[[#This Row],[Max]]-InterspecUsage[[#This Row],[Used-MB]]</f>
        <v>32755</v>
      </c>
      <c r="N928" s="5">
        <f>IF($L928&gt;0,InterspecUsage[[#This Row],[Free-of-Max]]/InterspecUsage[[#This Row],[Usage-Delta-MB]],InterspecUsage[[#This Row],[Free-of-Max]])</f>
        <v>32755</v>
      </c>
    </row>
    <row r="929" spans="1:14" x14ac:dyDescent="0.25">
      <c r="A929" s="3">
        <v>45194</v>
      </c>
      <c r="B929" s="15" t="s">
        <v>28</v>
      </c>
      <c r="C929" s="16">
        <v>7</v>
      </c>
      <c r="D929" s="16">
        <v>23320</v>
      </c>
      <c r="E929" s="16">
        <v>21732</v>
      </c>
      <c r="F929" s="16">
        <v>1588</v>
      </c>
      <c r="G929" s="16">
        <v>93</v>
      </c>
      <c r="H929" s="16">
        <v>32768</v>
      </c>
      <c r="I929" s="16">
        <v>5</v>
      </c>
      <c r="J929" s="15" t="s">
        <v>1</v>
      </c>
      <c r="K929" s="15" t="s">
        <v>10</v>
      </c>
      <c r="L929" s="8">
        <f>InterspecUsage[[#This Row],[Used-MB]]-F919</f>
        <v>796</v>
      </c>
      <c r="M929">
        <f>InterspecUsage[[#This Row],[Max]]-InterspecUsage[[#This Row],[Used-MB]]</f>
        <v>31180</v>
      </c>
      <c r="N929" s="5">
        <f>IF($L929&gt;0,InterspecUsage[[#This Row],[Free-of-Max]]/InterspecUsage[[#This Row],[Usage-Delta-MB]],InterspecUsage[[#This Row],[Free-of-Max]])</f>
        <v>39.170854271356781</v>
      </c>
    </row>
    <row r="930" spans="1:14" x14ac:dyDescent="0.25">
      <c r="A930" s="3">
        <v>45194</v>
      </c>
      <c r="B930" s="15" t="s">
        <v>25</v>
      </c>
      <c r="C930" s="16">
        <v>73</v>
      </c>
      <c r="D930" s="16">
        <v>12700</v>
      </c>
      <c r="E930" s="16">
        <v>3449</v>
      </c>
      <c r="F930" s="16">
        <v>9251</v>
      </c>
      <c r="G930" s="16">
        <v>27</v>
      </c>
      <c r="H930" s="16">
        <v>32768</v>
      </c>
      <c r="I930" s="16">
        <v>28</v>
      </c>
      <c r="J930" s="15" t="s">
        <v>1</v>
      </c>
      <c r="K930" s="15" t="s">
        <v>2</v>
      </c>
      <c r="L930" s="8">
        <f>InterspecUsage[[#This Row],[Used-MB]]-F920</f>
        <v>9</v>
      </c>
      <c r="M930">
        <f>InterspecUsage[[#This Row],[Max]]-InterspecUsage[[#This Row],[Used-MB]]</f>
        <v>23517</v>
      </c>
      <c r="N930" s="5">
        <f>IF($L930&gt;0,InterspecUsage[[#This Row],[Free-of-Max]]/InterspecUsage[[#This Row],[Usage-Delta-MB]],InterspecUsage[[#This Row],[Free-of-Max]])</f>
        <v>2613</v>
      </c>
    </row>
    <row r="931" spans="1:14" x14ac:dyDescent="0.25">
      <c r="A931" s="3">
        <v>45194</v>
      </c>
      <c r="B931" s="15" t="s">
        <v>29</v>
      </c>
      <c r="C931" s="16">
        <v>0</v>
      </c>
      <c r="D931" s="16">
        <v>500</v>
      </c>
      <c r="E931" s="16">
        <v>499</v>
      </c>
      <c r="F931" s="16">
        <v>1</v>
      </c>
      <c r="G931" s="16">
        <v>100</v>
      </c>
      <c r="H931" s="16">
        <v>500</v>
      </c>
      <c r="I931" s="16">
        <v>0</v>
      </c>
      <c r="J931" s="15" t="s">
        <v>1</v>
      </c>
      <c r="K931" s="15" t="s">
        <v>2</v>
      </c>
      <c r="L931" s="8">
        <f>InterspecUsage[[#This Row],[Used-MB]]-F921</f>
        <v>0</v>
      </c>
      <c r="M931">
        <f>InterspecUsage[[#This Row],[Max]]-InterspecUsage[[#This Row],[Used-MB]]</f>
        <v>499</v>
      </c>
      <c r="N931" s="5">
        <f>IF($L931&gt;0,InterspecUsage[[#This Row],[Free-of-Max]]/InterspecUsage[[#This Row],[Usage-Delta-MB]],InterspecUsage[[#This Row],[Free-of-Max]])</f>
        <v>499</v>
      </c>
    </row>
    <row r="932" spans="1:14" x14ac:dyDescent="0.25">
      <c r="A932" s="3">
        <v>45201</v>
      </c>
      <c r="B932" s="15" t="s">
        <v>26</v>
      </c>
      <c r="C932" s="16">
        <v>94</v>
      </c>
      <c r="D932" s="16">
        <v>22788</v>
      </c>
      <c r="E932" s="16">
        <v>1448</v>
      </c>
      <c r="F932" s="16">
        <v>21340</v>
      </c>
      <c r="G932" s="16">
        <v>6</v>
      </c>
      <c r="H932" s="16">
        <v>40960</v>
      </c>
      <c r="I932" s="16">
        <v>52</v>
      </c>
      <c r="J932" s="15" t="s">
        <v>1</v>
      </c>
      <c r="K932" s="15" t="s">
        <v>2</v>
      </c>
      <c r="L932" s="8">
        <f>InterspecUsage[[#This Row],[Used-MB]]-F922</f>
        <v>64</v>
      </c>
      <c r="M932">
        <f>InterspecUsage[[#This Row],[Max]]-InterspecUsage[[#This Row],[Used-MB]]</f>
        <v>19620</v>
      </c>
      <c r="N932" s="5">
        <f>IF($L932&gt;0,InterspecUsage[[#This Row],[Free-of-Max]]/InterspecUsage[[#This Row],[Usage-Delta-MB]],InterspecUsage[[#This Row],[Free-of-Max]])</f>
        <v>306.5625</v>
      </c>
    </row>
    <row r="933" spans="1:14" x14ac:dyDescent="0.25">
      <c r="A933" s="3">
        <v>45201</v>
      </c>
      <c r="B933" s="15" t="s">
        <v>24</v>
      </c>
      <c r="C933" s="16">
        <v>92</v>
      </c>
      <c r="D933" s="16">
        <v>18400</v>
      </c>
      <c r="E933" s="16">
        <v>1525</v>
      </c>
      <c r="F933" s="16">
        <v>16875</v>
      </c>
      <c r="G933" s="16">
        <v>8</v>
      </c>
      <c r="H933" s="16">
        <v>32768</v>
      </c>
      <c r="I933" s="16">
        <v>51</v>
      </c>
      <c r="J933" s="15" t="s">
        <v>1</v>
      </c>
      <c r="K933" s="15" t="s">
        <v>2</v>
      </c>
      <c r="L933" s="8">
        <f>InterspecUsage[[#This Row],[Used-MB]]-F923</f>
        <v>42</v>
      </c>
      <c r="M933">
        <f>InterspecUsage[[#This Row],[Max]]-InterspecUsage[[#This Row],[Used-MB]]</f>
        <v>15893</v>
      </c>
      <c r="N933" s="5">
        <f>IF($L933&gt;0,InterspecUsage[[#This Row],[Free-of-Max]]/InterspecUsage[[#This Row],[Usage-Delta-MB]],InterspecUsage[[#This Row],[Free-of-Max]])</f>
        <v>378.40476190476193</v>
      </c>
    </row>
    <row r="934" spans="1:14" x14ac:dyDescent="0.25">
      <c r="A934" s="3">
        <v>45201</v>
      </c>
      <c r="B934" s="15" t="s">
        <v>35</v>
      </c>
      <c r="C934" s="16">
        <v>96</v>
      </c>
      <c r="D934" s="16">
        <v>28200</v>
      </c>
      <c r="E934" s="16">
        <v>1124</v>
      </c>
      <c r="F934" s="16">
        <v>27076</v>
      </c>
      <c r="G934" s="16">
        <v>4</v>
      </c>
      <c r="H934" s="16">
        <v>32768</v>
      </c>
      <c r="I934" s="16">
        <v>83</v>
      </c>
      <c r="J934" s="15" t="s">
        <v>1</v>
      </c>
      <c r="K934" s="15" t="s">
        <v>2</v>
      </c>
      <c r="L934" s="8">
        <f>InterspecUsage[[#This Row],[Used-MB]]-F924</f>
        <v>0</v>
      </c>
      <c r="M934">
        <f>InterspecUsage[[#This Row],[Max]]-InterspecUsage[[#This Row],[Used-MB]]</f>
        <v>5692</v>
      </c>
      <c r="N934" s="5">
        <f>IF($L934&gt;0,InterspecUsage[[#This Row],[Free-of-Max]]/InterspecUsage[[#This Row],[Usage-Delta-MB]],InterspecUsage[[#This Row],[Free-of-Max]])</f>
        <v>5692</v>
      </c>
    </row>
    <row r="935" spans="1:14" x14ac:dyDescent="0.25">
      <c r="A935" s="3">
        <v>45201</v>
      </c>
      <c r="B935" s="15" t="s">
        <v>27</v>
      </c>
      <c r="C935" s="16">
        <v>85</v>
      </c>
      <c r="D935" s="16">
        <v>163840</v>
      </c>
      <c r="E935" s="16">
        <v>24582</v>
      </c>
      <c r="F935" s="16">
        <v>139258</v>
      </c>
      <c r="G935" s="16">
        <v>15</v>
      </c>
      <c r="H935" s="16">
        <v>163840</v>
      </c>
      <c r="I935" s="16">
        <v>85</v>
      </c>
      <c r="J935" s="15" t="s">
        <v>1</v>
      </c>
      <c r="K935" s="15" t="s">
        <v>2</v>
      </c>
      <c r="L935" s="8">
        <f>InterspecUsage[[#This Row],[Used-MB]]-F925</f>
        <v>258</v>
      </c>
      <c r="M935">
        <f>InterspecUsage[[#This Row],[Max]]-InterspecUsage[[#This Row],[Used-MB]]</f>
        <v>24582</v>
      </c>
      <c r="N935" s="5">
        <f>IF($L935&gt;0,InterspecUsage[[#This Row],[Free-of-Max]]/InterspecUsage[[#This Row],[Usage-Delta-MB]],InterspecUsage[[#This Row],[Free-of-Max]])</f>
        <v>95.279069767441854</v>
      </c>
    </row>
    <row r="936" spans="1:14" x14ac:dyDescent="0.25">
      <c r="A936" s="3">
        <v>45201</v>
      </c>
      <c r="B936" s="15" t="s">
        <v>7</v>
      </c>
      <c r="C936" s="16">
        <v>95</v>
      </c>
      <c r="D936" s="16">
        <v>1700</v>
      </c>
      <c r="E936" s="16">
        <v>79</v>
      </c>
      <c r="F936" s="16">
        <v>1621</v>
      </c>
      <c r="G936" s="16">
        <v>5</v>
      </c>
      <c r="H936" s="16">
        <v>32768</v>
      </c>
      <c r="I936" s="16">
        <v>5</v>
      </c>
      <c r="J936" s="15" t="s">
        <v>1</v>
      </c>
      <c r="K936" s="15" t="s">
        <v>2</v>
      </c>
      <c r="L936" s="8">
        <f>InterspecUsage[[#This Row],[Used-MB]]-F926</f>
        <v>-1</v>
      </c>
      <c r="M936">
        <f>InterspecUsage[[#This Row],[Max]]-InterspecUsage[[#This Row],[Used-MB]]</f>
        <v>31147</v>
      </c>
      <c r="N936" s="5">
        <f>IF($L936&gt;0,InterspecUsage[[#This Row],[Free-of-Max]]/InterspecUsage[[#This Row],[Usage-Delta-MB]],InterspecUsage[[#This Row],[Free-of-Max]])</f>
        <v>31147</v>
      </c>
    </row>
    <row r="937" spans="1:14" x14ac:dyDescent="0.25">
      <c r="A937" s="3">
        <v>45201</v>
      </c>
      <c r="B937" s="15" t="s">
        <v>0</v>
      </c>
      <c r="C937" s="16">
        <v>99</v>
      </c>
      <c r="D937" s="16">
        <v>4190</v>
      </c>
      <c r="E937" s="16">
        <v>29</v>
      </c>
      <c r="F937" s="16">
        <v>4161</v>
      </c>
      <c r="G937" s="16">
        <v>1</v>
      </c>
      <c r="H937" s="16">
        <v>32768</v>
      </c>
      <c r="I937" s="16">
        <v>13</v>
      </c>
      <c r="J937" s="15" t="s">
        <v>1</v>
      </c>
      <c r="K937" s="15" t="s">
        <v>2</v>
      </c>
      <c r="L937" s="8">
        <f>InterspecUsage[[#This Row],[Used-MB]]-F927</f>
        <v>0</v>
      </c>
      <c r="M937">
        <f>InterspecUsage[[#This Row],[Max]]-InterspecUsage[[#This Row],[Used-MB]]</f>
        <v>28607</v>
      </c>
      <c r="N937" s="5">
        <f>IF($L937&gt;0,InterspecUsage[[#This Row],[Free-of-Max]]/InterspecUsage[[#This Row],[Usage-Delta-MB]],InterspecUsage[[#This Row],[Free-of-Max]])</f>
        <v>28607</v>
      </c>
    </row>
    <row r="938" spans="1:14" x14ac:dyDescent="0.25">
      <c r="A938" s="3">
        <v>45201</v>
      </c>
      <c r="B938" s="15" t="s">
        <v>30</v>
      </c>
      <c r="C938" s="16">
        <v>0</v>
      </c>
      <c r="D938" s="16">
        <v>32767</v>
      </c>
      <c r="E938" s="16">
        <v>32753</v>
      </c>
      <c r="F938" s="16">
        <v>14</v>
      </c>
      <c r="G938" s="16">
        <v>100</v>
      </c>
      <c r="H938" s="16">
        <v>32768</v>
      </c>
      <c r="I938" s="16">
        <v>0</v>
      </c>
      <c r="J938" s="15" t="s">
        <v>1</v>
      </c>
      <c r="K938" s="15" t="s">
        <v>13</v>
      </c>
      <c r="L938" s="8">
        <f>InterspecUsage[[#This Row],[Used-MB]]-F928</f>
        <v>1</v>
      </c>
      <c r="M938">
        <f>InterspecUsage[[#This Row],[Max]]-InterspecUsage[[#This Row],[Used-MB]]</f>
        <v>32754</v>
      </c>
      <c r="N938" s="5">
        <f>IF($L938&gt;0,InterspecUsage[[#This Row],[Free-of-Max]]/InterspecUsage[[#This Row],[Usage-Delta-MB]],InterspecUsage[[#This Row],[Free-of-Max]])</f>
        <v>32754</v>
      </c>
    </row>
    <row r="939" spans="1:14" x14ac:dyDescent="0.25">
      <c r="A939" s="3">
        <v>45201</v>
      </c>
      <c r="B939" s="15" t="s">
        <v>28</v>
      </c>
      <c r="C939" s="16">
        <v>3</v>
      </c>
      <c r="D939" s="16">
        <v>23320</v>
      </c>
      <c r="E939" s="16">
        <v>22608</v>
      </c>
      <c r="F939" s="16">
        <v>712</v>
      </c>
      <c r="G939" s="16">
        <v>97</v>
      </c>
      <c r="H939" s="16">
        <v>32768</v>
      </c>
      <c r="I939" s="16">
        <v>2</v>
      </c>
      <c r="J939" s="15" t="s">
        <v>1</v>
      </c>
      <c r="K939" s="15" t="s">
        <v>10</v>
      </c>
      <c r="L939" s="8">
        <f>InterspecUsage[[#This Row],[Used-MB]]-F929</f>
        <v>-876</v>
      </c>
      <c r="M939">
        <f>InterspecUsage[[#This Row],[Max]]-InterspecUsage[[#This Row],[Used-MB]]</f>
        <v>32056</v>
      </c>
      <c r="N939" s="5">
        <f>IF($L939&gt;0,InterspecUsage[[#This Row],[Free-of-Max]]/InterspecUsage[[#This Row],[Usage-Delta-MB]],InterspecUsage[[#This Row],[Free-of-Max]])</f>
        <v>32056</v>
      </c>
    </row>
    <row r="940" spans="1:14" x14ac:dyDescent="0.25">
      <c r="A940" s="3">
        <v>45201</v>
      </c>
      <c r="B940" s="15" t="s">
        <v>25</v>
      </c>
      <c r="C940" s="16">
        <v>73</v>
      </c>
      <c r="D940" s="16">
        <v>12700</v>
      </c>
      <c r="E940" s="16">
        <v>3424</v>
      </c>
      <c r="F940" s="16">
        <v>9276</v>
      </c>
      <c r="G940" s="16">
        <v>27</v>
      </c>
      <c r="H940" s="16">
        <v>32768</v>
      </c>
      <c r="I940" s="16">
        <v>28</v>
      </c>
      <c r="J940" s="15" t="s">
        <v>1</v>
      </c>
      <c r="K940" s="15" t="s">
        <v>2</v>
      </c>
      <c r="L940" s="8">
        <f>InterspecUsage[[#This Row],[Used-MB]]-F930</f>
        <v>25</v>
      </c>
      <c r="M940">
        <f>InterspecUsage[[#This Row],[Max]]-InterspecUsage[[#This Row],[Used-MB]]</f>
        <v>23492</v>
      </c>
      <c r="N940" s="5">
        <f>IF($L940&gt;0,InterspecUsage[[#This Row],[Free-of-Max]]/InterspecUsage[[#This Row],[Usage-Delta-MB]],InterspecUsage[[#This Row],[Free-of-Max]])</f>
        <v>939.68</v>
      </c>
    </row>
    <row r="941" spans="1:14" x14ac:dyDescent="0.25">
      <c r="A941" s="3">
        <v>45201</v>
      </c>
      <c r="B941" s="15" t="s">
        <v>29</v>
      </c>
      <c r="C941" s="16">
        <v>0</v>
      </c>
      <c r="D941" s="16">
        <v>500</v>
      </c>
      <c r="E941" s="16">
        <v>499</v>
      </c>
      <c r="F941" s="16">
        <v>1</v>
      </c>
      <c r="G941" s="16">
        <v>100</v>
      </c>
      <c r="H941" s="16">
        <v>500</v>
      </c>
      <c r="I941" s="16">
        <v>0</v>
      </c>
      <c r="J941" s="15" t="s">
        <v>1</v>
      </c>
      <c r="K941" s="15" t="s">
        <v>2</v>
      </c>
      <c r="L941" s="8">
        <f>InterspecUsage[[#This Row],[Used-MB]]-F931</f>
        <v>0</v>
      </c>
      <c r="M941">
        <f>InterspecUsage[[#This Row],[Max]]-InterspecUsage[[#This Row],[Used-MB]]</f>
        <v>499</v>
      </c>
      <c r="N941" s="5">
        <f>IF($L941&gt;0,InterspecUsage[[#This Row],[Free-of-Max]]/InterspecUsage[[#This Row],[Usage-Delta-MB]],InterspecUsage[[#This Row],[Free-of-Max]])</f>
        <v>499</v>
      </c>
    </row>
    <row r="942" spans="1:14" x14ac:dyDescent="0.25">
      <c r="A942" s="3">
        <v>45208</v>
      </c>
      <c r="B942" s="15" t="s">
        <v>26</v>
      </c>
      <c r="C942" s="16">
        <v>94</v>
      </c>
      <c r="D942" s="16">
        <v>22788</v>
      </c>
      <c r="E942" s="16">
        <v>1383</v>
      </c>
      <c r="F942" s="16">
        <v>21405</v>
      </c>
      <c r="G942" s="16">
        <v>6</v>
      </c>
      <c r="H942" s="16">
        <v>40960</v>
      </c>
      <c r="I942" s="16">
        <v>52</v>
      </c>
      <c r="J942" s="15" t="s">
        <v>1</v>
      </c>
      <c r="K942" s="15" t="s">
        <v>2</v>
      </c>
      <c r="L942" s="8">
        <f>InterspecUsage[[#This Row],[Used-MB]]-F932</f>
        <v>65</v>
      </c>
      <c r="M942">
        <f>InterspecUsage[[#This Row],[Max]]-InterspecUsage[[#This Row],[Used-MB]]</f>
        <v>19555</v>
      </c>
      <c r="N942" s="5">
        <f>IF($L942&gt;0,InterspecUsage[[#This Row],[Free-of-Max]]/InterspecUsage[[#This Row],[Usage-Delta-MB]],InterspecUsage[[#This Row],[Free-of-Max]])</f>
        <v>300.84615384615387</v>
      </c>
    </row>
    <row r="943" spans="1:14" x14ac:dyDescent="0.25">
      <c r="A943" s="3">
        <v>45208</v>
      </c>
      <c r="B943" s="15" t="s">
        <v>24</v>
      </c>
      <c r="C943" s="16">
        <v>92</v>
      </c>
      <c r="D943" s="16">
        <v>18400</v>
      </c>
      <c r="E943" s="16">
        <v>1403</v>
      </c>
      <c r="F943" s="16">
        <v>16997</v>
      </c>
      <c r="G943" s="16">
        <v>8</v>
      </c>
      <c r="H943" s="16">
        <v>32768</v>
      </c>
      <c r="I943" s="16">
        <v>52</v>
      </c>
      <c r="J943" s="15" t="s">
        <v>1</v>
      </c>
      <c r="K943" s="15" t="s">
        <v>2</v>
      </c>
      <c r="L943" s="8">
        <f>InterspecUsage[[#This Row],[Used-MB]]-F933</f>
        <v>122</v>
      </c>
      <c r="M943">
        <f>InterspecUsage[[#This Row],[Max]]-InterspecUsage[[#This Row],[Used-MB]]</f>
        <v>15771</v>
      </c>
      <c r="N943" s="5">
        <f>IF($L943&gt;0,InterspecUsage[[#This Row],[Free-of-Max]]/InterspecUsage[[#This Row],[Usage-Delta-MB]],InterspecUsage[[#This Row],[Free-of-Max]])</f>
        <v>129.2704918032787</v>
      </c>
    </row>
    <row r="944" spans="1:14" x14ac:dyDescent="0.25">
      <c r="A944" s="3">
        <v>45208</v>
      </c>
      <c r="B944" s="15" t="s">
        <v>35</v>
      </c>
      <c r="C944" s="16">
        <v>96</v>
      </c>
      <c r="D944" s="16">
        <v>28200</v>
      </c>
      <c r="E944" s="16">
        <v>1060</v>
      </c>
      <c r="F944" s="16">
        <v>27140</v>
      </c>
      <c r="G944" s="16">
        <v>4</v>
      </c>
      <c r="H944" s="16">
        <v>32768</v>
      </c>
      <c r="I944" s="16">
        <v>83</v>
      </c>
      <c r="J944" s="15" t="s">
        <v>1</v>
      </c>
      <c r="K944" s="15" t="s">
        <v>2</v>
      </c>
      <c r="L944" s="8">
        <f>InterspecUsage[[#This Row],[Used-MB]]-F934</f>
        <v>64</v>
      </c>
      <c r="M944">
        <f>InterspecUsage[[#This Row],[Max]]-InterspecUsage[[#This Row],[Used-MB]]</f>
        <v>5628</v>
      </c>
      <c r="N944" s="5">
        <f>IF($L944&gt;0,InterspecUsage[[#This Row],[Free-of-Max]]/InterspecUsage[[#This Row],[Usage-Delta-MB]],InterspecUsage[[#This Row],[Free-of-Max]])</f>
        <v>87.9375</v>
      </c>
    </row>
    <row r="945" spans="1:14" x14ac:dyDescent="0.25">
      <c r="A945" s="3">
        <v>45208</v>
      </c>
      <c r="B945" s="15" t="s">
        <v>27</v>
      </c>
      <c r="C945" s="16">
        <v>85</v>
      </c>
      <c r="D945" s="16">
        <v>163840</v>
      </c>
      <c r="E945" s="16">
        <v>24220</v>
      </c>
      <c r="F945" s="16">
        <v>139620</v>
      </c>
      <c r="G945" s="16">
        <v>15</v>
      </c>
      <c r="H945" s="16">
        <v>163840</v>
      </c>
      <c r="I945" s="16">
        <v>85</v>
      </c>
      <c r="J945" s="15" t="s">
        <v>1</v>
      </c>
      <c r="K945" s="15" t="s">
        <v>2</v>
      </c>
      <c r="L945" s="8">
        <f>InterspecUsage[[#This Row],[Used-MB]]-F935</f>
        <v>362</v>
      </c>
      <c r="M945">
        <f>InterspecUsage[[#This Row],[Max]]-InterspecUsage[[#This Row],[Used-MB]]</f>
        <v>24220</v>
      </c>
      <c r="N945" s="5">
        <f>IF($L945&gt;0,InterspecUsage[[#This Row],[Free-of-Max]]/InterspecUsage[[#This Row],[Usage-Delta-MB]],InterspecUsage[[#This Row],[Free-of-Max]])</f>
        <v>66.906077348066304</v>
      </c>
    </row>
    <row r="946" spans="1:14" x14ac:dyDescent="0.25">
      <c r="A946" s="3">
        <v>45208</v>
      </c>
      <c r="B946" s="15" t="s">
        <v>7</v>
      </c>
      <c r="C946" s="16">
        <v>95</v>
      </c>
      <c r="D946" s="16">
        <v>1720</v>
      </c>
      <c r="E946" s="16">
        <v>91</v>
      </c>
      <c r="F946" s="16">
        <v>1629</v>
      </c>
      <c r="G946" s="16">
        <v>5</v>
      </c>
      <c r="H946" s="16">
        <v>32768</v>
      </c>
      <c r="I946" s="16">
        <v>5</v>
      </c>
      <c r="J946" s="15" t="s">
        <v>1</v>
      </c>
      <c r="K946" s="15" t="s">
        <v>2</v>
      </c>
      <c r="L946" s="8">
        <f>InterspecUsage[[#This Row],[Used-MB]]-F936</f>
        <v>8</v>
      </c>
      <c r="M946">
        <f>InterspecUsage[[#This Row],[Max]]-InterspecUsage[[#This Row],[Used-MB]]</f>
        <v>31139</v>
      </c>
      <c r="N946" s="5">
        <f>IF($L946&gt;0,InterspecUsage[[#This Row],[Free-of-Max]]/InterspecUsage[[#This Row],[Usage-Delta-MB]],InterspecUsage[[#This Row],[Free-of-Max]])</f>
        <v>3892.375</v>
      </c>
    </row>
    <row r="947" spans="1:14" x14ac:dyDescent="0.25">
      <c r="A947" s="3">
        <v>45208</v>
      </c>
      <c r="B947" s="15" t="s">
        <v>0</v>
      </c>
      <c r="C947" s="16">
        <v>99</v>
      </c>
      <c r="D947" s="16">
        <v>4190</v>
      </c>
      <c r="E947" s="16">
        <v>29</v>
      </c>
      <c r="F947" s="16">
        <v>4161</v>
      </c>
      <c r="G947" s="16">
        <v>1</v>
      </c>
      <c r="H947" s="16">
        <v>32768</v>
      </c>
      <c r="I947" s="16">
        <v>13</v>
      </c>
      <c r="J947" s="15" t="s">
        <v>1</v>
      </c>
      <c r="K947" s="15" t="s">
        <v>2</v>
      </c>
      <c r="L947" s="8">
        <f>InterspecUsage[[#This Row],[Used-MB]]-F937</f>
        <v>0</v>
      </c>
      <c r="M947">
        <f>InterspecUsage[[#This Row],[Max]]-InterspecUsage[[#This Row],[Used-MB]]</f>
        <v>28607</v>
      </c>
      <c r="N947" s="5">
        <f>IF($L947&gt;0,InterspecUsage[[#This Row],[Free-of-Max]]/InterspecUsage[[#This Row],[Usage-Delta-MB]],InterspecUsage[[#This Row],[Free-of-Max]])</f>
        <v>28607</v>
      </c>
    </row>
    <row r="948" spans="1:14" x14ac:dyDescent="0.25">
      <c r="A948" s="3">
        <v>45208</v>
      </c>
      <c r="B948" s="15" t="s">
        <v>30</v>
      </c>
      <c r="C948" s="16">
        <v>0</v>
      </c>
      <c r="D948" s="16">
        <v>32767</v>
      </c>
      <c r="E948" s="16">
        <v>32743</v>
      </c>
      <c r="F948" s="16">
        <v>24</v>
      </c>
      <c r="G948" s="16">
        <v>100</v>
      </c>
      <c r="H948" s="16">
        <v>32768</v>
      </c>
      <c r="I948" s="16">
        <v>0</v>
      </c>
      <c r="J948" s="15" t="s">
        <v>1</v>
      </c>
      <c r="K948" s="15" t="s">
        <v>13</v>
      </c>
      <c r="L948" s="8">
        <f>InterspecUsage[[#This Row],[Used-MB]]-F938</f>
        <v>10</v>
      </c>
      <c r="M948">
        <f>InterspecUsage[[#This Row],[Max]]-InterspecUsage[[#This Row],[Used-MB]]</f>
        <v>32744</v>
      </c>
      <c r="N948" s="5">
        <f>IF($L948&gt;0,InterspecUsage[[#This Row],[Free-of-Max]]/InterspecUsage[[#This Row],[Usage-Delta-MB]],InterspecUsage[[#This Row],[Free-of-Max]])</f>
        <v>3274.4</v>
      </c>
    </row>
    <row r="949" spans="1:14" x14ac:dyDescent="0.25">
      <c r="A949" s="3">
        <v>45208</v>
      </c>
      <c r="B949" s="15" t="s">
        <v>28</v>
      </c>
      <c r="C949" s="16">
        <v>4</v>
      </c>
      <c r="D949" s="16">
        <v>23320</v>
      </c>
      <c r="E949" s="16">
        <v>22373</v>
      </c>
      <c r="F949" s="16">
        <v>948</v>
      </c>
      <c r="G949" s="16">
        <v>96</v>
      </c>
      <c r="H949" s="16">
        <v>32768</v>
      </c>
      <c r="I949" s="16">
        <v>3</v>
      </c>
      <c r="J949" s="15" t="s">
        <v>1</v>
      </c>
      <c r="K949" s="15" t="s">
        <v>10</v>
      </c>
      <c r="L949" s="8">
        <f>InterspecUsage[[#This Row],[Used-MB]]-F939</f>
        <v>236</v>
      </c>
      <c r="M949">
        <f>InterspecUsage[[#This Row],[Max]]-InterspecUsage[[#This Row],[Used-MB]]</f>
        <v>31820</v>
      </c>
      <c r="N949" s="5">
        <f>IF($L949&gt;0,InterspecUsage[[#This Row],[Free-of-Max]]/InterspecUsage[[#This Row],[Usage-Delta-MB]],InterspecUsage[[#This Row],[Free-of-Max]])</f>
        <v>134.83050847457628</v>
      </c>
    </row>
    <row r="950" spans="1:14" x14ac:dyDescent="0.25">
      <c r="A950" s="3">
        <v>45208</v>
      </c>
      <c r="B950" s="15" t="s">
        <v>25</v>
      </c>
      <c r="C950" s="16">
        <v>73</v>
      </c>
      <c r="D950" s="16">
        <v>12700</v>
      </c>
      <c r="E950" s="16">
        <v>3408</v>
      </c>
      <c r="F950" s="16">
        <v>9292</v>
      </c>
      <c r="G950" s="16">
        <v>27</v>
      </c>
      <c r="H950" s="16">
        <v>32768</v>
      </c>
      <c r="I950" s="16">
        <v>28</v>
      </c>
      <c r="J950" s="15" t="s">
        <v>1</v>
      </c>
      <c r="K950" s="15" t="s">
        <v>2</v>
      </c>
      <c r="L950" s="8">
        <f>InterspecUsage[[#This Row],[Used-MB]]-F940</f>
        <v>16</v>
      </c>
      <c r="M950">
        <f>InterspecUsage[[#This Row],[Max]]-InterspecUsage[[#This Row],[Used-MB]]</f>
        <v>23476</v>
      </c>
      <c r="N950" s="5">
        <f>IF($L950&gt;0,InterspecUsage[[#This Row],[Free-of-Max]]/InterspecUsage[[#This Row],[Usage-Delta-MB]],InterspecUsage[[#This Row],[Free-of-Max]])</f>
        <v>1467.25</v>
      </c>
    </row>
    <row r="951" spans="1:14" x14ac:dyDescent="0.25">
      <c r="A951" s="3">
        <v>45208</v>
      </c>
      <c r="B951" s="15" t="s">
        <v>29</v>
      </c>
      <c r="C951" s="16">
        <v>0</v>
      </c>
      <c r="D951" s="16">
        <v>500</v>
      </c>
      <c r="E951" s="16">
        <v>499</v>
      </c>
      <c r="F951" s="16">
        <v>1</v>
      </c>
      <c r="G951" s="16">
        <v>100</v>
      </c>
      <c r="H951" s="16">
        <v>500</v>
      </c>
      <c r="I951" s="16">
        <v>0</v>
      </c>
      <c r="J951" s="15" t="s">
        <v>1</v>
      </c>
      <c r="K951" s="15" t="s">
        <v>2</v>
      </c>
      <c r="L951" s="8">
        <f>InterspecUsage[[#This Row],[Used-MB]]-F941</f>
        <v>0</v>
      </c>
      <c r="M951">
        <f>InterspecUsage[[#This Row],[Max]]-InterspecUsage[[#This Row],[Used-MB]]</f>
        <v>499</v>
      </c>
      <c r="N951" s="5">
        <f>IF($L951&gt;0,InterspecUsage[[#This Row],[Free-of-Max]]/InterspecUsage[[#This Row],[Usage-Delta-MB]],InterspecUsage[[#This Row],[Free-of-Max]])</f>
        <v>499</v>
      </c>
    </row>
    <row r="952" spans="1:14" x14ac:dyDescent="0.25">
      <c r="A952" s="3">
        <v>45215</v>
      </c>
      <c r="B952" s="15" t="s">
        <v>26</v>
      </c>
      <c r="C952" s="16">
        <v>94</v>
      </c>
      <c r="D952" s="16">
        <v>22788</v>
      </c>
      <c r="E952" s="16">
        <v>1319</v>
      </c>
      <c r="F952" s="16">
        <v>21469</v>
      </c>
      <c r="G952" s="16">
        <v>6</v>
      </c>
      <c r="H952" s="16">
        <v>40960</v>
      </c>
      <c r="I952" s="16">
        <v>52</v>
      </c>
      <c r="J952" s="15" t="s">
        <v>1</v>
      </c>
      <c r="K952" s="15" t="s">
        <v>2</v>
      </c>
      <c r="L952" s="8">
        <f>InterspecUsage[[#This Row],[Used-MB]]-F942</f>
        <v>64</v>
      </c>
      <c r="M952">
        <f>InterspecUsage[[#This Row],[Max]]-InterspecUsage[[#This Row],[Used-MB]]</f>
        <v>19491</v>
      </c>
      <c r="N952" s="5">
        <f>IF($L952&gt;0,InterspecUsage[[#This Row],[Free-of-Max]]/InterspecUsage[[#This Row],[Usage-Delta-MB]],InterspecUsage[[#This Row],[Free-of-Max]])</f>
        <v>304.546875</v>
      </c>
    </row>
    <row r="953" spans="1:14" x14ac:dyDescent="0.25">
      <c r="A953" s="3">
        <v>45215</v>
      </c>
      <c r="B953" s="15" t="s">
        <v>24</v>
      </c>
      <c r="C953" s="16">
        <v>95</v>
      </c>
      <c r="D953" s="16">
        <v>54868</v>
      </c>
      <c r="E953" s="16">
        <v>2787</v>
      </c>
      <c r="F953" s="16">
        <v>52081</v>
      </c>
      <c r="G953" s="16">
        <v>5</v>
      </c>
      <c r="H953" s="16">
        <v>65536</v>
      </c>
      <c r="I953" s="16">
        <v>79</v>
      </c>
      <c r="J953" s="15" t="s">
        <v>1</v>
      </c>
      <c r="K953" s="15" t="s">
        <v>2</v>
      </c>
      <c r="L953" s="8">
        <f>InterspecUsage[[#This Row],[Used-MB]]-F943</f>
        <v>35084</v>
      </c>
      <c r="M953">
        <f>InterspecUsage[[#This Row],[Max]]-InterspecUsage[[#This Row],[Used-MB]]</f>
        <v>13455</v>
      </c>
      <c r="N953" s="5">
        <f>IF($L953&gt;0,InterspecUsage[[#This Row],[Free-of-Max]]/InterspecUsage[[#This Row],[Usage-Delta-MB]],InterspecUsage[[#This Row],[Free-of-Max]])</f>
        <v>0.38350815186409759</v>
      </c>
    </row>
    <row r="954" spans="1:14" x14ac:dyDescent="0.25">
      <c r="A954" s="3">
        <v>45215</v>
      </c>
      <c r="B954" s="15" t="s">
        <v>35</v>
      </c>
      <c r="C954" s="16">
        <v>95</v>
      </c>
      <c r="D954" s="16">
        <v>28600</v>
      </c>
      <c r="E954" s="16">
        <v>1396</v>
      </c>
      <c r="F954" s="16">
        <v>27204</v>
      </c>
      <c r="G954" s="16">
        <v>5</v>
      </c>
      <c r="H954" s="16">
        <v>32768</v>
      </c>
      <c r="I954" s="16">
        <v>83</v>
      </c>
      <c r="J954" s="15" t="s">
        <v>1</v>
      </c>
      <c r="K954" s="15" t="s">
        <v>2</v>
      </c>
      <c r="L954" s="8">
        <f>InterspecUsage[[#This Row],[Used-MB]]-F944</f>
        <v>64</v>
      </c>
      <c r="M954">
        <f>InterspecUsage[[#This Row],[Max]]-InterspecUsage[[#This Row],[Used-MB]]</f>
        <v>5564</v>
      </c>
      <c r="N954" s="5">
        <f>IF($L954&gt;0,InterspecUsage[[#This Row],[Free-of-Max]]/InterspecUsage[[#This Row],[Usage-Delta-MB]],InterspecUsage[[#This Row],[Free-of-Max]])</f>
        <v>86.9375</v>
      </c>
    </row>
    <row r="955" spans="1:14" x14ac:dyDescent="0.25">
      <c r="A955" s="3">
        <v>45215</v>
      </c>
      <c r="B955" s="15" t="s">
        <v>27</v>
      </c>
      <c r="C955" s="16">
        <v>91</v>
      </c>
      <c r="D955" s="16">
        <v>163840</v>
      </c>
      <c r="E955" s="16">
        <v>15555</v>
      </c>
      <c r="F955" s="16">
        <v>148285</v>
      </c>
      <c r="G955" s="16">
        <v>9</v>
      </c>
      <c r="H955" s="16">
        <v>163840</v>
      </c>
      <c r="I955" s="16">
        <v>91</v>
      </c>
      <c r="J955" s="15" t="s">
        <v>1</v>
      </c>
      <c r="K955" s="15" t="s">
        <v>2</v>
      </c>
      <c r="L955" s="8">
        <f>InterspecUsage[[#This Row],[Used-MB]]-F945</f>
        <v>8665</v>
      </c>
      <c r="M955">
        <f>InterspecUsage[[#This Row],[Max]]-InterspecUsage[[#This Row],[Used-MB]]</f>
        <v>15555</v>
      </c>
      <c r="N955" s="5">
        <f>IF($L955&gt;0,InterspecUsage[[#This Row],[Free-of-Max]]/InterspecUsage[[#This Row],[Usage-Delta-MB]],InterspecUsage[[#This Row],[Free-of-Max]])</f>
        <v>1.7951529140219273</v>
      </c>
    </row>
    <row r="956" spans="1:14" x14ac:dyDescent="0.25">
      <c r="A956" s="3">
        <v>45215</v>
      </c>
      <c r="B956" s="15" t="s">
        <v>7</v>
      </c>
      <c r="C956" s="16">
        <v>95</v>
      </c>
      <c r="D956" s="16">
        <v>1720</v>
      </c>
      <c r="E956" s="16">
        <v>82</v>
      </c>
      <c r="F956" s="16">
        <v>1638</v>
      </c>
      <c r="G956" s="16">
        <v>5</v>
      </c>
      <c r="H956" s="16">
        <v>32768</v>
      </c>
      <c r="I956" s="16">
        <v>5</v>
      </c>
      <c r="J956" s="15" t="s">
        <v>1</v>
      </c>
      <c r="K956" s="15" t="s">
        <v>2</v>
      </c>
      <c r="L956" s="8">
        <f>InterspecUsage[[#This Row],[Used-MB]]-F946</f>
        <v>9</v>
      </c>
      <c r="M956">
        <f>InterspecUsage[[#This Row],[Max]]-InterspecUsage[[#This Row],[Used-MB]]</f>
        <v>31130</v>
      </c>
      <c r="N956" s="5">
        <f>IF($L956&gt;0,InterspecUsage[[#This Row],[Free-of-Max]]/InterspecUsage[[#This Row],[Usage-Delta-MB]],InterspecUsage[[#This Row],[Free-of-Max]])</f>
        <v>3458.8888888888887</v>
      </c>
    </row>
    <row r="957" spans="1:14" x14ac:dyDescent="0.25">
      <c r="A957" s="3">
        <v>45215</v>
      </c>
      <c r="B957" s="15" t="s">
        <v>0</v>
      </c>
      <c r="C957" s="16">
        <v>99</v>
      </c>
      <c r="D957" s="16">
        <v>4260</v>
      </c>
      <c r="E957" s="16">
        <v>35</v>
      </c>
      <c r="F957" s="16">
        <v>4225</v>
      </c>
      <c r="G957" s="16">
        <v>1</v>
      </c>
      <c r="H957" s="16">
        <v>32768</v>
      </c>
      <c r="I957" s="16">
        <v>13</v>
      </c>
      <c r="J957" s="15" t="s">
        <v>1</v>
      </c>
      <c r="K957" s="15" t="s">
        <v>2</v>
      </c>
      <c r="L957" s="8">
        <f>InterspecUsage[[#This Row],[Used-MB]]-F947</f>
        <v>64</v>
      </c>
      <c r="M957">
        <f>InterspecUsage[[#This Row],[Max]]-InterspecUsage[[#This Row],[Used-MB]]</f>
        <v>28543</v>
      </c>
      <c r="N957" s="5">
        <f>IF($L957&gt;0,InterspecUsage[[#This Row],[Free-of-Max]]/InterspecUsage[[#This Row],[Usage-Delta-MB]],InterspecUsage[[#This Row],[Free-of-Max]])</f>
        <v>445.984375</v>
      </c>
    </row>
    <row r="958" spans="1:14" x14ac:dyDescent="0.25">
      <c r="A958" s="3">
        <v>45215</v>
      </c>
      <c r="B958" s="15" t="s">
        <v>30</v>
      </c>
      <c r="C958" s="16">
        <v>0</v>
      </c>
      <c r="D958" s="16">
        <v>32767</v>
      </c>
      <c r="E958" s="16">
        <v>32750</v>
      </c>
      <c r="F958" s="16">
        <v>17</v>
      </c>
      <c r="G958" s="16">
        <v>100</v>
      </c>
      <c r="H958" s="16">
        <v>32768</v>
      </c>
      <c r="I958" s="16">
        <v>0</v>
      </c>
      <c r="J958" s="15" t="s">
        <v>1</v>
      </c>
      <c r="K958" s="15" t="s">
        <v>13</v>
      </c>
      <c r="L958" s="8">
        <f>InterspecUsage[[#This Row],[Used-MB]]-F948</f>
        <v>-7</v>
      </c>
      <c r="M958">
        <f>InterspecUsage[[#This Row],[Max]]-InterspecUsage[[#This Row],[Used-MB]]</f>
        <v>32751</v>
      </c>
      <c r="N958" s="5">
        <f>IF($L958&gt;0,InterspecUsage[[#This Row],[Free-of-Max]]/InterspecUsage[[#This Row],[Usage-Delta-MB]],InterspecUsage[[#This Row],[Free-of-Max]])</f>
        <v>32751</v>
      </c>
    </row>
    <row r="959" spans="1:14" x14ac:dyDescent="0.25">
      <c r="A959" s="3">
        <v>45215</v>
      </c>
      <c r="B959" s="15" t="s">
        <v>28</v>
      </c>
      <c r="C959" s="16">
        <v>4</v>
      </c>
      <c r="D959" s="16">
        <v>23320</v>
      </c>
      <c r="E959" s="16">
        <v>22464</v>
      </c>
      <c r="F959" s="16">
        <v>856</v>
      </c>
      <c r="G959" s="16">
        <v>96</v>
      </c>
      <c r="H959" s="16">
        <v>32768</v>
      </c>
      <c r="I959" s="16">
        <v>3</v>
      </c>
      <c r="J959" s="15" t="s">
        <v>1</v>
      </c>
      <c r="K959" s="15" t="s">
        <v>10</v>
      </c>
      <c r="L959" s="8">
        <f>InterspecUsage[[#This Row],[Used-MB]]-F949</f>
        <v>-92</v>
      </c>
      <c r="M959">
        <f>InterspecUsage[[#This Row],[Max]]-InterspecUsage[[#This Row],[Used-MB]]</f>
        <v>31912</v>
      </c>
      <c r="N959" s="5">
        <f>IF($L959&gt;0,InterspecUsage[[#This Row],[Free-of-Max]]/InterspecUsage[[#This Row],[Usage-Delta-MB]],InterspecUsage[[#This Row],[Free-of-Max]])</f>
        <v>31912</v>
      </c>
    </row>
    <row r="960" spans="1:14" x14ac:dyDescent="0.25">
      <c r="A960" s="3">
        <v>45215</v>
      </c>
      <c r="B960" s="15" t="s">
        <v>25</v>
      </c>
      <c r="C960" s="16">
        <v>73</v>
      </c>
      <c r="D960" s="16">
        <v>12700</v>
      </c>
      <c r="E960" s="16">
        <v>3390</v>
      </c>
      <c r="F960" s="16">
        <v>9310</v>
      </c>
      <c r="G960" s="16">
        <v>27</v>
      </c>
      <c r="H960" s="16">
        <v>32768</v>
      </c>
      <c r="I960" s="16">
        <v>28</v>
      </c>
      <c r="J960" s="15" t="s">
        <v>1</v>
      </c>
      <c r="K960" s="15" t="s">
        <v>2</v>
      </c>
      <c r="L960" s="8">
        <f>InterspecUsage[[#This Row],[Used-MB]]-F950</f>
        <v>18</v>
      </c>
      <c r="M960">
        <f>InterspecUsage[[#This Row],[Max]]-InterspecUsage[[#This Row],[Used-MB]]</f>
        <v>23458</v>
      </c>
      <c r="N960" s="5">
        <f>IF($L960&gt;0,InterspecUsage[[#This Row],[Free-of-Max]]/InterspecUsage[[#This Row],[Usage-Delta-MB]],InterspecUsage[[#This Row],[Free-of-Max]])</f>
        <v>1303.2222222222222</v>
      </c>
    </row>
    <row r="961" spans="1:14" x14ac:dyDescent="0.25">
      <c r="A961" s="3">
        <v>45215</v>
      </c>
      <c r="B961" s="15" t="s">
        <v>29</v>
      </c>
      <c r="C961" s="16">
        <v>0</v>
      </c>
      <c r="D961" s="16">
        <v>500</v>
      </c>
      <c r="E961" s="16">
        <v>499</v>
      </c>
      <c r="F961" s="16">
        <v>1</v>
      </c>
      <c r="G961" s="16">
        <v>100</v>
      </c>
      <c r="H961" s="16">
        <v>500</v>
      </c>
      <c r="I961" s="16">
        <v>0</v>
      </c>
      <c r="J961" s="15" t="s">
        <v>1</v>
      </c>
      <c r="K961" s="15" t="s">
        <v>2</v>
      </c>
      <c r="L961" s="8">
        <f>InterspecUsage[[#This Row],[Used-MB]]-F951</f>
        <v>0</v>
      </c>
      <c r="M961">
        <f>InterspecUsage[[#This Row],[Max]]-InterspecUsage[[#This Row],[Used-MB]]</f>
        <v>499</v>
      </c>
      <c r="N961" s="5">
        <f>IF($L961&gt;0,InterspecUsage[[#This Row],[Free-of-Max]]/InterspecUsage[[#This Row],[Usage-Delta-MB]],InterspecUsage[[#This Row],[Free-of-Max]])</f>
        <v>499</v>
      </c>
    </row>
    <row r="962" spans="1:14" x14ac:dyDescent="0.25">
      <c r="A962" s="3">
        <v>45222</v>
      </c>
      <c r="B962" s="15" t="s">
        <v>26</v>
      </c>
      <c r="C962" s="16">
        <v>94</v>
      </c>
      <c r="D962" s="16">
        <v>22788</v>
      </c>
      <c r="E962" s="16">
        <v>1255</v>
      </c>
      <c r="F962" s="16">
        <v>21533</v>
      </c>
      <c r="G962" s="16">
        <v>6</v>
      </c>
      <c r="H962" s="16">
        <v>40960</v>
      </c>
      <c r="I962" s="16">
        <v>53</v>
      </c>
      <c r="J962" s="15" t="s">
        <v>1</v>
      </c>
      <c r="K962" s="15" t="s">
        <v>2</v>
      </c>
      <c r="L962" s="8">
        <f>InterspecUsage[[#This Row],[Used-MB]]-F952</f>
        <v>64</v>
      </c>
      <c r="M962">
        <f>InterspecUsage[[#This Row],[Max]]-InterspecUsage[[#This Row],[Used-MB]]</f>
        <v>19427</v>
      </c>
      <c r="N962" s="5">
        <f>IF($L962&gt;0,InterspecUsage[[#This Row],[Free-of-Max]]/InterspecUsage[[#This Row],[Usage-Delta-MB]],InterspecUsage[[#This Row],[Free-of-Max]])</f>
        <v>303.546875</v>
      </c>
    </row>
    <row r="963" spans="1:14" x14ac:dyDescent="0.25">
      <c r="A963" s="3">
        <v>45222</v>
      </c>
      <c r="B963" s="15" t="s">
        <v>24</v>
      </c>
      <c r="C963" s="16">
        <v>95</v>
      </c>
      <c r="D963" s="16">
        <v>54868</v>
      </c>
      <c r="E963" s="16">
        <v>2624</v>
      </c>
      <c r="F963" s="16">
        <v>52244</v>
      </c>
      <c r="G963" s="16">
        <v>5</v>
      </c>
      <c r="H963" s="16">
        <v>65536</v>
      </c>
      <c r="I963" s="16">
        <v>80</v>
      </c>
      <c r="J963" s="15" t="s">
        <v>1</v>
      </c>
      <c r="K963" s="15" t="s">
        <v>2</v>
      </c>
      <c r="L963" s="8">
        <f>InterspecUsage[[#This Row],[Used-MB]]-F953</f>
        <v>163</v>
      </c>
      <c r="M963">
        <f>InterspecUsage[[#This Row],[Max]]-InterspecUsage[[#This Row],[Used-MB]]</f>
        <v>13292</v>
      </c>
      <c r="N963" s="5">
        <f>IF($L963&gt;0,InterspecUsage[[#This Row],[Free-of-Max]]/InterspecUsage[[#This Row],[Usage-Delta-MB]],InterspecUsage[[#This Row],[Free-of-Max]])</f>
        <v>81.546012269938657</v>
      </c>
    </row>
    <row r="964" spans="1:14" x14ac:dyDescent="0.25">
      <c r="A964" s="3">
        <v>45222</v>
      </c>
      <c r="B964" s="15" t="s">
        <v>35</v>
      </c>
      <c r="C964" s="16">
        <v>95</v>
      </c>
      <c r="D964" s="16">
        <v>28600</v>
      </c>
      <c r="E964" s="16">
        <v>1331</v>
      </c>
      <c r="F964" s="16">
        <v>27269</v>
      </c>
      <c r="G964" s="16">
        <v>5</v>
      </c>
      <c r="H964" s="16">
        <v>32768</v>
      </c>
      <c r="I964" s="16">
        <v>83</v>
      </c>
      <c r="J964" s="15" t="s">
        <v>1</v>
      </c>
      <c r="K964" s="15" t="s">
        <v>2</v>
      </c>
      <c r="L964" s="8">
        <f>InterspecUsage[[#This Row],[Used-MB]]-F954</f>
        <v>65</v>
      </c>
      <c r="M964">
        <f>InterspecUsage[[#This Row],[Max]]-InterspecUsage[[#This Row],[Used-MB]]</f>
        <v>5499</v>
      </c>
      <c r="N964" s="5">
        <f>IF($L964&gt;0,InterspecUsage[[#This Row],[Free-of-Max]]/InterspecUsage[[#This Row],[Usage-Delta-MB]],InterspecUsage[[#This Row],[Free-of-Max]])</f>
        <v>84.6</v>
      </c>
    </row>
    <row r="965" spans="1:14" x14ac:dyDescent="0.25">
      <c r="A965" s="3">
        <v>45222</v>
      </c>
      <c r="B965" s="15" t="s">
        <v>27</v>
      </c>
      <c r="C965" s="16">
        <v>91</v>
      </c>
      <c r="D965" s="16">
        <v>163840</v>
      </c>
      <c r="E965" s="16">
        <v>15225</v>
      </c>
      <c r="F965" s="16">
        <v>148615</v>
      </c>
      <c r="G965" s="16">
        <v>9</v>
      </c>
      <c r="H965" s="16">
        <v>163840</v>
      </c>
      <c r="I965" s="16">
        <v>91</v>
      </c>
      <c r="J965" s="15" t="s">
        <v>1</v>
      </c>
      <c r="K965" s="15" t="s">
        <v>2</v>
      </c>
      <c r="L965" s="8">
        <f>InterspecUsage[[#This Row],[Used-MB]]-F955</f>
        <v>330</v>
      </c>
      <c r="M965">
        <f>InterspecUsage[[#This Row],[Max]]-InterspecUsage[[#This Row],[Used-MB]]</f>
        <v>15225</v>
      </c>
      <c r="N965" s="5">
        <f>IF($L965&gt;0,InterspecUsage[[#This Row],[Free-of-Max]]/InterspecUsage[[#This Row],[Usage-Delta-MB]],InterspecUsage[[#This Row],[Free-of-Max]])</f>
        <v>46.136363636363633</v>
      </c>
    </row>
    <row r="966" spans="1:14" x14ac:dyDescent="0.25">
      <c r="A966" s="3">
        <v>45222</v>
      </c>
      <c r="B966" s="15" t="s">
        <v>7</v>
      </c>
      <c r="C966" s="16">
        <v>95</v>
      </c>
      <c r="D966" s="16">
        <v>1730</v>
      </c>
      <c r="E966" s="16">
        <v>83</v>
      </c>
      <c r="F966" s="16">
        <v>1647</v>
      </c>
      <c r="G966" s="16">
        <v>5</v>
      </c>
      <c r="H966" s="16">
        <v>32768</v>
      </c>
      <c r="I966" s="16">
        <v>5</v>
      </c>
      <c r="J966" s="15" t="s">
        <v>1</v>
      </c>
      <c r="K966" s="15" t="s">
        <v>2</v>
      </c>
      <c r="L966" s="8">
        <f>InterspecUsage[[#This Row],[Used-MB]]-F956</f>
        <v>9</v>
      </c>
      <c r="M966">
        <f>InterspecUsage[[#This Row],[Max]]-InterspecUsage[[#This Row],[Used-MB]]</f>
        <v>31121</v>
      </c>
      <c r="N966" s="5">
        <f>IF($L966&gt;0,InterspecUsage[[#This Row],[Free-of-Max]]/InterspecUsage[[#This Row],[Usage-Delta-MB]],InterspecUsage[[#This Row],[Free-of-Max]])</f>
        <v>3457.8888888888887</v>
      </c>
    </row>
    <row r="967" spans="1:14" x14ac:dyDescent="0.25">
      <c r="A967" s="3">
        <v>45222</v>
      </c>
      <c r="B967" s="15" t="s">
        <v>0</v>
      </c>
      <c r="C967" s="16">
        <v>99</v>
      </c>
      <c r="D967" s="16">
        <v>4260</v>
      </c>
      <c r="E967" s="16">
        <v>35</v>
      </c>
      <c r="F967" s="16">
        <v>4225</v>
      </c>
      <c r="G967" s="16">
        <v>1</v>
      </c>
      <c r="H967" s="16">
        <v>32768</v>
      </c>
      <c r="I967" s="16">
        <v>13</v>
      </c>
      <c r="J967" s="15" t="s">
        <v>1</v>
      </c>
      <c r="K967" s="15" t="s">
        <v>2</v>
      </c>
      <c r="L967" s="8">
        <f>InterspecUsage[[#This Row],[Used-MB]]-F957</f>
        <v>0</v>
      </c>
      <c r="M967">
        <f>InterspecUsage[[#This Row],[Max]]-InterspecUsage[[#This Row],[Used-MB]]</f>
        <v>28543</v>
      </c>
      <c r="N967" s="5">
        <f>IF($L967&gt;0,InterspecUsage[[#This Row],[Free-of-Max]]/InterspecUsage[[#This Row],[Usage-Delta-MB]],InterspecUsage[[#This Row],[Free-of-Max]])</f>
        <v>28543</v>
      </c>
    </row>
    <row r="968" spans="1:14" x14ac:dyDescent="0.25">
      <c r="A968" s="3">
        <v>45222</v>
      </c>
      <c r="B968" s="15" t="s">
        <v>30</v>
      </c>
      <c r="C968" s="16">
        <v>0</v>
      </c>
      <c r="D968" s="16">
        <v>32767</v>
      </c>
      <c r="E968" s="16">
        <v>32749</v>
      </c>
      <c r="F968" s="16">
        <v>18</v>
      </c>
      <c r="G968" s="16">
        <v>100</v>
      </c>
      <c r="H968" s="16">
        <v>32768</v>
      </c>
      <c r="I968" s="16">
        <v>0</v>
      </c>
      <c r="J968" s="15" t="s">
        <v>1</v>
      </c>
      <c r="K968" s="15" t="s">
        <v>13</v>
      </c>
      <c r="L968" s="8">
        <f>InterspecUsage[[#This Row],[Used-MB]]-F958</f>
        <v>1</v>
      </c>
      <c r="M968">
        <f>InterspecUsage[[#This Row],[Max]]-InterspecUsage[[#This Row],[Used-MB]]</f>
        <v>32750</v>
      </c>
      <c r="N968" s="5">
        <f>IF($L968&gt;0,InterspecUsage[[#This Row],[Free-of-Max]]/InterspecUsage[[#This Row],[Usage-Delta-MB]],InterspecUsage[[#This Row],[Free-of-Max]])</f>
        <v>32750</v>
      </c>
    </row>
    <row r="969" spans="1:14" x14ac:dyDescent="0.25">
      <c r="A969" s="3">
        <v>45222</v>
      </c>
      <c r="B969" s="15" t="s">
        <v>28</v>
      </c>
      <c r="C969" s="16">
        <v>3</v>
      </c>
      <c r="D969" s="16">
        <v>23320</v>
      </c>
      <c r="E969" s="16">
        <v>22536</v>
      </c>
      <c r="F969" s="16">
        <v>784</v>
      </c>
      <c r="G969" s="16">
        <v>97</v>
      </c>
      <c r="H969" s="16">
        <v>32768</v>
      </c>
      <c r="I969" s="16">
        <v>2</v>
      </c>
      <c r="J969" s="15" t="s">
        <v>1</v>
      </c>
      <c r="K969" s="15" t="s">
        <v>10</v>
      </c>
      <c r="L969" s="8">
        <f>InterspecUsage[[#This Row],[Used-MB]]-F959</f>
        <v>-72</v>
      </c>
      <c r="M969">
        <f>InterspecUsage[[#This Row],[Max]]-InterspecUsage[[#This Row],[Used-MB]]</f>
        <v>31984</v>
      </c>
      <c r="N969" s="5">
        <f>IF($L969&gt;0,InterspecUsage[[#This Row],[Free-of-Max]]/InterspecUsage[[#This Row],[Usage-Delta-MB]],InterspecUsage[[#This Row],[Free-of-Max]])</f>
        <v>31984</v>
      </c>
    </row>
    <row r="970" spans="1:14" x14ac:dyDescent="0.25">
      <c r="A970" s="3">
        <v>45222</v>
      </c>
      <c r="B970" s="15" t="s">
        <v>25</v>
      </c>
      <c r="C970" s="16">
        <v>73</v>
      </c>
      <c r="D970" s="16">
        <v>12700</v>
      </c>
      <c r="E970" s="16">
        <v>3371</v>
      </c>
      <c r="F970" s="16">
        <v>9329</v>
      </c>
      <c r="G970" s="16">
        <v>27</v>
      </c>
      <c r="H970" s="16">
        <v>32768</v>
      </c>
      <c r="I970" s="16">
        <v>28</v>
      </c>
      <c r="J970" s="15" t="s">
        <v>1</v>
      </c>
      <c r="K970" s="15" t="s">
        <v>2</v>
      </c>
      <c r="L970" s="8">
        <f>InterspecUsage[[#This Row],[Used-MB]]-F960</f>
        <v>19</v>
      </c>
      <c r="M970">
        <f>InterspecUsage[[#This Row],[Max]]-InterspecUsage[[#This Row],[Used-MB]]</f>
        <v>23439</v>
      </c>
      <c r="N970" s="5">
        <f>IF($L970&gt;0,InterspecUsage[[#This Row],[Free-of-Max]]/InterspecUsage[[#This Row],[Usage-Delta-MB]],InterspecUsage[[#This Row],[Free-of-Max]])</f>
        <v>1233.6315789473683</v>
      </c>
    </row>
    <row r="971" spans="1:14" x14ac:dyDescent="0.25">
      <c r="A971" s="3">
        <v>45222</v>
      </c>
      <c r="B971" s="15" t="s">
        <v>29</v>
      </c>
      <c r="C971" s="16">
        <v>0</v>
      </c>
      <c r="D971" s="16">
        <v>500</v>
      </c>
      <c r="E971" s="16">
        <v>499</v>
      </c>
      <c r="F971" s="16">
        <v>1</v>
      </c>
      <c r="G971" s="16">
        <v>100</v>
      </c>
      <c r="H971" s="16">
        <v>500</v>
      </c>
      <c r="I971" s="16">
        <v>0</v>
      </c>
      <c r="J971" s="15" t="s">
        <v>1</v>
      </c>
      <c r="K971" s="15" t="s">
        <v>2</v>
      </c>
      <c r="L971" s="8">
        <f>InterspecUsage[[#This Row],[Used-MB]]-F961</f>
        <v>0</v>
      </c>
      <c r="M971">
        <f>InterspecUsage[[#This Row],[Max]]-InterspecUsage[[#This Row],[Used-MB]]</f>
        <v>499</v>
      </c>
      <c r="N971" s="5">
        <f>IF($L971&gt;0,InterspecUsage[[#This Row],[Free-of-Max]]/InterspecUsage[[#This Row],[Usage-Delta-MB]],InterspecUsage[[#This Row],[Free-of-Max]])</f>
        <v>499</v>
      </c>
    </row>
    <row r="972" spans="1:14" x14ac:dyDescent="0.25">
      <c r="A972" s="3">
        <v>45229</v>
      </c>
      <c r="B972" s="15" t="s">
        <v>26</v>
      </c>
      <c r="C972" s="16">
        <v>94</v>
      </c>
      <c r="D972" s="16">
        <v>22788</v>
      </c>
      <c r="E972" s="16">
        <v>1255</v>
      </c>
      <c r="F972" s="16">
        <v>21533</v>
      </c>
      <c r="G972" s="16">
        <v>6</v>
      </c>
      <c r="H972" s="16">
        <v>40960</v>
      </c>
      <c r="I972" s="16">
        <v>53</v>
      </c>
      <c r="J972" s="15" t="s">
        <v>1</v>
      </c>
      <c r="K972" s="15" t="s">
        <v>2</v>
      </c>
      <c r="L972" s="8">
        <f>InterspecUsage[[#This Row],[Used-MB]]-F962</f>
        <v>0</v>
      </c>
      <c r="M972">
        <f>InterspecUsage[[#This Row],[Max]]-InterspecUsage[[#This Row],[Used-MB]]</f>
        <v>19427</v>
      </c>
      <c r="N972" s="5">
        <f>IF($L972&gt;0,InterspecUsage[[#This Row],[Free-of-Max]]/InterspecUsage[[#This Row],[Usage-Delta-MB]],InterspecUsage[[#This Row],[Free-of-Max]])</f>
        <v>19427</v>
      </c>
    </row>
    <row r="973" spans="1:14" x14ac:dyDescent="0.25">
      <c r="A973" s="3">
        <v>45229</v>
      </c>
      <c r="B973" s="15" t="s">
        <v>24</v>
      </c>
      <c r="C973" s="16">
        <v>95</v>
      </c>
      <c r="D973" s="16">
        <v>54868</v>
      </c>
      <c r="E973" s="16">
        <v>2519</v>
      </c>
      <c r="F973" s="16">
        <v>52349</v>
      </c>
      <c r="G973" s="16">
        <v>5</v>
      </c>
      <c r="H973" s="16">
        <v>65536</v>
      </c>
      <c r="I973" s="16">
        <v>80</v>
      </c>
      <c r="J973" s="15" t="s">
        <v>1</v>
      </c>
      <c r="K973" s="15" t="s">
        <v>2</v>
      </c>
      <c r="L973" s="8">
        <f>InterspecUsage[[#This Row],[Used-MB]]-F963</f>
        <v>105</v>
      </c>
      <c r="M973">
        <f>InterspecUsage[[#This Row],[Max]]-InterspecUsage[[#This Row],[Used-MB]]</f>
        <v>13187</v>
      </c>
      <c r="N973" s="5">
        <f>IF($L973&gt;0,InterspecUsage[[#This Row],[Free-of-Max]]/InterspecUsage[[#This Row],[Usage-Delta-MB]],InterspecUsage[[#This Row],[Free-of-Max]])</f>
        <v>125.5904761904762</v>
      </c>
    </row>
    <row r="974" spans="1:14" x14ac:dyDescent="0.25">
      <c r="A974" s="3">
        <v>45229</v>
      </c>
      <c r="B974" s="15" t="s">
        <v>35</v>
      </c>
      <c r="C974" s="16">
        <v>96</v>
      </c>
      <c r="D974" s="16">
        <v>28600</v>
      </c>
      <c r="E974" s="16">
        <v>1267</v>
      </c>
      <c r="F974" s="16">
        <v>27333</v>
      </c>
      <c r="G974" s="16">
        <v>4</v>
      </c>
      <c r="H974" s="16">
        <v>32768</v>
      </c>
      <c r="I974" s="16">
        <v>83</v>
      </c>
      <c r="J974" s="15" t="s">
        <v>1</v>
      </c>
      <c r="K974" s="15" t="s">
        <v>2</v>
      </c>
      <c r="L974" s="8">
        <f>InterspecUsage[[#This Row],[Used-MB]]-F964</f>
        <v>64</v>
      </c>
      <c r="M974">
        <f>InterspecUsage[[#This Row],[Max]]-InterspecUsage[[#This Row],[Used-MB]]</f>
        <v>5435</v>
      </c>
      <c r="N974" s="5">
        <f>IF($L974&gt;0,InterspecUsage[[#This Row],[Free-of-Max]]/InterspecUsage[[#This Row],[Usage-Delta-MB]],InterspecUsage[[#This Row],[Free-of-Max]])</f>
        <v>84.921875</v>
      </c>
    </row>
    <row r="975" spans="1:14" x14ac:dyDescent="0.25">
      <c r="A975" s="3">
        <v>45229</v>
      </c>
      <c r="B975" s="15" t="s">
        <v>27</v>
      </c>
      <c r="C975" s="16">
        <v>91</v>
      </c>
      <c r="D975" s="16">
        <v>163840</v>
      </c>
      <c r="E975" s="16">
        <v>14829</v>
      </c>
      <c r="F975" s="16">
        <v>149011</v>
      </c>
      <c r="G975" s="16">
        <v>9</v>
      </c>
      <c r="H975" s="16">
        <v>163840</v>
      </c>
      <c r="I975" s="16">
        <v>91</v>
      </c>
      <c r="J975" s="15" t="s">
        <v>1</v>
      </c>
      <c r="K975" s="15" t="s">
        <v>2</v>
      </c>
      <c r="L975" s="8">
        <f>InterspecUsage[[#This Row],[Used-MB]]-F965</f>
        <v>396</v>
      </c>
      <c r="M975">
        <f>InterspecUsage[[#This Row],[Max]]-InterspecUsage[[#This Row],[Used-MB]]</f>
        <v>14829</v>
      </c>
      <c r="N975" s="5">
        <f>IF($L975&gt;0,InterspecUsage[[#This Row],[Free-of-Max]]/InterspecUsage[[#This Row],[Usage-Delta-MB]],InterspecUsage[[#This Row],[Free-of-Max]])</f>
        <v>37.446969696969695</v>
      </c>
    </row>
    <row r="976" spans="1:14" x14ac:dyDescent="0.25">
      <c r="A976" s="3">
        <v>45229</v>
      </c>
      <c r="B976" s="15" t="s">
        <v>7</v>
      </c>
      <c r="C976" s="16">
        <v>95</v>
      </c>
      <c r="D976" s="16">
        <v>1730</v>
      </c>
      <c r="E976" s="16">
        <v>83</v>
      </c>
      <c r="F976" s="16">
        <v>1648</v>
      </c>
      <c r="G976" s="16">
        <v>5</v>
      </c>
      <c r="H976" s="16">
        <v>32768</v>
      </c>
      <c r="I976" s="16">
        <v>5</v>
      </c>
      <c r="J976" s="15" t="s">
        <v>1</v>
      </c>
      <c r="K976" s="15" t="s">
        <v>2</v>
      </c>
      <c r="L976" s="8">
        <f>InterspecUsage[[#This Row],[Used-MB]]-F966</f>
        <v>1</v>
      </c>
      <c r="M976">
        <f>InterspecUsage[[#This Row],[Max]]-InterspecUsage[[#This Row],[Used-MB]]</f>
        <v>31120</v>
      </c>
      <c r="N976" s="5">
        <f>IF($L976&gt;0,InterspecUsage[[#This Row],[Free-of-Max]]/InterspecUsage[[#This Row],[Usage-Delta-MB]],InterspecUsage[[#This Row],[Free-of-Max]])</f>
        <v>31120</v>
      </c>
    </row>
    <row r="977" spans="1:14" x14ac:dyDescent="0.25">
      <c r="A977" s="3">
        <v>45229</v>
      </c>
      <c r="B977" s="15" t="s">
        <v>0</v>
      </c>
      <c r="C977" s="16">
        <v>99</v>
      </c>
      <c r="D977" s="16">
        <v>4260</v>
      </c>
      <c r="E977" s="16">
        <v>35</v>
      </c>
      <c r="F977" s="16">
        <v>4225</v>
      </c>
      <c r="G977" s="16">
        <v>1</v>
      </c>
      <c r="H977" s="16">
        <v>32768</v>
      </c>
      <c r="I977" s="16">
        <v>13</v>
      </c>
      <c r="J977" s="15" t="s">
        <v>1</v>
      </c>
      <c r="K977" s="15" t="s">
        <v>2</v>
      </c>
      <c r="L977" s="8">
        <f>InterspecUsage[[#This Row],[Used-MB]]-F967</f>
        <v>0</v>
      </c>
      <c r="M977">
        <f>InterspecUsage[[#This Row],[Max]]-InterspecUsage[[#This Row],[Used-MB]]</f>
        <v>28543</v>
      </c>
      <c r="N977" s="5">
        <f>IF($L977&gt;0,InterspecUsage[[#This Row],[Free-of-Max]]/InterspecUsage[[#This Row],[Usage-Delta-MB]],InterspecUsage[[#This Row],[Free-of-Max]])</f>
        <v>28543</v>
      </c>
    </row>
    <row r="978" spans="1:14" x14ac:dyDescent="0.25">
      <c r="A978" s="3">
        <v>45229</v>
      </c>
      <c r="B978" s="15" t="s">
        <v>30</v>
      </c>
      <c r="C978" s="16">
        <v>0</v>
      </c>
      <c r="D978" s="16">
        <v>32767</v>
      </c>
      <c r="E978" s="16">
        <v>32754</v>
      </c>
      <c r="F978" s="16">
        <v>13</v>
      </c>
      <c r="G978" s="16">
        <v>100</v>
      </c>
      <c r="H978" s="16">
        <v>32768</v>
      </c>
      <c r="I978" s="16">
        <v>0</v>
      </c>
      <c r="J978" s="15" t="s">
        <v>1</v>
      </c>
      <c r="K978" s="15" t="s">
        <v>13</v>
      </c>
      <c r="L978" s="8">
        <f>InterspecUsage[[#This Row],[Used-MB]]-F968</f>
        <v>-5</v>
      </c>
      <c r="M978">
        <f>InterspecUsage[[#This Row],[Max]]-InterspecUsage[[#This Row],[Used-MB]]</f>
        <v>32755</v>
      </c>
      <c r="N978" s="5">
        <f>IF($L978&gt;0,InterspecUsage[[#This Row],[Free-of-Max]]/InterspecUsage[[#This Row],[Usage-Delta-MB]],InterspecUsage[[#This Row],[Free-of-Max]])</f>
        <v>32755</v>
      </c>
    </row>
    <row r="979" spans="1:14" x14ac:dyDescent="0.25">
      <c r="A979" s="3">
        <v>45229</v>
      </c>
      <c r="B979" s="15" t="s">
        <v>28</v>
      </c>
      <c r="C979" s="16">
        <v>4</v>
      </c>
      <c r="D979" s="16">
        <v>23320</v>
      </c>
      <c r="E979" s="16">
        <v>22467</v>
      </c>
      <c r="F979" s="16">
        <v>854</v>
      </c>
      <c r="G979" s="16">
        <v>96</v>
      </c>
      <c r="H979" s="16">
        <v>32768</v>
      </c>
      <c r="I979" s="16">
        <v>3</v>
      </c>
      <c r="J979" s="15" t="s">
        <v>1</v>
      </c>
      <c r="K979" s="15" t="s">
        <v>10</v>
      </c>
      <c r="L979" s="8">
        <f>InterspecUsage[[#This Row],[Used-MB]]-F969</f>
        <v>70</v>
      </c>
      <c r="M979">
        <f>InterspecUsage[[#This Row],[Max]]-InterspecUsage[[#This Row],[Used-MB]]</f>
        <v>31914</v>
      </c>
      <c r="N979" s="5">
        <f>IF($L979&gt;0,InterspecUsage[[#This Row],[Free-of-Max]]/InterspecUsage[[#This Row],[Usage-Delta-MB]],InterspecUsage[[#This Row],[Free-of-Max]])</f>
        <v>455.91428571428571</v>
      </c>
    </row>
    <row r="980" spans="1:14" x14ac:dyDescent="0.25">
      <c r="A980" s="3">
        <v>45229</v>
      </c>
      <c r="B980" s="15" t="s">
        <v>25</v>
      </c>
      <c r="C980" s="16">
        <v>74</v>
      </c>
      <c r="D980" s="16">
        <v>12700</v>
      </c>
      <c r="E980" s="16">
        <v>3354</v>
      </c>
      <c r="F980" s="16">
        <v>9346</v>
      </c>
      <c r="G980" s="16">
        <v>26</v>
      </c>
      <c r="H980" s="16">
        <v>32768</v>
      </c>
      <c r="I980" s="16">
        <v>29</v>
      </c>
      <c r="J980" s="15" t="s">
        <v>1</v>
      </c>
      <c r="K980" s="15" t="s">
        <v>2</v>
      </c>
      <c r="L980" s="8">
        <f>InterspecUsage[[#This Row],[Used-MB]]-F970</f>
        <v>17</v>
      </c>
      <c r="M980">
        <f>InterspecUsage[[#This Row],[Max]]-InterspecUsage[[#This Row],[Used-MB]]</f>
        <v>23422</v>
      </c>
      <c r="N980" s="5">
        <f>IF($L980&gt;0,InterspecUsage[[#This Row],[Free-of-Max]]/InterspecUsage[[#This Row],[Usage-Delta-MB]],InterspecUsage[[#This Row],[Free-of-Max]])</f>
        <v>1377.7647058823529</v>
      </c>
    </row>
    <row r="981" spans="1:14" x14ac:dyDescent="0.25">
      <c r="A981" s="3">
        <v>45229</v>
      </c>
      <c r="B981" s="15" t="s">
        <v>29</v>
      </c>
      <c r="C981" s="16">
        <v>0</v>
      </c>
      <c r="D981" s="16">
        <v>500</v>
      </c>
      <c r="E981" s="16">
        <v>499</v>
      </c>
      <c r="F981" s="16">
        <v>1</v>
      </c>
      <c r="G981" s="16">
        <v>100</v>
      </c>
      <c r="H981" s="16">
        <v>500</v>
      </c>
      <c r="I981" s="16">
        <v>0</v>
      </c>
      <c r="J981" s="15" t="s">
        <v>1</v>
      </c>
      <c r="K981" s="15" t="s">
        <v>2</v>
      </c>
      <c r="L981" s="8">
        <f>InterspecUsage[[#This Row],[Used-MB]]-F971</f>
        <v>0</v>
      </c>
      <c r="M981">
        <f>InterspecUsage[[#This Row],[Max]]-InterspecUsage[[#This Row],[Used-MB]]</f>
        <v>499</v>
      </c>
      <c r="N981" s="5">
        <f>IF($L981&gt;0,InterspecUsage[[#This Row],[Free-of-Max]]/InterspecUsage[[#This Row],[Usage-Delta-MB]],InterspecUsage[[#This Row],[Free-of-Max]])</f>
        <v>499</v>
      </c>
    </row>
    <row r="982" spans="1:14" x14ac:dyDescent="0.25">
      <c r="A982" s="3">
        <v>45236</v>
      </c>
      <c r="B982" s="15" t="s">
        <v>26</v>
      </c>
      <c r="C982" s="16">
        <v>94</v>
      </c>
      <c r="D982" s="16">
        <v>22788</v>
      </c>
      <c r="E982" s="16">
        <v>1255</v>
      </c>
      <c r="F982" s="16">
        <v>21533</v>
      </c>
      <c r="G982" s="16">
        <v>6</v>
      </c>
      <c r="H982" s="16">
        <v>40960</v>
      </c>
      <c r="I982" s="16">
        <v>53</v>
      </c>
      <c r="J982" s="15" t="s">
        <v>1</v>
      </c>
      <c r="K982" s="15" t="s">
        <v>2</v>
      </c>
      <c r="L982" s="8">
        <f>InterspecUsage[[#This Row],[Used-MB]]-F972</f>
        <v>0</v>
      </c>
      <c r="M982">
        <f>InterspecUsage[[#This Row],[Max]]-InterspecUsage[[#This Row],[Used-MB]]</f>
        <v>19427</v>
      </c>
      <c r="N982" s="5">
        <f>IF($L982&gt;0,InterspecUsage[[#This Row],[Free-of-Max]]/InterspecUsage[[#This Row],[Usage-Delta-MB]],InterspecUsage[[#This Row],[Free-of-Max]])</f>
        <v>19427</v>
      </c>
    </row>
    <row r="983" spans="1:14" x14ac:dyDescent="0.25">
      <c r="A983" s="3">
        <v>45236</v>
      </c>
      <c r="B983" s="15" t="s">
        <v>24</v>
      </c>
      <c r="C983" s="16">
        <v>96</v>
      </c>
      <c r="D983" s="16">
        <v>54868</v>
      </c>
      <c r="E983" s="16">
        <v>2276</v>
      </c>
      <c r="F983" s="16">
        <v>52592</v>
      </c>
      <c r="G983" s="16">
        <v>4</v>
      </c>
      <c r="H983" s="16">
        <v>65536</v>
      </c>
      <c r="I983" s="16">
        <v>80</v>
      </c>
      <c r="J983" s="15" t="s">
        <v>1</v>
      </c>
      <c r="K983" s="15" t="s">
        <v>2</v>
      </c>
      <c r="L983" s="8">
        <f>InterspecUsage[[#This Row],[Used-MB]]-F973</f>
        <v>243</v>
      </c>
      <c r="M983">
        <f>InterspecUsage[[#This Row],[Max]]-InterspecUsage[[#This Row],[Used-MB]]</f>
        <v>12944</v>
      </c>
      <c r="N983" s="5">
        <f>IF($L983&gt;0,InterspecUsage[[#This Row],[Free-of-Max]]/InterspecUsage[[#This Row],[Usage-Delta-MB]],InterspecUsage[[#This Row],[Free-of-Max]])</f>
        <v>53.267489711934154</v>
      </c>
    </row>
    <row r="984" spans="1:14" x14ac:dyDescent="0.25">
      <c r="A984" s="3">
        <v>45236</v>
      </c>
      <c r="B984" s="15" t="s">
        <v>35</v>
      </c>
      <c r="C984" s="16">
        <v>96</v>
      </c>
      <c r="D984" s="16">
        <v>28600</v>
      </c>
      <c r="E984" s="16">
        <v>1203</v>
      </c>
      <c r="F984" s="16">
        <v>27397</v>
      </c>
      <c r="G984" s="16">
        <v>4</v>
      </c>
      <c r="H984" s="16">
        <v>32768</v>
      </c>
      <c r="I984" s="16">
        <v>84</v>
      </c>
      <c r="J984" s="15" t="s">
        <v>1</v>
      </c>
      <c r="K984" s="15" t="s">
        <v>2</v>
      </c>
      <c r="L984" s="8">
        <f>InterspecUsage[[#This Row],[Used-MB]]-F974</f>
        <v>64</v>
      </c>
      <c r="M984">
        <f>InterspecUsage[[#This Row],[Max]]-InterspecUsage[[#This Row],[Used-MB]]</f>
        <v>5371</v>
      </c>
      <c r="N984" s="5">
        <f>IF($L984&gt;0,InterspecUsage[[#This Row],[Free-of-Max]]/InterspecUsage[[#This Row],[Usage-Delta-MB]],InterspecUsage[[#This Row],[Free-of-Max]])</f>
        <v>83.921875</v>
      </c>
    </row>
    <row r="985" spans="1:14" x14ac:dyDescent="0.25">
      <c r="A985" s="3">
        <v>45236</v>
      </c>
      <c r="B985" s="15" t="s">
        <v>27</v>
      </c>
      <c r="C985" s="16">
        <v>91</v>
      </c>
      <c r="D985" s="16">
        <v>163840</v>
      </c>
      <c r="E985" s="16">
        <v>14378</v>
      </c>
      <c r="F985" s="16">
        <v>149462</v>
      </c>
      <c r="G985" s="16">
        <v>9</v>
      </c>
      <c r="H985" s="16">
        <v>163840</v>
      </c>
      <c r="I985" s="16">
        <v>91</v>
      </c>
      <c r="J985" s="15" t="s">
        <v>1</v>
      </c>
      <c r="K985" s="15" t="s">
        <v>2</v>
      </c>
      <c r="L985" s="8">
        <f>InterspecUsage[[#This Row],[Used-MB]]-F975</f>
        <v>451</v>
      </c>
      <c r="M985">
        <f>InterspecUsage[[#This Row],[Max]]-InterspecUsage[[#This Row],[Used-MB]]</f>
        <v>14378</v>
      </c>
      <c r="N985" s="5">
        <f>IF($L985&gt;0,InterspecUsage[[#This Row],[Free-of-Max]]/InterspecUsage[[#This Row],[Usage-Delta-MB]],InterspecUsage[[#This Row],[Free-of-Max]])</f>
        <v>31.880266075388025</v>
      </c>
    </row>
    <row r="986" spans="1:14" x14ac:dyDescent="0.25">
      <c r="A986" s="3">
        <v>45236</v>
      </c>
      <c r="B986" s="15" t="s">
        <v>7</v>
      </c>
      <c r="C986" s="16">
        <v>96</v>
      </c>
      <c r="D986" s="16">
        <v>1740</v>
      </c>
      <c r="E986" s="16">
        <v>77</v>
      </c>
      <c r="F986" s="16">
        <v>1663</v>
      </c>
      <c r="G986" s="16">
        <v>4</v>
      </c>
      <c r="H986" s="16">
        <v>32768</v>
      </c>
      <c r="I986" s="16">
        <v>5</v>
      </c>
      <c r="J986" s="15" t="s">
        <v>1</v>
      </c>
      <c r="K986" s="15" t="s">
        <v>2</v>
      </c>
      <c r="L986" s="8">
        <f>InterspecUsage[[#This Row],[Used-MB]]-F976</f>
        <v>15</v>
      </c>
      <c r="M986">
        <f>InterspecUsage[[#This Row],[Max]]-InterspecUsage[[#This Row],[Used-MB]]</f>
        <v>31105</v>
      </c>
      <c r="N986" s="5">
        <f>IF($L986&gt;0,InterspecUsage[[#This Row],[Free-of-Max]]/InterspecUsage[[#This Row],[Usage-Delta-MB]],InterspecUsage[[#This Row],[Free-of-Max]])</f>
        <v>2073.6666666666665</v>
      </c>
    </row>
    <row r="987" spans="1:14" x14ac:dyDescent="0.25">
      <c r="A987" s="3">
        <v>45236</v>
      </c>
      <c r="B987" s="15" t="s">
        <v>0</v>
      </c>
      <c r="C987" s="16">
        <v>99</v>
      </c>
      <c r="D987" s="16">
        <v>4260</v>
      </c>
      <c r="E987" s="16">
        <v>35</v>
      </c>
      <c r="F987" s="16">
        <v>4225</v>
      </c>
      <c r="G987" s="16">
        <v>1</v>
      </c>
      <c r="H987" s="16">
        <v>32768</v>
      </c>
      <c r="I987" s="16">
        <v>13</v>
      </c>
      <c r="J987" s="15" t="s">
        <v>1</v>
      </c>
      <c r="K987" s="15" t="s">
        <v>2</v>
      </c>
      <c r="L987" s="8">
        <f>InterspecUsage[[#This Row],[Used-MB]]-F977</f>
        <v>0</v>
      </c>
      <c r="M987">
        <f>InterspecUsage[[#This Row],[Max]]-InterspecUsage[[#This Row],[Used-MB]]</f>
        <v>28543</v>
      </c>
      <c r="N987" s="5">
        <f>IF($L987&gt;0,InterspecUsage[[#This Row],[Free-of-Max]]/InterspecUsage[[#This Row],[Usage-Delta-MB]],InterspecUsage[[#This Row],[Free-of-Max]])</f>
        <v>28543</v>
      </c>
    </row>
    <row r="988" spans="1:14" x14ac:dyDescent="0.25">
      <c r="A988" s="3">
        <v>45236</v>
      </c>
      <c r="B988" s="15" t="s">
        <v>30</v>
      </c>
      <c r="C988" s="16">
        <v>0</v>
      </c>
      <c r="D988" s="16">
        <v>32767</v>
      </c>
      <c r="E988" s="16">
        <v>32756</v>
      </c>
      <c r="F988" s="16">
        <v>11</v>
      </c>
      <c r="G988" s="16">
        <v>100</v>
      </c>
      <c r="H988" s="16">
        <v>32768</v>
      </c>
      <c r="I988" s="16">
        <v>0</v>
      </c>
      <c r="J988" s="15" t="s">
        <v>1</v>
      </c>
      <c r="K988" s="15" t="s">
        <v>13</v>
      </c>
      <c r="L988" s="8">
        <f>InterspecUsage[[#This Row],[Used-MB]]-F978</f>
        <v>-2</v>
      </c>
      <c r="M988">
        <f>InterspecUsage[[#This Row],[Max]]-InterspecUsage[[#This Row],[Used-MB]]</f>
        <v>32757</v>
      </c>
      <c r="N988" s="5">
        <f>IF($L988&gt;0,InterspecUsage[[#This Row],[Free-of-Max]]/InterspecUsage[[#This Row],[Usage-Delta-MB]],InterspecUsage[[#This Row],[Free-of-Max]])</f>
        <v>32757</v>
      </c>
    </row>
    <row r="989" spans="1:14" x14ac:dyDescent="0.25">
      <c r="A989" s="3">
        <v>45236</v>
      </c>
      <c r="B989" s="15" t="s">
        <v>28</v>
      </c>
      <c r="C989" s="16">
        <v>3</v>
      </c>
      <c r="D989" s="16">
        <v>23320</v>
      </c>
      <c r="E989" s="16">
        <v>22539</v>
      </c>
      <c r="F989" s="16">
        <v>781</v>
      </c>
      <c r="G989" s="16">
        <v>97</v>
      </c>
      <c r="H989" s="16">
        <v>32768</v>
      </c>
      <c r="I989" s="16">
        <v>2</v>
      </c>
      <c r="J989" s="15" t="s">
        <v>1</v>
      </c>
      <c r="K989" s="15" t="s">
        <v>10</v>
      </c>
      <c r="L989" s="8">
        <f>InterspecUsage[[#This Row],[Used-MB]]-F979</f>
        <v>-73</v>
      </c>
      <c r="M989">
        <f>InterspecUsage[[#This Row],[Max]]-InterspecUsage[[#This Row],[Used-MB]]</f>
        <v>31987</v>
      </c>
      <c r="N989" s="5">
        <f>IF($L989&gt;0,InterspecUsage[[#This Row],[Free-of-Max]]/InterspecUsage[[#This Row],[Usage-Delta-MB]],InterspecUsage[[#This Row],[Free-of-Max]])</f>
        <v>31987</v>
      </c>
    </row>
    <row r="990" spans="1:14" x14ac:dyDescent="0.25">
      <c r="A990" s="3">
        <v>45236</v>
      </c>
      <c r="B990" s="15" t="s">
        <v>25</v>
      </c>
      <c r="C990" s="16">
        <v>74</v>
      </c>
      <c r="D990" s="16">
        <v>12700</v>
      </c>
      <c r="E990" s="16">
        <v>3337</v>
      </c>
      <c r="F990" s="16">
        <v>9363</v>
      </c>
      <c r="G990" s="16">
        <v>26</v>
      </c>
      <c r="H990" s="16">
        <v>32768</v>
      </c>
      <c r="I990" s="16">
        <v>29</v>
      </c>
      <c r="J990" s="15" t="s">
        <v>1</v>
      </c>
      <c r="K990" s="15" t="s">
        <v>2</v>
      </c>
      <c r="L990" s="8">
        <f>InterspecUsage[[#This Row],[Used-MB]]-F980</f>
        <v>17</v>
      </c>
      <c r="M990">
        <f>InterspecUsage[[#This Row],[Max]]-InterspecUsage[[#This Row],[Used-MB]]</f>
        <v>23405</v>
      </c>
      <c r="N990" s="5">
        <f>IF($L990&gt;0,InterspecUsage[[#This Row],[Free-of-Max]]/InterspecUsage[[#This Row],[Usage-Delta-MB]],InterspecUsage[[#This Row],[Free-of-Max]])</f>
        <v>1376.7647058823529</v>
      </c>
    </row>
    <row r="991" spans="1:14" x14ac:dyDescent="0.25">
      <c r="A991" s="3">
        <v>45236</v>
      </c>
      <c r="B991" s="15" t="s">
        <v>29</v>
      </c>
      <c r="C991" s="16">
        <v>0</v>
      </c>
      <c r="D991" s="16">
        <v>500</v>
      </c>
      <c r="E991" s="16">
        <v>499</v>
      </c>
      <c r="F991" s="16">
        <v>1</v>
      </c>
      <c r="G991" s="16">
        <v>100</v>
      </c>
      <c r="H991" s="16">
        <v>500</v>
      </c>
      <c r="I991" s="16">
        <v>0</v>
      </c>
      <c r="J991" s="15" t="s">
        <v>1</v>
      </c>
      <c r="K991" s="15" t="s">
        <v>2</v>
      </c>
      <c r="L991" s="8">
        <f>InterspecUsage[[#This Row],[Used-MB]]-F981</f>
        <v>0</v>
      </c>
      <c r="M991">
        <f>InterspecUsage[[#This Row],[Max]]-InterspecUsage[[#This Row],[Used-MB]]</f>
        <v>499</v>
      </c>
      <c r="N991" s="5">
        <f>IF($L991&gt;0,InterspecUsage[[#This Row],[Free-of-Max]]/InterspecUsage[[#This Row],[Usage-Delta-MB]],InterspecUsage[[#This Row],[Free-of-Max]])</f>
        <v>499</v>
      </c>
    </row>
    <row r="992" spans="1:14" x14ac:dyDescent="0.25">
      <c r="A992" s="3">
        <v>45243</v>
      </c>
      <c r="B992" s="15" t="s">
        <v>26</v>
      </c>
      <c r="C992" s="16">
        <v>95</v>
      </c>
      <c r="D992" s="16">
        <v>22788</v>
      </c>
      <c r="E992" s="16">
        <v>1190</v>
      </c>
      <c r="F992" s="16">
        <v>21598</v>
      </c>
      <c r="G992" s="16">
        <v>5</v>
      </c>
      <c r="H992" s="16">
        <v>40960</v>
      </c>
      <c r="I992" s="16">
        <v>53</v>
      </c>
      <c r="J992" s="15" t="s">
        <v>1</v>
      </c>
      <c r="K992" s="15" t="s">
        <v>2</v>
      </c>
      <c r="L992" s="8">
        <f>InterspecUsage[[#This Row],[Used-MB]]-F982</f>
        <v>65</v>
      </c>
      <c r="M992">
        <f>InterspecUsage[[#This Row],[Max]]-InterspecUsage[[#This Row],[Used-MB]]</f>
        <v>19362</v>
      </c>
      <c r="N992" s="5">
        <f>IF($L992&gt;0,InterspecUsage[[#This Row],[Free-of-Max]]/InterspecUsage[[#This Row],[Usage-Delta-MB]],InterspecUsage[[#This Row],[Free-of-Max]])</f>
        <v>297.87692307692305</v>
      </c>
    </row>
    <row r="993" spans="1:14" x14ac:dyDescent="0.25">
      <c r="A993" s="3">
        <v>45243</v>
      </c>
      <c r="B993" s="15" t="s">
        <v>24</v>
      </c>
      <c r="C993" s="16">
        <v>96</v>
      </c>
      <c r="D993" s="16">
        <v>54868</v>
      </c>
      <c r="E993" s="16">
        <v>2094</v>
      </c>
      <c r="F993" s="16">
        <v>52774</v>
      </c>
      <c r="G993" s="16">
        <v>4</v>
      </c>
      <c r="H993" s="16">
        <v>65536</v>
      </c>
      <c r="I993" s="16">
        <v>81</v>
      </c>
      <c r="J993" s="15" t="s">
        <v>1</v>
      </c>
      <c r="K993" s="15" t="s">
        <v>2</v>
      </c>
      <c r="L993" s="8">
        <f>InterspecUsage[[#This Row],[Used-MB]]-F983</f>
        <v>182</v>
      </c>
      <c r="M993">
        <f>InterspecUsage[[#This Row],[Max]]-InterspecUsage[[#This Row],[Used-MB]]</f>
        <v>12762</v>
      </c>
      <c r="N993" s="5">
        <f>IF($L993&gt;0,InterspecUsage[[#This Row],[Free-of-Max]]/InterspecUsage[[#This Row],[Usage-Delta-MB]],InterspecUsage[[#This Row],[Free-of-Max]])</f>
        <v>70.120879120879124</v>
      </c>
    </row>
    <row r="994" spans="1:14" x14ac:dyDescent="0.25">
      <c r="A994" s="3">
        <v>45243</v>
      </c>
      <c r="B994" s="15" t="s">
        <v>35</v>
      </c>
      <c r="C994" s="16">
        <v>96</v>
      </c>
      <c r="D994" s="16">
        <v>28600</v>
      </c>
      <c r="E994" s="16">
        <v>1139</v>
      </c>
      <c r="F994" s="16">
        <v>27461</v>
      </c>
      <c r="G994" s="16">
        <v>4</v>
      </c>
      <c r="H994" s="16">
        <v>32768</v>
      </c>
      <c r="I994" s="16">
        <v>84</v>
      </c>
      <c r="J994" s="15" t="s">
        <v>1</v>
      </c>
      <c r="K994" s="15" t="s">
        <v>2</v>
      </c>
      <c r="L994" s="8">
        <f>InterspecUsage[[#This Row],[Used-MB]]-F984</f>
        <v>64</v>
      </c>
      <c r="M994">
        <f>InterspecUsage[[#This Row],[Max]]-InterspecUsage[[#This Row],[Used-MB]]</f>
        <v>5307</v>
      </c>
      <c r="N994" s="5">
        <f>IF($L994&gt;0,InterspecUsage[[#This Row],[Free-of-Max]]/InterspecUsage[[#This Row],[Usage-Delta-MB]],InterspecUsage[[#This Row],[Free-of-Max]])</f>
        <v>82.921875</v>
      </c>
    </row>
    <row r="995" spans="1:14" x14ac:dyDescent="0.25">
      <c r="A995" s="3">
        <v>45243</v>
      </c>
      <c r="B995" s="15" t="s">
        <v>27</v>
      </c>
      <c r="C995" s="16">
        <v>91</v>
      </c>
      <c r="D995" s="16">
        <v>163840</v>
      </c>
      <c r="E995" s="16">
        <v>13986</v>
      </c>
      <c r="F995" s="16">
        <v>149854</v>
      </c>
      <c r="G995" s="16">
        <v>9</v>
      </c>
      <c r="H995" s="16">
        <v>163840</v>
      </c>
      <c r="I995" s="16">
        <v>91</v>
      </c>
      <c r="J995" s="15" t="s">
        <v>1</v>
      </c>
      <c r="K995" s="15" t="s">
        <v>2</v>
      </c>
      <c r="L995" s="8">
        <f>InterspecUsage[[#This Row],[Used-MB]]-F985</f>
        <v>392</v>
      </c>
      <c r="M995">
        <f>InterspecUsage[[#This Row],[Max]]-InterspecUsage[[#This Row],[Used-MB]]</f>
        <v>13986</v>
      </c>
      <c r="N995" s="5">
        <f>IF($L995&gt;0,InterspecUsage[[#This Row],[Free-of-Max]]/InterspecUsage[[#This Row],[Usage-Delta-MB]],InterspecUsage[[#This Row],[Free-of-Max]])</f>
        <v>35.678571428571431</v>
      </c>
    </row>
    <row r="996" spans="1:14" x14ac:dyDescent="0.25">
      <c r="A996" s="3">
        <v>45243</v>
      </c>
      <c r="B996" s="15" t="s">
        <v>7</v>
      </c>
      <c r="C996" s="16">
        <v>96</v>
      </c>
      <c r="D996" s="16">
        <v>1750</v>
      </c>
      <c r="E996" s="16">
        <v>77</v>
      </c>
      <c r="F996" s="16">
        <v>1673</v>
      </c>
      <c r="G996" s="16">
        <v>4</v>
      </c>
      <c r="H996" s="16">
        <v>32768</v>
      </c>
      <c r="I996" s="16">
        <v>5</v>
      </c>
      <c r="J996" s="15" t="s">
        <v>1</v>
      </c>
      <c r="K996" s="15" t="s">
        <v>2</v>
      </c>
      <c r="L996" s="8">
        <f>InterspecUsage[[#This Row],[Used-MB]]-F986</f>
        <v>10</v>
      </c>
      <c r="M996">
        <f>InterspecUsage[[#This Row],[Max]]-InterspecUsage[[#This Row],[Used-MB]]</f>
        <v>31095</v>
      </c>
      <c r="N996" s="5">
        <f>IF($L996&gt;0,InterspecUsage[[#This Row],[Free-of-Max]]/InterspecUsage[[#This Row],[Usage-Delta-MB]],InterspecUsage[[#This Row],[Free-of-Max]])</f>
        <v>3109.5</v>
      </c>
    </row>
    <row r="997" spans="1:14" x14ac:dyDescent="0.25">
      <c r="A997" s="3">
        <v>45243</v>
      </c>
      <c r="B997" s="15" t="s">
        <v>0</v>
      </c>
      <c r="C997" s="16">
        <v>99</v>
      </c>
      <c r="D997" s="16">
        <v>4330</v>
      </c>
      <c r="E997" s="16">
        <v>41</v>
      </c>
      <c r="F997" s="16">
        <v>4289</v>
      </c>
      <c r="G997" s="16">
        <v>1</v>
      </c>
      <c r="H997" s="16">
        <v>32768</v>
      </c>
      <c r="I997" s="16">
        <v>13</v>
      </c>
      <c r="J997" s="15" t="s">
        <v>1</v>
      </c>
      <c r="K997" s="15" t="s">
        <v>2</v>
      </c>
      <c r="L997" s="8">
        <f>InterspecUsage[[#This Row],[Used-MB]]-F987</f>
        <v>64</v>
      </c>
      <c r="M997">
        <f>InterspecUsage[[#This Row],[Max]]-InterspecUsage[[#This Row],[Used-MB]]</f>
        <v>28479</v>
      </c>
      <c r="N997" s="5">
        <f>IF($L997&gt;0,InterspecUsage[[#This Row],[Free-of-Max]]/InterspecUsage[[#This Row],[Usage-Delta-MB]],InterspecUsage[[#This Row],[Free-of-Max]])</f>
        <v>444.984375</v>
      </c>
    </row>
    <row r="998" spans="1:14" x14ac:dyDescent="0.25">
      <c r="A998" s="3">
        <v>45243</v>
      </c>
      <c r="B998" s="15" t="s">
        <v>30</v>
      </c>
      <c r="C998" s="16">
        <v>0</v>
      </c>
      <c r="D998" s="16">
        <v>32767</v>
      </c>
      <c r="E998" s="16">
        <v>32735</v>
      </c>
      <c r="F998" s="16">
        <v>32</v>
      </c>
      <c r="G998" s="16">
        <v>100</v>
      </c>
      <c r="H998" s="16">
        <v>32768</v>
      </c>
      <c r="I998" s="16">
        <v>0</v>
      </c>
      <c r="J998" s="15" t="s">
        <v>1</v>
      </c>
      <c r="K998" s="15" t="s">
        <v>13</v>
      </c>
      <c r="L998" s="8">
        <f>InterspecUsage[[#This Row],[Used-MB]]-F988</f>
        <v>21</v>
      </c>
      <c r="M998">
        <f>InterspecUsage[[#This Row],[Max]]-InterspecUsage[[#This Row],[Used-MB]]</f>
        <v>32736</v>
      </c>
      <c r="N998" s="5">
        <f>IF($L998&gt;0,InterspecUsage[[#This Row],[Free-of-Max]]/InterspecUsage[[#This Row],[Usage-Delta-MB]],InterspecUsage[[#This Row],[Free-of-Max]])</f>
        <v>1558.8571428571429</v>
      </c>
    </row>
    <row r="999" spans="1:14" x14ac:dyDescent="0.25">
      <c r="A999" s="3">
        <v>45243</v>
      </c>
      <c r="B999" s="15" t="s">
        <v>28</v>
      </c>
      <c r="C999" s="16">
        <v>4</v>
      </c>
      <c r="D999" s="16">
        <v>23320</v>
      </c>
      <c r="E999" s="16">
        <v>22339</v>
      </c>
      <c r="F999" s="16">
        <v>981</v>
      </c>
      <c r="G999" s="16">
        <v>96</v>
      </c>
      <c r="H999" s="16">
        <v>32768</v>
      </c>
      <c r="I999" s="16">
        <v>3</v>
      </c>
      <c r="J999" s="15" t="s">
        <v>1</v>
      </c>
      <c r="K999" s="15" t="s">
        <v>10</v>
      </c>
      <c r="L999" s="8">
        <f>InterspecUsage[[#This Row],[Used-MB]]-F989</f>
        <v>200</v>
      </c>
      <c r="M999">
        <f>InterspecUsage[[#This Row],[Max]]-InterspecUsage[[#This Row],[Used-MB]]</f>
        <v>31787</v>
      </c>
      <c r="N999" s="5">
        <f>IF($L999&gt;0,InterspecUsage[[#This Row],[Free-of-Max]]/InterspecUsage[[#This Row],[Usage-Delta-MB]],InterspecUsage[[#This Row],[Free-of-Max]])</f>
        <v>158.935</v>
      </c>
    </row>
    <row r="1000" spans="1:14" x14ac:dyDescent="0.25">
      <c r="A1000" s="3">
        <v>45243</v>
      </c>
      <c r="B1000" s="15" t="s">
        <v>25</v>
      </c>
      <c r="C1000" s="16">
        <v>74</v>
      </c>
      <c r="D1000" s="16">
        <v>12700</v>
      </c>
      <c r="E1000" s="16">
        <v>3318</v>
      </c>
      <c r="F1000" s="16">
        <v>9382</v>
      </c>
      <c r="G1000" s="16">
        <v>26</v>
      </c>
      <c r="H1000" s="16">
        <v>32768</v>
      </c>
      <c r="I1000" s="16">
        <v>29</v>
      </c>
      <c r="J1000" s="15" t="s">
        <v>1</v>
      </c>
      <c r="K1000" s="15" t="s">
        <v>2</v>
      </c>
      <c r="L1000" s="8">
        <f>InterspecUsage[[#This Row],[Used-MB]]-F990</f>
        <v>19</v>
      </c>
      <c r="M1000">
        <f>InterspecUsage[[#This Row],[Max]]-InterspecUsage[[#This Row],[Used-MB]]</f>
        <v>23386</v>
      </c>
      <c r="N1000" s="5">
        <f>IF($L1000&gt;0,InterspecUsage[[#This Row],[Free-of-Max]]/InterspecUsage[[#This Row],[Usage-Delta-MB]],InterspecUsage[[#This Row],[Free-of-Max]])</f>
        <v>1230.8421052631579</v>
      </c>
    </row>
    <row r="1001" spans="1:14" x14ac:dyDescent="0.25">
      <c r="A1001" s="3">
        <v>45243</v>
      </c>
      <c r="B1001" s="15" t="s">
        <v>29</v>
      </c>
      <c r="C1001" s="16">
        <v>0</v>
      </c>
      <c r="D1001" s="16">
        <v>500</v>
      </c>
      <c r="E1001" s="16">
        <v>499</v>
      </c>
      <c r="F1001" s="16">
        <v>1</v>
      </c>
      <c r="G1001" s="16">
        <v>100</v>
      </c>
      <c r="H1001" s="16">
        <v>500</v>
      </c>
      <c r="I1001" s="16">
        <v>0</v>
      </c>
      <c r="J1001" s="15" t="s">
        <v>1</v>
      </c>
      <c r="K1001" s="15" t="s">
        <v>2</v>
      </c>
      <c r="L1001" s="8">
        <f>InterspecUsage[[#This Row],[Used-MB]]-F991</f>
        <v>0</v>
      </c>
      <c r="M1001">
        <f>InterspecUsage[[#This Row],[Max]]-InterspecUsage[[#This Row],[Used-MB]]</f>
        <v>499</v>
      </c>
      <c r="N1001" s="5">
        <f>IF($L1001&gt;0,InterspecUsage[[#This Row],[Free-of-Max]]/InterspecUsage[[#This Row],[Usage-Delta-MB]],InterspecUsage[[#This Row],[Free-of-Max]])</f>
        <v>499</v>
      </c>
    </row>
    <row r="1002" spans="1:14" x14ac:dyDescent="0.25">
      <c r="A1002" s="3">
        <v>45250</v>
      </c>
      <c r="B1002" s="15" t="s">
        <v>26</v>
      </c>
      <c r="C1002" s="16">
        <v>95</v>
      </c>
      <c r="D1002" s="16">
        <v>22788</v>
      </c>
      <c r="E1002" s="16">
        <v>1190</v>
      </c>
      <c r="F1002" s="16">
        <v>21598</v>
      </c>
      <c r="G1002" s="16">
        <v>5</v>
      </c>
      <c r="H1002" s="16">
        <v>40960</v>
      </c>
      <c r="I1002" s="16">
        <v>53</v>
      </c>
      <c r="J1002" s="15" t="s">
        <v>1</v>
      </c>
      <c r="K1002" s="15" t="s">
        <v>2</v>
      </c>
      <c r="L1002" s="8">
        <f>InterspecUsage[[#This Row],[Used-MB]]-F992</f>
        <v>0</v>
      </c>
      <c r="M1002">
        <f>InterspecUsage[[#This Row],[Max]]-InterspecUsage[[#This Row],[Used-MB]]</f>
        <v>19362</v>
      </c>
      <c r="N1002" s="5">
        <f>IF($L1002&gt;0,InterspecUsage[[#This Row],[Free-of-Max]]/InterspecUsage[[#This Row],[Usage-Delta-MB]],InterspecUsage[[#This Row],[Free-of-Max]])</f>
        <v>19362</v>
      </c>
    </row>
    <row r="1003" spans="1:14" x14ac:dyDescent="0.25">
      <c r="A1003" s="3">
        <v>45250</v>
      </c>
      <c r="B1003" s="15" t="s">
        <v>24</v>
      </c>
      <c r="C1003" s="16">
        <v>97</v>
      </c>
      <c r="D1003" s="16">
        <v>54868</v>
      </c>
      <c r="E1003" s="16">
        <v>1889</v>
      </c>
      <c r="F1003" s="16">
        <v>52979</v>
      </c>
      <c r="G1003" s="16">
        <v>3</v>
      </c>
      <c r="H1003" s="16">
        <v>65536</v>
      </c>
      <c r="I1003" s="16">
        <v>81</v>
      </c>
      <c r="J1003" s="15" t="s">
        <v>1</v>
      </c>
      <c r="K1003" s="15" t="s">
        <v>2</v>
      </c>
      <c r="L1003" s="8">
        <f>InterspecUsage[[#This Row],[Used-MB]]-F993</f>
        <v>205</v>
      </c>
      <c r="M1003">
        <f>InterspecUsage[[#This Row],[Max]]-InterspecUsage[[#This Row],[Used-MB]]</f>
        <v>12557</v>
      </c>
      <c r="N1003" s="5">
        <f>IF($L1003&gt;0,InterspecUsage[[#This Row],[Free-of-Max]]/InterspecUsage[[#This Row],[Usage-Delta-MB]],InterspecUsage[[#This Row],[Free-of-Max]])</f>
        <v>61.253658536585363</v>
      </c>
    </row>
    <row r="1004" spans="1:14" x14ac:dyDescent="0.25">
      <c r="A1004" s="3">
        <v>45250</v>
      </c>
      <c r="B1004" s="15" t="s">
        <v>35</v>
      </c>
      <c r="C1004" s="16">
        <v>96</v>
      </c>
      <c r="D1004" s="16">
        <v>28600</v>
      </c>
      <c r="E1004" s="16">
        <v>1075</v>
      </c>
      <c r="F1004" s="16">
        <v>27525</v>
      </c>
      <c r="G1004" s="16">
        <v>4</v>
      </c>
      <c r="H1004" s="16">
        <v>32768</v>
      </c>
      <c r="I1004" s="16">
        <v>84</v>
      </c>
      <c r="J1004" s="15" t="s">
        <v>1</v>
      </c>
      <c r="K1004" s="15" t="s">
        <v>2</v>
      </c>
      <c r="L1004" s="8">
        <f>InterspecUsage[[#This Row],[Used-MB]]-F994</f>
        <v>64</v>
      </c>
      <c r="M1004">
        <f>InterspecUsage[[#This Row],[Max]]-InterspecUsage[[#This Row],[Used-MB]]</f>
        <v>5243</v>
      </c>
      <c r="N1004" s="5">
        <f>IF($L1004&gt;0,InterspecUsage[[#This Row],[Free-of-Max]]/InterspecUsage[[#This Row],[Usage-Delta-MB]],InterspecUsage[[#This Row],[Free-of-Max]])</f>
        <v>81.921875</v>
      </c>
    </row>
    <row r="1005" spans="1:14" x14ac:dyDescent="0.25">
      <c r="A1005" s="3">
        <v>45250</v>
      </c>
      <c r="B1005" s="15" t="s">
        <v>27</v>
      </c>
      <c r="C1005" s="16">
        <v>92</v>
      </c>
      <c r="D1005" s="16">
        <v>163840</v>
      </c>
      <c r="E1005" s="16">
        <v>13436</v>
      </c>
      <c r="F1005" s="16">
        <v>150404</v>
      </c>
      <c r="G1005" s="16">
        <v>8</v>
      </c>
      <c r="H1005" s="16">
        <v>163840</v>
      </c>
      <c r="I1005" s="16">
        <v>92</v>
      </c>
      <c r="J1005" s="15" t="s">
        <v>1</v>
      </c>
      <c r="K1005" s="15" t="s">
        <v>2</v>
      </c>
      <c r="L1005" s="8">
        <f>InterspecUsage[[#This Row],[Used-MB]]-F995</f>
        <v>550</v>
      </c>
      <c r="M1005">
        <f>InterspecUsage[[#This Row],[Max]]-InterspecUsage[[#This Row],[Used-MB]]</f>
        <v>13436</v>
      </c>
      <c r="N1005" s="5">
        <f>IF($L1005&gt;0,InterspecUsage[[#This Row],[Free-of-Max]]/InterspecUsage[[#This Row],[Usage-Delta-MB]],InterspecUsage[[#This Row],[Free-of-Max]])</f>
        <v>24.42909090909091</v>
      </c>
    </row>
    <row r="1006" spans="1:14" x14ac:dyDescent="0.25">
      <c r="A1006" s="3">
        <v>45250</v>
      </c>
      <c r="B1006" s="15" t="s">
        <v>7</v>
      </c>
      <c r="C1006" s="16">
        <v>95</v>
      </c>
      <c r="D1006" s="16">
        <v>1760</v>
      </c>
      <c r="E1006" s="16">
        <v>87</v>
      </c>
      <c r="F1006" s="16">
        <v>1673</v>
      </c>
      <c r="G1006" s="16">
        <v>5</v>
      </c>
      <c r="H1006" s="16">
        <v>32768</v>
      </c>
      <c r="I1006" s="16">
        <v>5</v>
      </c>
      <c r="J1006" s="15" t="s">
        <v>1</v>
      </c>
      <c r="K1006" s="15" t="s">
        <v>2</v>
      </c>
      <c r="L1006" s="8">
        <f>InterspecUsage[[#This Row],[Used-MB]]-F996</f>
        <v>0</v>
      </c>
      <c r="M1006">
        <f>InterspecUsage[[#This Row],[Max]]-InterspecUsage[[#This Row],[Used-MB]]</f>
        <v>31095</v>
      </c>
      <c r="N1006" s="5">
        <f>IF($L1006&gt;0,InterspecUsage[[#This Row],[Free-of-Max]]/InterspecUsage[[#This Row],[Usage-Delta-MB]],InterspecUsage[[#This Row],[Free-of-Max]])</f>
        <v>31095</v>
      </c>
    </row>
    <row r="1007" spans="1:14" x14ac:dyDescent="0.25">
      <c r="A1007" s="3">
        <v>45250</v>
      </c>
      <c r="B1007" s="15" t="s">
        <v>0</v>
      </c>
      <c r="C1007" s="16">
        <v>99</v>
      </c>
      <c r="D1007" s="16">
        <v>4330</v>
      </c>
      <c r="E1007" s="16">
        <v>41</v>
      </c>
      <c r="F1007" s="16">
        <v>4289</v>
      </c>
      <c r="G1007" s="16">
        <v>1</v>
      </c>
      <c r="H1007" s="16">
        <v>32768</v>
      </c>
      <c r="I1007" s="16">
        <v>13</v>
      </c>
      <c r="J1007" s="15" t="s">
        <v>1</v>
      </c>
      <c r="K1007" s="15" t="s">
        <v>2</v>
      </c>
      <c r="L1007" s="8">
        <f>InterspecUsage[[#This Row],[Used-MB]]-F997</f>
        <v>0</v>
      </c>
      <c r="M1007">
        <f>InterspecUsage[[#This Row],[Max]]-InterspecUsage[[#This Row],[Used-MB]]</f>
        <v>28479</v>
      </c>
      <c r="N1007" s="5">
        <f>IF($L1007&gt;0,InterspecUsage[[#This Row],[Free-of-Max]]/InterspecUsage[[#This Row],[Usage-Delta-MB]],InterspecUsage[[#This Row],[Free-of-Max]])</f>
        <v>28479</v>
      </c>
    </row>
    <row r="1008" spans="1:14" x14ac:dyDescent="0.25">
      <c r="A1008" s="3">
        <v>45250</v>
      </c>
      <c r="B1008" s="15" t="s">
        <v>30</v>
      </c>
      <c r="C1008" s="16">
        <v>0</v>
      </c>
      <c r="D1008" s="16">
        <v>32767</v>
      </c>
      <c r="E1008" s="16">
        <v>32745</v>
      </c>
      <c r="F1008" s="16">
        <v>22</v>
      </c>
      <c r="G1008" s="16">
        <v>100</v>
      </c>
      <c r="H1008" s="16">
        <v>32768</v>
      </c>
      <c r="I1008" s="16">
        <v>0</v>
      </c>
      <c r="J1008" s="15" t="s">
        <v>1</v>
      </c>
      <c r="K1008" s="15" t="s">
        <v>13</v>
      </c>
      <c r="L1008" s="8">
        <f>InterspecUsage[[#This Row],[Used-MB]]-F998</f>
        <v>-10</v>
      </c>
      <c r="M1008">
        <f>InterspecUsage[[#This Row],[Max]]-InterspecUsage[[#This Row],[Used-MB]]</f>
        <v>32746</v>
      </c>
      <c r="N1008" s="5">
        <f>IF($L1008&gt;0,InterspecUsage[[#This Row],[Free-of-Max]]/InterspecUsage[[#This Row],[Usage-Delta-MB]],InterspecUsage[[#This Row],[Free-of-Max]])</f>
        <v>32746</v>
      </c>
    </row>
    <row r="1009" spans="1:14" x14ac:dyDescent="0.25">
      <c r="A1009" s="3">
        <v>45250</v>
      </c>
      <c r="B1009" s="15" t="s">
        <v>28</v>
      </c>
      <c r="C1009" s="16">
        <v>9</v>
      </c>
      <c r="D1009" s="16">
        <v>23320</v>
      </c>
      <c r="E1009" s="16">
        <v>21216</v>
      </c>
      <c r="F1009" s="16">
        <v>2104</v>
      </c>
      <c r="G1009" s="16">
        <v>91</v>
      </c>
      <c r="H1009" s="16">
        <v>32768</v>
      </c>
      <c r="I1009" s="16">
        <v>6</v>
      </c>
      <c r="J1009" s="15" t="s">
        <v>1</v>
      </c>
      <c r="K1009" s="15" t="s">
        <v>10</v>
      </c>
      <c r="L1009" s="8">
        <f>InterspecUsage[[#This Row],[Used-MB]]-F999</f>
        <v>1123</v>
      </c>
      <c r="M1009">
        <f>InterspecUsage[[#This Row],[Max]]-InterspecUsage[[#This Row],[Used-MB]]</f>
        <v>30664</v>
      </c>
      <c r="N1009" s="5">
        <f>IF($L1009&gt;0,InterspecUsage[[#This Row],[Free-of-Max]]/InterspecUsage[[#This Row],[Usage-Delta-MB]],InterspecUsage[[#This Row],[Free-of-Max]])</f>
        <v>27.305431878895813</v>
      </c>
    </row>
    <row r="1010" spans="1:14" x14ac:dyDescent="0.25">
      <c r="A1010" s="3">
        <v>45250</v>
      </c>
      <c r="B1010" s="15" t="s">
        <v>25</v>
      </c>
      <c r="C1010" s="16">
        <v>74</v>
      </c>
      <c r="D1010" s="16">
        <v>12700</v>
      </c>
      <c r="E1010" s="16">
        <v>3302</v>
      </c>
      <c r="F1010" s="16">
        <v>9398</v>
      </c>
      <c r="G1010" s="16">
        <v>26</v>
      </c>
      <c r="H1010" s="16">
        <v>32768</v>
      </c>
      <c r="I1010" s="16">
        <v>29</v>
      </c>
      <c r="J1010" s="15" t="s">
        <v>1</v>
      </c>
      <c r="K1010" s="15" t="s">
        <v>2</v>
      </c>
      <c r="L1010" s="8">
        <f>InterspecUsage[[#This Row],[Used-MB]]-F1000</f>
        <v>16</v>
      </c>
      <c r="M1010">
        <f>InterspecUsage[[#This Row],[Max]]-InterspecUsage[[#This Row],[Used-MB]]</f>
        <v>23370</v>
      </c>
      <c r="N1010" s="5">
        <f>IF($L1010&gt;0,InterspecUsage[[#This Row],[Free-of-Max]]/InterspecUsage[[#This Row],[Usage-Delta-MB]],InterspecUsage[[#This Row],[Free-of-Max]])</f>
        <v>1460.625</v>
      </c>
    </row>
    <row r="1011" spans="1:14" x14ac:dyDescent="0.25">
      <c r="A1011" s="3">
        <v>45250</v>
      </c>
      <c r="B1011" s="15" t="s">
        <v>29</v>
      </c>
      <c r="C1011" s="16">
        <v>0</v>
      </c>
      <c r="D1011" s="16">
        <v>500</v>
      </c>
      <c r="E1011" s="16">
        <v>499</v>
      </c>
      <c r="F1011" s="16">
        <v>1</v>
      </c>
      <c r="G1011" s="16">
        <v>100</v>
      </c>
      <c r="H1011" s="16">
        <v>500</v>
      </c>
      <c r="I1011" s="16">
        <v>0</v>
      </c>
      <c r="J1011" s="15" t="s">
        <v>1</v>
      </c>
      <c r="K1011" s="15" t="s">
        <v>2</v>
      </c>
      <c r="L1011" s="8">
        <f>InterspecUsage[[#This Row],[Used-MB]]-F1001</f>
        <v>0</v>
      </c>
      <c r="M1011">
        <f>InterspecUsage[[#This Row],[Max]]-InterspecUsage[[#This Row],[Used-MB]]</f>
        <v>499</v>
      </c>
      <c r="N1011" s="5">
        <f>IF($L1011&gt;0,InterspecUsage[[#This Row],[Free-of-Max]]/InterspecUsage[[#This Row],[Usage-Delta-MB]],InterspecUsage[[#This Row],[Free-of-Max]])</f>
        <v>499</v>
      </c>
    </row>
    <row r="1012" spans="1:14" x14ac:dyDescent="0.25">
      <c r="A1012" s="3">
        <v>45257</v>
      </c>
      <c r="B1012" s="15" t="s">
        <v>26</v>
      </c>
      <c r="C1012" s="16">
        <v>95</v>
      </c>
      <c r="D1012" s="16">
        <v>22788</v>
      </c>
      <c r="E1012" s="16">
        <v>1126</v>
      </c>
      <c r="F1012" s="16">
        <v>21662</v>
      </c>
      <c r="G1012" s="16">
        <v>5</v>
      </c>
      <c r="H1012" s="16">
        <v>40960</v>
      </c>
      <c r="I1012" s="16">
        <v>53</v>
      </c>
      <c r="J1012" s="15" t="s">
        <v>1</v>
      </c>
      <c r="K1012" s="15" t="s">
        <v>2</v>
      </c>
      <c r="L1012" s="8">
        <f>InterspecUsage[[#This Row],[Used-MB]]-F1002</f>
        <v>64</v>
      </c>
      <c r="M1012">
        <f>InterspecUsage[[#This Row],[Max]]-InterspecUsage[[#This Row],[Used-MB]]</f>
        <v>19298</v>
      </c>
      <c r="N1012" s="5">
        <f>IF($L1012&gt;0,InterspecUsage[[#This Row],[Free-of-Max]]/InterspecUsage[[#This Row],[Usage-Delta-MB]],InterspecUsage[[#This Row],[Free-of-Max]])</f>
        <v>301.53125</v>
      </c>
    </row>
    <row r="1013" spans="1:14" x14ac:dyDescent="0.25">
      <c r="A1013" s="3">
        <v>45257</v>
      </c>
      <c r="B1013" s="15" t="s">
        <v>24</v>
      </c>
      <c r="C1013" s="16">
        <v>97</v>
      </c>
      <c r="D1013" s="16">
        <v>54868</v>
      </c>
      <c r="E1013" s="16">
        <v>1608</v>
      </c>
      <c r="F1013" s="16">
        <v>53260</v>
      </c>
      <c r="G1013" s="16">
        <v>3</v>
      </c>
      <c r="H1013" s="16">
        <v>65536</v>
      </c>
      <c r="I1013" s="16">
        <v>81</v>
      </c>
      <c r="J1013" s="15" t="s">
        <v>1</v>
      </c>
      <c r="K1013" s="15" t="s">
        <v>2</v>
      </c>
      <c r="L1013" s="8">
        <f>InterspecUsage[[#This Row],[Used-MB]]-F1003</f>
        <v>281</v>
      </c>
      <c r="M1013">
        <f>InterspecUsage[[#This Row],[Max]]-InterspecUsage[[#This Row],[Used-MB]]</f>
        <v>12276</v>
      </c>
      <c r="N1013" s="5">
        <f>IF($L1013&gt;0,InterspecUsage[[#This Row],[Free-of-Max]]/InterspecUsage[[#This Row],[Usage-Delta-MB]],InterspecUsage[[#This Row],[Free-of-Max]])</f>
        <v>43.686832740213525</v>
      </c>
    </row>
    <row r="1014" spans="1:14" x14ac:dyDescent="0.25">
      <c r="A1014" s="3">
        <v>45257</v>
      </c>
      <c r="B1014" s="15" t="s">
        <v>35</v>
      </c>
      <c r="C1014" s="16">
        <v>95</v>
      </c>
      <c r="D1014" s="16">
        <v>29000</v>
      </c>
      <c r="E1014" s="16">
        <v>1411</v>
      </c>
      <c r="F1014" s="16">
        <v>27589</v>
      </c>
      <c r="G1014" s="16">
        <v>5</v>
      </c>
      <c r="H1014" s="16">
        <v>32768</v>
      </c>
      <c r="I1014" s="16">
        <v>84</v>
      </c>
      <c r="J1014" s="15" t="s">
        <v>1</v>
      </c>
      <c r="K1014" s="15" t="s">
        <v>2</v>
      </c>
      <c r="L1014" s="8">
        <f>InterspecUsage[[#This Row],[Used-MB]]-F1004</f>
        <v>64</v>
      </c>
      <c r="M1014">
        <f>InterspecUsage[[#This Row],[Max]]-InterspecUsage[[#This Row],[Used-MB]]</f>
        <v>5179</v>
      </c>
      <c r="N1014" s="5">
        <f>IF($L1014&gt;0,InterspecUsage[[#This Row],[Free-of-Max]]/InterspecUsage[[#This Row],[Usage-Delta-MB]],InterspecUsage[[#This Row],[Free-of-Max]])</f>
        <v>80.921875</v>
      </c>
    </row>
    <row r="1015" spans="1:14" x14ac:dyDescent="0.25">
      <c r="A1015" s="3">
        <v>45257</v>
      </c>
      <c r="B1015" s="15" t="s">
        <v>27</v>
      </c>
      <c r="C1015" s="16">
        <v>92</v>
      </c>
      <c r="D1015" s="16">
        <v>163840</v>
      </c>
      <c r="E1015" s="16">
        <v>12845</v>
      </c>
      <c r="F1015" s="16">
        <v>150995</v>
      </c>
      <c r="G1015" s="16">
        <v>8</v>
      </c>
      <c r="H1015" s="16">
        <v>163840</v>
      </c>
      <c r="I1015" s="16">
        <v>92</v>
      </c>
      <c r="J1015" s="15" t="s">
        <v>1</v>
      </c>
      <c r="K1015" s="15" t="s">
        <v>2</v>
      </c>
      <c r="L1015" s="8">
        <f>InterspecUsage[[#This Row],[Used-MB]]-F1005</f>
        <v>591</v>
      </c>
      <c r="M1015">
        <f>InterspecUsage[[#This Row],[Max]]-InterspecUsage[[#This Row],[Used-MB]]</f>
        <v>12845</v>
      </c>
      <c r="N1015" s="5">
        <f>IF($L1015&gt;0,InterspecUsage[[#This Row],[Free-of-Max]]/InterspecUsage[[#This Row],[Usage-Delta-MB]],InterspecUsage[[#This Row],[Free-of-Max]])</f>
        <v>21.734348561759731</v>
      </c>
    </row>
    <row r="1016" spans="1:14" x14ac:dyDescent="0.25">
      <c r="A1016" s="3">
        <v>45257</v>
      </c>
      <c r="B1016" s="15" t="s">
        <v>7</v>
      </c>
      <c r="C1016" s="16">
        <v>95</v>
      </c>
      <c r="D1016" s="16">
        <v>1760</v>
      </c>
      <c r="E1016" s="16">
        <v>79</v>
      </c>
      <c r="F1016" s="16">
        <v>1681</v>
      </c>
      <c r="G1016" s="16">
        <v>5</v>
      </c>
      <c r="H1016" s="16">
        <v>32768</v>
      </c>
      <c r="I1016" s="16">
        <v>5</v>
      </c>
      <c r="J1016" s="15" t="s">
        <v>1</v>
      </c>
      <c r="K1016" s="15" t="s">
        <v>2</v>
      </c>
      <c r="L1016" s="8">
        <f>InterspecUsage[[#This Row],[Used-MB]]-F1006</f>
        <v>8</v>
      </c>
      <c r="M1016">
        <f>InterspecUsage[[#This Row],[Max]]-InterspecUsage[[#This Row],[Used-MB]]</f>
        <v>31087</v>
      </c>
      <c r="N1016" s="5">
        <f>IF($L1016&gt;0,InterspecUsage[[#This Row],[Free-of-Max]]/InterspecUsage[[#This Row],[Usage-Delta-MB]],InterspecUsage[[#This Row],[Free-of-Max]])</f>
        <v>3885.875</v>
      </c>
    </row>
    <row r="1017" spans="1:14" x14ac:dyDescent="0.25">
      <c r="A1017" s="3">
        <v>45257</v>
      </c>
      <c r="B1017" s="15" t="s">
        <v>0</v>
      </c>
      <c r="C1017" s="16">
        <v>99</v>
      </c>
      <c r="D1017" s="16">
        <v>4330</v>
      </c>
      <c r="E1017" s="16">
        <v>41</v>
      </c>
      <c r="F1017" s="16">
        <v>4289</v>
      </c>
      <c r="G1017" s="16">
        <v>1</v>
      </c>
      <c r="H1017" s="16">
        <v>32768</v>
      </c>
      <c r="I1017" s="16">
        <v>13</v>
      </c>
      <c r="J1017" s="15" t="s">
        <v>1</v>
      </c>
      <c r="K1017" s="15" t="s">
        <v>2</v>
      </c>
      <c r="L1017" s="8">
        <f>InterspecUsage[[#This Row],[Used-MB]]-F1007</f>
        <v>0</v>
      </c>
      <c r="M1017">
        <f>InterspecUsage[[#This Row],[Max]]-InterspecUsage[[#This Row],[Used-MB]]</f>
        <v>28479</v>
      </c>
      <c r="N1017" s="5">
        <f>IF($L1017&gt;0,InterspecUsage[[#This Row],[Free-of-Max]]/InterspecUsage[[#This Row],[Usage-Delta-MB]],InterspecUsage[[#This Row],[Free-of-Max]])</f>
        <v>28479</v>
      </c>
    </row>
    <row r="1018" spans="1:14" x14ac:dyDescent="0.25">
      <c r="A1018" s="3">
        <v>45257</v>
      </c>
      <c r="B1018" s="15" t="s">
        <v>30</v>
      </c>
      <c r="C1018" s="16">
        <v>0</v>
      </c>
      <c r="D1018" s="16">
        <v>32767</v>
      </c>
      <c r="E1018" s="16">
        <v>32748</v>
      </c>
      <c r="F1018" s="16">
        <v>19</v>
      </c>
      <c r="G1018" s="16">
        <v>100</v>
      </c>
      <c r="H1018" s="16">
        <v>32768</v>
      </c>
      <c r="I1018" s="16">
        <v>0</v>
      </c>
      <c r="J1018" s="15" t="s">
        <v>1</v>
      </c>
      <c r="K1018" s="15" t="s">
        <v>13</v>
      </c>
      <c r="L1018" s="8">
        <f>InterspecUsage[[#This Row],[Used-MB]]-F1008</f>
        <v>-3</v>
      </c>
      <c r="M1018">
        <f>InterspecUsage[[#This Row],[Max]]-InterspecUsage[[#This Row],[Used-MB]]</f>
        <v>32749</v>
      </c>
      <c r="N1018" s="5">
        <f>IF($L1018&gt;0,InterspecUsage[[#This Row],[Free-of-Max]]/InterspecUsage[[#This Row],[Usage-Delta-MB]],InterspecUsage[[#This Row],[Free-of-Max]])</f>
        <v>32749</v>
      </c>
    </row>
    <row r="1019" spans="1:14" x14ac:dyDescent="0.25">
      <c r="A1019" s="3">
        <v>45257</v>
      </c>
      <c r="B1019" s="15" t="s">
        <v>28</v>
      </c>
      <c r="C1019" s="16">
        <v>3</v>
      </c>
      <c r="D1019" s="16">
        <v>23320</v>
      </c>
      <c r="E1019" s="16">
        <v>22539</v>
      </c>
      <c r="F1019" s="16">
        <v>781</v>
      </c>
      <c r="G1019" s="16">
        <v>97</v>
      </c>
      <c r="H1019" s="16">
        <v>32768</v>
      </c>
      <c r="I1019" s="16">
        <v>2</v>
      </c>
      <c r="J1019" s="15" t="s">
        <v>1</v>
      </c>
      <c r="K1019" s="15" t="s">
        <v>10</v>
      </c>
      <c r="L1019" s="8">
        <f>InterspecUsage[[#This Row],[Used-MB]]-F1009</f>
        <v>-1323</v>
      </c>
      <c r="M1019">
        <f>InterspecUsage[[#This Row],[Max]]-InterspecUsage[[#This Row],[Used-MB]]</f>
        <v>31987</v>
      </c>
      <c r="N1019" s="5">
        <f>IF($L1019&gt;0,InterspecUsage[[#This Row],[Free-of-Max]]/InterspecUsage[[#This Row],[Usage-Delta-MB]],InterspecUsage[[#This Row],[Free-of-Max]])</f>
        <v>31987</v>
      </c>
    </row>
    <row r="1020" spans="1:14" x14ac:dyDescent="0.25">
      <c r="A1020" s="3">
        <v>45257</v>
      </c>
      <c r="B1020" s="15" t="s">
        <v>25</v>
      </c>
      <c r="C1020" s="16">
        <v>74</v>
      </c>
      <c r="D1020" s="16">
        <v>12700</v>
      </c>
      <c r="E1020" s="16">
        <v>3285</v>
      </c>
      <c r="F1020" s="16">
        <v>9415</v>
      </c>
      <c r="G1020" s="16">
        <v>26</v>
      </c>
      <c r="H1020" s="16">
        <v>32768</v>
      </c>
      <c r="I1020" s="16">
        <v>29</v>
      </c>
      <c r="J1020" s="15" t="s">
        <v>1</v>
      </c>
      <c r="K1020" s="15" t="s">
        <v>2</v>
      </c>
      <c r="L1020" s="8">
        <f>InterspecUsage[[#This Row],[Used-MB]]-F1010</f>
        <v>17</v>
      </c>
      <c r="M1020">
        <f>InterspecUsage[[#This Row],[Max]]-InterspecUsage[[#This Row],[Used-MB]]</f>
        <v>23353</v>
      </c>
      <c r="N1020" s="5">
        <f>IF($L1020&gt;0,InterspecUsage[[#This Row],[Free-of-Max]]/InterspecUsage[[#This Row],[Usage-Delta-MB]],InterspecUsage[[#This Row],[Free-of-Max]])</f>
        <v>1373.7058823529412</v>
      </c>
    </row>
    <row r="1021" spans="1:14" x14ac:dyDescent="0.25">
      <c r="A1021" s="3">
        <v>45257</v>
      </c>
      <c r="B1021" s="15" t="s">
        <v>29</v>
      </c>
      <c r="C1021" s="16">
        <v>0</v>
      </c>
      <c r="D1021" s="16">
        <v>500</v>
      </c>
      <c r="E1021" s="16">
        <v>499</v>
      </c>
      <c r="F1021" s="16">
        <v>1</v>
      </c>
      <c r="G1021" s="16">
        <v>100</v>
      </c>
      <c r="H1021" s="16">
        <v>500</v>
      </c>
      <c r="I1021" s="16">
        <v>0</v>
      </c>
      <c r="J1021" s="15" t="s">
        <v>1</v>
      </c>
      <c r="K1021" s="15" t="s">
        <v>2</v>
      </c>
      <c r="L1021" s="8">
        <f>InterspecUsage[[#This Row],[Used-MB]]-F1011</f>
        <v>0</v>
      </c>
      <c r="M1021">
        <f>InterspecUsage[[#This Row],[Max]]-InterspecUsage[[#This Row],[Used-MB]]</f>
        <v>499</v>
      </c>
      <c r="N1021" s="5">
        <f>IF($L1021&gt;0,InterspecUsage[[#This Row],[Free-of-Max]]/InterspecUsage[[#This Row],[Usage-Delta-MB]],InterspecUsage[[#This Row],[Free-of-Max]])</f>
        <v>499</v>
      </c>
    </row>
    <row r="1022" spans="1:14" x14ac:dyDescent="0.25">
      <c r="A1022" s="3">
        <v>45264</v>
      </c>
      <c r="B1022" s="15" t="s">
        <v>26</v>
      </c>
      <c r="C1022" s="16">
        <v>95</v>
      </c>
      <c r="D1022" s="16">
        <v>22788</v>
      </c>
      <c r="E1022" s="16">
        <v>1126</v>
      </c>
      <c r="F1022" s="16">
        <v>21662</v>
      </c>
      <c r="G1022" s="16">
        <v>5</v>
      </c>
      <c r="H1022" s="16">
        <v>40960</v>
      </c>
      <c r="I1022" s="16">
        <v>53</v>
      </c>
      <c r="J1022" s="15" t="s">
        <v>1</v>
      </c>
      <c r="K1022" s="15" t="s">
        <v>2</v>
      </c>
      <c r="L1022" s="8">
        <f>InterspecUsage[[#This Row],[Used-MB]]-F1012</f>
        <v>0</v>
      </c>
      <c r="M1022">
        <f>InterspecUsage[[#This Row],[Max]]-InterspecUsage[[#This Row],[Used-MB]]</f>
        <v>19298</v>
      </c>
      <c r="N1022" s="5">
        <f>IF($L1022&gt;0,InterspecUsage[[#This Row],[Free-of-Max]]/InterspecUsage[[#This Row],[Usage-Delta-MB]],InterspecUsage[[#This Row],[Free-of-Max]])</f>
        <v>19298</v>
      </c>
    </row>
    <row r="1023" spans="1:14" x14ac:dyDescent="0.25">
      <c r="A1023" s="3">
        <v>45264</v>
      </c>
      <c r="B1023" s="15" t="s">
        <v>24</v>
      </c>
      <c r="C1023" s="16">
        <v>98</v>
      </c>
      <c r="D1023" s="16">
        <v>54868</v>
      </c>
      <c r="E1023" s="16">
        <v>1372</v>
      </c>
      <c r="F1023" s="16">
        <v>53496</v>
      </c>
      <c r="G1023" s="16">
        <v>2</v>
      </c>
      <c r="H1023" s="16">
        <v>65536</v>
      </c>
      <c r="I1023" s="16">
        <v>82</v>
      </c>
      <c r="J1023" s="15" t="s">
        <v>1</v>
      </c>
      <c r="K1023" s="15" t="s">
        <v>2</v>
      </c>
      <c r="L1023" s="8">
        <f>InterspecUsage[[#This Row],[Used-MB]]-F1013</f>
        <v>236</v>
      </c>
      <c r="M1023">
        <f>InterspecUsage[[#This Row],[Max]]-InterspecUsage[[#This Row],[Used-MB]]</f>
        <v>12040</v>
      </c>
      <c r="N1023" s="5">
        <f>IF($L1023&gt;0,InterspecUsage[[#This Row],[Free-of-Max]]/InterspecUsage[[#This Row],[Usage-Delta-MB]],InterspecUsage[[#This Row],[Free-of-Max]])</f>
        <v>51.016949152542374</v>
      </c>
    </row>
    <row r="1024" spans="1:14" x14ac:dyDescent="0.25">
      <c r="A1024" s="3">
        <v>45264</v>
      </c>
      <c r="B1024" s="15" t="s">
        <v>35</v>
      </c>
      <c r="C1024" s="16">
        <v>96</v>
      </c>
      <c r="D1024" s="16">
        <v>29000</v>
      </c>
      <c r="E1024" s="16">
        <v>1283</v>
      </c>
      <c r="F1024" s="16">
        <v>27717</v>
      </c>
      <c r="G1024" s="16">
        <v>4</v>
      </c>
      <c r="H1024" s="16">
        <v>32768</v>
      </c>
      <c r="I1024" s="16">
        <v>85</v>
      </c>
      <c r="J1024" s="15" t="s">
        <v>1</v>
      </c>
      <c r="K1024" s="15" t="s">
        <v>2</v>
      </c>
      <c r="L1024" s="8">
        <f>InterspecUsage[[#This Row],[Used-MB]]-F1014</f>
        <v>128</v>
      </c>
      <c r="M1024">
        <f>InterspecUsage[[#This Row],[Max]]-InterspecUsage[[#This Row],[Used-MB]]</f>
        <v>5051</v>
      </c>
      <c r="N1024" s="5">
        <f>IF($L1024&gt;0,InterspecUsage[[#This Row],[Free-of-Max]]/InterspecUsage[[#This Row],[Usage-Delta-MB]],InterspecUsage[[#This Row],[Free-of-Max]])</f>
        <v>39.4609375</v>
      </c>
    </row>
    <row r="1025" spans="1:14" x14ac:dyDescent="0.25">
      <c r="A1025" s="3">
        <v>45264</v>
      </c>
      <c r="B1025" s="15" t="s">
        <v>27</v>
      </c>
      <c r="C1025" s="16">
        <v>92</v>
      </c>
      <c r="D1025" s="16">
        <v>163840</v>
      </c>
      <c r="E1025" s="16">
        <v>12314</v>
      </c>
      <c r="F1025" s="16">
        <v>151526</v>
      </c>
      <c r="G1025" s="16">
        <v>8</v>
      </c>
      <c r="H1025" s="16">
        <v>163840</v>
      </c>
      <c r="I1025" s="16">
        <v>92</v>
      </c>
      <c r="J1025" s="15" t="s">
        <v>1</v>
      </c>
      <c r="K1025" s="15" t="s">
        <v>2</v>
      </c>
      <c r="L1025" s="8">
        <f>InterspecUsage[[#This Row],[Used-MB]]-F1015</f>
        <v>531</v>
      </c>
      <c r="M1025">
        <f>InterspecUsage[[#This Row],[Max]]-InterspecUsage[[#This Row],[Used-MB]]</f>
        <v>12314</v>
      </c>
      <c r="N1025" s="5">
        <f>IF($L1025&gt;0,InterspecUsage[[#This Row],[Free-of-Max]]/InterspecUsage[[#This Row],[Usage-Delta-MB]],InterspecUsage[[#This Row],[Free-of-Max]])</f>
        <v>23.190207156308851</v>
      </c>
    </row>
    <row r="1026" spans="1:14" x14ac:dyDescent="0.25">
      <c r="A1026" s="3">
        <v>45264</v>
      </c>
      <c r="B1026" s="15" t="s">
        <v>7</v>
      </c>
      <c r="C1026" s="16">
        <v>95</v>
      </c>
      <c r="D1026" s="16">
        <v>1780</v>
      </c>
      <c r="E1026" s="16">
        <v>91</v>
      </c>
      <c r="F1026" s="16">
        <v>1689</v>
      </c>
      <c r="G1026" s="16">
        <v>5</v>
      </c>
      <c r="H1026" s="16">
        <v>32768</v>
      </c>
      <c r="I1026" s="16">
        <v>5</v>
      </c>
      <c r="J1026" s="15" t="s">
        <v>1</v>
      </c>
      <c r="K1026" s="15" t="s">
        <v>2</v>
      </c>
      <c r="L1026" s="8">
        <f>InterspecUsage[[#This Row],[Used-MB]]-F1016</f>
        <v>8</v>
      </c>
      <c r="M1026">
        <f>InterspecUsage[[#This Row],[Max]]-InterspecUsage[[#This Row],[Used-MB]]</f>
        <v>31079</v>
      </c>
      <c r="N1026" s="5">
        <f>IF($L1026&gt;0,InterspecUsage[[#This Row],[Free-of-Max]]/InterspecUsage[[#This Row],[Usage-Delta-MB]],InterspecUsage[[#This Row],[Free-of-Max]])</f>
        <v>3884.875</v>
      </c>
    </row>
    <row r="1027" spans="1:14" x14ac:dyDescent="0.25">
      <c r="A1027" s="3">
        <v>45264</v>
      </c>
      <c r="B1027" s="15" t="s">
        <v>0</v>
      </c>
      <c r="C1027" s="16">
        <v>99</v>
      </c>
      <c r="D1027" s="16">
        <v>4330</v>
      </c>
      <c r="E1027" s="16">
        <v>41</v>
      </c>
      <c r="F1027" s="16">
        <v>4289</v>
      </c>
      <c r="G1027" s="16">
        <v>1</v>
      </c>
      <c r="H1027" s="16">
        <v>32768</v>
      </c>
      <c r="I1027" s="16">
        <v>13</v>
      </c>
      <c r="J1027" s="15" t="s">
        <v>1</v>
      </c>
      <c r="K1027" s="15" t="s">
        <v>2</v>
      </c>
      <c r="L1027" s="8">
        <f>InterspecUsage[[#This Row],[Used-MB]]-F1017</f>
        <v>0</v>
      </c>
      <c r="M1027">
        <f>InterspecUsage[[#This Row],[Max]]-InterspecUsage[[#This Row],[Used-MB]]</f>
        <v>28479</v>
      </c>
      <c r="N1027" s="5">
        <f>IF($L1027&gt;0,InterspecUsage[[#This Row],[Free-of-Max]]/InterspecUsage[[#This Row],[Usage-Delta-MB]],InterspecUsage[[#This Row],[Free-of-Max]])</f>
        <v>28479</v>
      </c>
    </row>
    <row r="1028" spans="1:14" x14ac:dyDescent="0.25">
      <c r="A1028" s="3">
        <v>45264</v>
      </c>
      <c r="B1028" s="15" t="s">
        <v>30</v>
      </c>
      <c r="C1028" s="16">
        <v>0</v>
      </c>
      <c r="D1028" s="16">
        <v>32767</v>
      </c>
      <c r="E1028" s="16">
        <v>32754</v>
      </c>
      <c r="F1028" s="16">
        <v>13</v>
      </c>
      <c r="G1028" s="16">
        <v>100</v>
      </c>
      <c r="H1028" s="16">
        <v>32768</v>
      </c>
      <c r="I1028" s="16">
        <v>0</v>
      </c>
      <c r="J1028" s="15" t="s">
        <v>1</v>
      </c>
      <c r="K1028" s="15" t="s">
        <v>13</v>
      </c>
      <c r="L1028" s="8">
        <f>InterspecUsage[[#This Row],[Used-MB]]-F1018</f>
        <v>-6</v>
      </c>
      <c r="M1028">
        <f>InterspecUsage[[#This Row],[Max]]-InterspecUsage[[#This Row],[Used-MB]]</f>
        <v>32755</v>
      </c>
      <c r="N1028" s="5">
        <f>IF($L1028&gt;0,InterspecUsage[[#This Row],[Free-of-Max]]/InterspecUsage[[#This Row],[Usage-Delta-MB]],InterspecUsage[[#This Row],[Free-of-Max]])</f>
        <v>32755</v>
      </c>
    </row>
    <row r="1029" spans="1:14" x14ac:dyDescent="0.25">
      <c r="A1029" s="3">
        <v>45264</v>
      </c>
      <c r="B1029" s="15" t="s">
        <v>28</v>
      </c>
      <c r="C1029" s="16">
        <v>3</v>
      </c>
      <c r="D1029" s="16">
        <v>23320</v>
      </c>
      <c r="E1029" s="16">
        <v>22619</v>
      </c>
      <c r="F1029" s="16">
        <v>701</v>
      </c>
      <c r="G1029" s="16">
        <v>97</v>
      </c>
      <c r="H1029" s="16">
        <v>32768</v>
      </c>
      <c r="I1029" s="16">
        <v>2</v>
      </c>
      <c r="J1029" s="15" t="s">
        <v>1</v>
      </c>
      <c r="K1029" s="15" t="s">
        <v>10</v>
      </c>
      <c r="L1029" s="8">
        <f>InterspecUsage[[#This Row],[Used-MB]]-F1019</f>
        <v>-80</v>
      </c>
      <c r="M1029">
        <f>InterspecUsage[[#This Row],[Max]]-InterspecUsage[[#This Row],[Used-MB]]</f>
        <v>32067</v>
      </c>
      <c r="N1029" s="5">
        <f>IF($L1029&gt;0,InterspecUsage[[#This Row],[Free-of-Max]]/InterspecUsage[[#This Row],[Usage-Delta-MB]],InterspecUsage[[#This Row],[Free-of-Max]])</f>
        <v>32067</v>
      </c>
    </row>
    <row r="1030" spans="1:14" x14ac:dyDescent="0.25">
      <c r="A1030" s="3">
        <v>45264</v>
      </c>
      <c r="B1030" s="15" t="s">
        <v>25</v>
      </c>
      <c r="C1030" s="16">
        <v>74</v>
      </c>
      <c r="D1030" s="16">
        <v>12700</v>
      </c>
      <c r="E1030" s="16">
        <v>3259</v>
      </c>
      <c r="F1030" s="16">
        <v>9441</v>
      </c>
      <c r="G1030" s="16">
        <v>26</v>
      </c>
      <c r="H1030" s="16">
        <v>32768</v>
      </c>
      <c r="I1030" s="16">
        <v>29</v>
      </c>
      <c r="J1030" s="15" t="s">
        <v>1</v>
      </c>
      <c r="K1030" s="15" t="s">
        <v>2</v>
      </c>
      <c r="L1030" s="8">
        <f>InterspecUsage[[#This Row],[Used-MB]]-F1020</f>
        <v>26</v>
      </c>
      <c r="M1030">
        <f>InterspecUsage[[#This Row],[Max]]-InterspecUsage[[#This Row],[Used-MB]]</f>
        <v>23327</v>
      </c>
      <c r="N1030" s="5">
        <f>IF($L1030&gt;0,InterspecUsage[[#This Row],[Free-of-Max]]/InterspecUsage[[#This Row],[Usage-Delta-MB]],InterspecUsage[[#This Row],[Free-of-Max]])</f>
        <v>897.19230769230774</v>
      </c>
    </row>
    <row r="1031" spans="1:14" x14ac:dyDescent="0.25">
      <c r="A1031" s="3">
        <v>45264</v>
      </c>
      <c r="B1031" s="15" t="s">
        <v>29</v>
      </c>
      <c r="C1031" s="16">
        <v>0</v>
      </c>
      <c r="D1031" s="16">
        <v>500</v>
      </c>
      <c r="E1031" s="16">
        <v>499</v>
      </c>
      <c r="F1031" s="16">
        <v>1</v>
      </c>
      <c r="G1031" s="16">
        <v>100</v>
      </c>
      <c r="H1031" s="16">
        <v>500</v>
      </c>
      <c r="I1031" s="16">
        <v>0</v>
      </c>
      <c r="J1031" s="15" t="s">
        <v>1</v>
      </c>
      <c r="K1031" s="15" t="s">
        <v>2</v>
      </c>
      <c r="L1031" s="8">
        <f>InterspecUsage[[#This Row],[Used-MB]]-F1021</f>
        <v>0</v>
      </c>
      <c r="M1031">
        <f>InterspecUsage[[#This Row],[Max]]-InterspecUsage[[#This Row],[Used-MB]]</f>
        <v>499</v>
      </c>
      <c r="N1031" s="5">
        <f>IF($L1031&gt;0,InterspecUsage[[#This Row],[Free-of-Max]]/InterspecUsage[[#This Row],[Usage-Delta-MB]],InterspecUsage[[#This Row],[Free-of-Max]])</f>
        <v>499</v>
      </c>
    </row>
    <row r="1032" spans="1:14" x14ac:dyDescent="0.25">
      <c r="A1032" s="3">
        <v>45271</v>
      </c>
      <c r="B1032" s="15" t="s">
        <v>26</v>
      </c>
      <c r="C1032" s="16">
        <v>95</v>
      </c>
      <c r="D1032" s="16">
        <v>22788</v>
      </c>
      <c r="E1032" s="16">
        <v>1126</v>
      </c>
      <c r="F1032" s="16">
        <v>21662</v>
      </c>
      <c r="G1032" s="16">
        <v>5</v>
      </c>
      <c r="H1032" s="16">
        <v>40960</v>
      </c>
      <c r="I1032" s="16">
        <v>53</v>
      </c>
      <c r="J1032" s="15" t="s">
        <v>1</v>
      </c>
      <c r="K1032" s="15" t="s">
        <v>2</v>
      </c>
      <c r="L1032" s="8">
        <f>InterspecUsage[[#This Row],[Used-MB]]-F1022</f>
        <v>0</v>
      </c>
      <c r="M1032">
        <f>InterspecUsage[[#This Row],[Max]]-InterspecUsage[[#This Row],[Used-MB]]</f>
        <v>19298</v>
      </c>
      <c r="N1032" s="5">
        <f>IF($L1032&gt;0,InterspecUsage[[#This Row],[Free-of-Max]]/InterspecUsage[[#This Row],[Usage-Delta-MB]],InterspecUsage[[#This Row],[Free-of-Max]])</f>
        <v>19298</v>
      </c>
    </row>
    <row r="1033" spans="1:14" x14ac:dyDescent="0.25">
      <c r="A1033" s="3">
        <v>45271</v>
      </c>
      <c r="B1033" s="15" t="s">
        <v>24</v>
      </c>
      <c r="C1033" s="16">
        <v>95</v>
      </c>
      <c r="D1033" s="16">
        <v>56668</v>
      </c>
      <c r="E1033" s="16">
        <v>2789</v>
      </c>
      <c r="F1033" s="16">
        <v>53879</v>
      </c>
      <c r="G1033" s="16">
        <v>5</v>
      </c>
      <c r="H1033" s="16">
        <v>65536</v>
      </c>
      <c r="I1033" s="16">
        <v>82</v>
      </c>
      <c r="J1033" s="15" t="s">
        <v>1</v>
      </c>
      <c r="K1033" s="15" t="s">
        <v>2</v>
      </c>
      <c r="L1033" s="8">
        <f>InterspecUsage[[#This Row],[Used-MB]]-F1023</f>
        <v>383</v>
      </c>
      <c r="M1033">
        <f>InterspecUsage[[#This Row],[Max]]-InterspecUsage[[#This Row],[Used-MB]]</f>
        <v>11657</v>
      </c>
      <c r="N1033" s="5">
        <f>IF($L1033&gt;0,InterspecUsage[[#This Row],[Free-of-Max]]/InterspecUsage[[#This Row],[Usage-Delta-MB]],InterspecUsage[[#This Row],[Free-of-Max]])</f>
        <v>30.436031331592691</v>
      </c>
    </row>
    <row r="1034" spans="1:14" x14ac:dyDescent="0.25">
      <c r="A1034" s="3">
        <v>45271</v>
      </c>
      <c r="B1034" s="15" t="s">
        <v>37</v>
      </c>
      <c r="C1034" s="16">
        <v>96</v>
      </c>
      <c r="D1034" s="16">
        <v>29000</v>
      </c>
      <c r="E1034" s="16">
        <v>1095</v>
      </c>
      <c r="F1034" s="16">
        <v>27905</v>
      </c>
      <c r="G1034" s="16">
        <v>4</v>
      </c>
      <c r="H1034" s="16">
        <v>32768</v>
      </c>
      <c r="I1034" s="16">
        <v>85</v>
      </c>
      <c r="J1034" s="15" t="s">
        <v>1</v>
      </c>
      <c r="K1034" s="15" t="s">
        <v>2</v>
      </c>
      <c r="L1034" s="8">
        <f>InterspecUsage[[#This Row],[Used-MB]]-F1024</f>
        <v>188</v>
      </c>
      <c r="M1034">
        <f>InterspecUsage[[#This Row],[Max]]-InterspecUsage[[#This Row],[Used-MB]]</f>
        <v>4863</v>
      </c>
      <c r="N1034" s="5">
        <f>IF($L1034&gt;0,InterspecUsage[[#This Row],[Free-of-Max]]/InterspecUsage[[#This Row],[Usage-Delta-MB]],InterspecUsage[[#This Row],[Free-of-Max]])</f>
        <v>25.867021276595743</v>
      </c>
    </row>
    <row r="1035" spans="1:14" x14ac:dyDescent="0.25">
      <c r="A1035" s="3">
        <v>45271</v>
      </c>
      <c r="B1035" s="15" t="s">
        <v>27</v>
      </c>
      <c r="C1035" s="16">
        <v>93</v>
      </c>
      <c r="D1035" s="16">
        <v>163840</v>
      </c>
      <c r="E1035" s="16">
        <v>11192</v>
      </c>
      <c r="F1035" s="16">
        <v>152648</v>
      </c>
      <c r="G1035" s="16">
        <v>7</v>
      </c>
      <c r="H1035" s="16">
        <v>163840</v>
      </c>
      <c r="I1035" s="16">
        <v>93</v>
      </c>
      <c r="J1035" s="15" t="s">
        <v>1</v>
      </c>
      <c r="K1035" s="15" t="s">
        <v>2</v>
      </c>
      <c r="L1035" s="8">
        <f>InterspecUsage[[#This Row],[Used-MB]]-F1025</f>
        <v>1122</v>
      </c>
      <c r="M1035">
        <f>InterspecUsage[[#This Row],[Max]]-InterspecUsage[[#This Row],[Used-MB]]</f>
        <v>11192</v>
      </c>
      <c r="N1035" s="5">
        <f>IF($L1035&gt;0,InterspecUsage[[#This Row],[Free-of-Max]]/InterspecUsage[[#This Row],[Usage-Delta-MB]],InterspecUsage[[#This Row],[Free-of-Max]])</f>
        <v>9.975044563279857</v>
      </c>
    </row>
    <row r="1036" spans="1:14" x14ac:dyDescent="0.25">
      <c r="A1036" s="3">
        <v>45271</v>
      </c>
      <c r="B1036" s="15" t="s">
        <v>7</v>
      </c>
      <c r="C1036" s="16">
        <v>95</v>
      </c>
      <c r="D1036" s="16">
        <v>1780</v>
      </c>
      <c r="E1036" s="16">
        <v>83</v>
      </c>
      <c r="F1036" s="16">
        <v>1697</v>
      </c>
      <c r="G1036" s="16">
        <v>5</v>
      </c>
      <c r="H1036" s="16">
        <v>32768</v>
      </c>
      <c r="I1036" s="16">
        <v>5</v>
      </c>
      <c r="J1036" s="15" t="s">
        <v>1</v>
      </c>
      <c r="K1036" s="15" t="s">
        <v>2</v>
      </c>
      <c r="L1036" s="8">
        <f>InterspecUsage[[#This Row],[Used-MB]]-F1026</f>
        <v>8</v>
      </c>
      <c r="M1036">
        <f>InterspecUsage[[#This Row],[Max]]-InterspecUsage[[#This Row],[Used-MB]]</f>
        <v>31071</v>
      </c>
      <c r="N1036" s="5">
        <f>IF($L1036&gt;0,InterspecUsage[[#This Row],[Free-of-Max]]/InterspecUsage[[#This Row],[Usage-Delta-MB]],InterspecUsage[[#This Row],[Free-of-Max]])</f>
        <v>3883.875</v>
      </c>
    </row>
    <row r="1037" spans="1:14" x14ac:dyDescent="0.25">
      <c r="A1037" s="3">
        <v>45271</v>
      </c>
      <c r="B1037" s="15" t="s">
        <v>0</v>
      </c>
      <c r="C1037" s="16">
        <v>99</v>
      </c>
      <c r="D1037" s="16">
        <v>4330</v>
      </c>
      <c r="E1037" s="16">
        <v>41</v>
      </c>
      <c r="F1037" s="16">
        <v>4289</v>
      </c>
      <c r="G1037" s="16">
        <v>1</v>
      </c>
      <c r="H1037" s="16">
        <v>32768</v>
      </c>
      <c r="I1037" s="16">
        <v>13</v>
      </c>
      <c r="J1037" s="15" t="s">
        <v>1</v>
      </c>
      <c r="K1037" s="15" t="s">
        <v>2</v>
      </c>
      <c r="L1037" s="8">
        <f>InterspecUsage[[#This Row],[Used-MB]]-F1027</f>
        <v>0</v>
      </c>
      <c r="M1037">
        <f>InterspecUsage[[#This Row],[Max]]-InterspecUsage[[#This Row],[Used-MB]]</f>
        <v>28479</v>
      </c>
      <c r="N1037" s="5">
        <f>IF($L1037&gt;0,InterspecUsage[[#This Row],[Free-of-Max]]/InterspecUsage[[#This Row],[Usage-Delta-MB]],InterspecUsage[[#This Row],[Free-of-Max]])</f>
        <v>28479</v>
      </c>
    </row>
    <row r="1038" spans="1:14" x14ac:dyDescent="0.25">
      <c r="A1038" s="3">
        <v>45271</v>
      </c>
      <c r="B1038" s="15" t="s">
        <v>30</v>
      </c>
      <c r="C1038" s="16">
        <v>0</v>
      </c>
      <c r="D1038" s="16">
        <v>32767</v>
      </c>
      <c r="E1038" s="16">
        <v>32748</v>
      </c>
      <c r="F1038" s="16">
        <v>19</v>
      </c>
      <c r="G1038" s="16">
        <v>100</v>
      </c>
      <c r="H1038" s="16">
        <v>32768</v>
      </c>
      <c r="I1038" s="16">
        <v>0</v>
      </c>
      <c r="J1038" s="15" t="s">
        <v>1</v>
      </c>
      <c r="K1038" s="15" t="s">
        <v>13</v>
      </c>
      <c r="L1038" s="8">
        <f>InterspecUsage[[#This Row],[Used-MB]]-F1028</f>
        <v>6</v>
      </c>
      <c r="M1038">
        <f>InterspecUsage[[#This Row],[Max]]-InterspecUsage[[#This Row],[Used-MB]]</f>
        <v>32749</v>
      </c>
      <c r="N1038" s="5">
        <f>IF($L1038&gt;0,InterspecUsage[[#This Row],[Free-of-Max]]/InterspecUsage[[#This Row],[Usage-Delta-MB]],InterspecUsage[[#This Row],[Free-of-Max]])</f>
        <v>5458.166666666667</v>
      </c>
    </row>
    <row r="1039" spans="1:14" x14ac:dyDescent="0.25">
      <c r="A1039" s="3">
        <v>45271</v>
      </c>
      <c r="B1039" s="15" t="s">
        <v>28</v>
      </c>
      <c r="C1039" s="16">
        <v>4</v>
      </c>
      <c r="D1039" s="16">
        <v>23320</v>
      </c>
      <c r="E1039" s="16">
        <v>22503</v>
      </c>
      <c r="F1039" s="16">
        <v>817</v>
      </c>
      <c r="G1039" s="16">
        <v>96</v>
      </c>
      <c r="H1039" s="16">
        <v>32768</v>
      </c>
      <c r="I1039" s="16">
        <v>2</v>
      </c>
      <c r="J1039" s="15" t="s">
        <v>1</v>
      </c>
      <c r="K1039" s="15" t="s">
        <v>10</v>
      </c>
      <c r="L1039" s="8">
        <f>InterspecUsage[[#This Row],[Used-MB]]-F1029</f>
        <v>116</v>
      </c>
      <c r="M1039">
        <f>InterspecUsage[[#This Row],[Max]]-InterspecUsage[[#This Row],[Used-MB]]</f>
        <v>31951</v>
      </c>
      <c r="N1039" s="5">
        <f>IF($L1039&gt;0,InterspecUsage[[#This Row],[Free-of-Max]]/InterspecUsage[[#This Row],[Usage-Delta-MB]],InterspecUsage[[#This Row],[Free-of-Max]])</f>
        <v>275.43965517241378</v>
      </c>
    </row>
    <row r="1040" spans="1:14" x14ac:dyDescent="0.25">
      <c r="A1040" s="3">
        <v>45271</v>
      </c>
      <c r="B1040" s="15" t="s">
        <v>25</v>
      </c>
      <c r="C1040" s="16">
        <v>74</v>
      </c>
      <c r="D1040" s="16">
        <v>12700</v>
      </c>
      <c r="E1040" s="16">
        <v>3242</v>
      </c>
      <c r="F1040" s="16">
        <v>9458</v>
      </c>
      <c r="G1040" s="16">
        <v>26</v>
      </c>
      <c r="H1040" s="16">
        <v>32768</v>
      </c>
      <c r="I1040" s="16">
        <v>29</v>
      </c>
      <c r="J1040" s="15" t="s">
        <v>1</v>
      </c>
      <c r="K1040" s="15" t="s">
        <v>2</v>
      </c>
      <c r="L1040" s="8">
        <f>InterspecUsage[[#This Row],[Used-MB]]-F1030</f>
        <v>17</v>
      </c>
      <c r="M1040">
        <f>InterspecUsage[[#This Row],[Max]]-InterspecUsage[[#This Row],[Used-MB]]</f>
        <v>23310</v>
      </c>
      <c r="N1040" s="5">
        <f>IF($L1040&gt;0,InterspecUsage[[#This Row],[Free-of-Max]]/InterspecUsage[[#This Row],[Usage-Delta-MB]],InterspecUsage[[#This Row],[Free-of-Max]])</f>
        <v>1371.1764705882354</v>
      </c>
    </row>
    <row r="1041" spans="1:14" x14ac:dyDescent="0.25">
      <c r="A1041" s="3">
        <v>45271</v>
      </c>
      <c r="B1041" s="15" t="s">
        <v>29</v>
      </c>
      <c r="C1041" s="16">
        <v>0</v>
      </c>
      <c r="D1041" s="16">
        <v>500</v>
      </c>
      <c r="E1041" s="16">
        <v>499</v>
      </c>
      <c r="F1041" s="16">
        <v>1</v>
      </c>
      <c r="G1041" s="16">
        <v>100</v>
      </c>
      <c r="H1041" s="16">
        <v>500</v>
      </c>
      <c r="I1041" s="16">
        <v>0</v>
      </c>
      <c r="J1041" s="15" t="s">
        <v>1</v>
      </c>
      <c r="K1041" s="15" t="s">
        <v>2</v>
      </c>
      <c r="L1041" s="8">
        <f>InterspecUsage[[#This Row],[Used-MB]]-F1031</f>
        <v>0</v>
      </c>
      <c r="M1041">
        <f>InterspecUsage[[#This Row],[Max]]-InterspecUsage[[#This Row],[Used-MB]]</f>
        <v>499</v>
      </c>
      <c r="N1041" s="5">
        <f>IF($L1041&gt;0,InterspecUsage[[#This Row],[Free-of-Max]]/InterspecUsage[[#This Row],[Usage-Delta-MB]],InterspecUsage[[#This Row],[Free-of-Max]])</f>
        <v>499</v>
      </c>
    </row>
    <row r="1042" spans="1:14" x14ac:dyDescent="0.25">
      <c r="A1042" s="3">
        <v>45278</v>
      </c>
      <c r="B1042" s="15" t="s">
        <v>26</v>
      </c>
      <c r="C1042" s="16">
        <v>94</v>
      </c>
      <c r="D1042" s="16">
        <v>23288</v>
      </c>
      <c r="E1042" s="16">
        <v>1498</v>
      </c>
      <c r="F1042" s="16">
        <v>21790</v>
      </c>
      <c r="G1042" s="16">
        <v>6</v>
      </c>
      <c r="H1042" s="16">
        <v>40960</v>
      </c>
      <c r="I1042" s="16">
        <v>53</v>
      </c>
      <c r="J1042" s="15" t="s">
        <v>1</v>
      </c>
      <c r="K1042" s="15" t="s">
        <v>2</v>
      </c>
      <c r="L1042" s="8">
        <f>InterspecUsage[[#This Row],[Used-MB]]-F1032</f>
        <v>128</v>
      </c>
      <c r="M1042">
        <f>InterspecUsage[[#This Row],[Max]]-InterspecUsage[[#This Row],[Used-MB]]</f>
        <v>19170</v>
      </c>
      <c r="N1042" s="5">
        <f>IF($L1042&gt;0,InterspecUsage[[#This Row],[Free-of-Max]]/InterspecUsage[[#This Row],[Usage-Delta-MB]],InterspecUsage[[#This Row],[Free-of-Max]])</f>
        <v>149.765625</v>
      </c>
    </row>
    <row r="1043" spans="1:14" x14ac:dyDescent="0.25">
      <c r="A1043" s="3">
        <v>45278</v>
      </c>
      <c r="B1043" s="15" t="s">
        <v>24</v>
      </c>
      <c r="C1043" s="16">
        <v>95</v>
      </c>
      <c r="D1043" s="16">
        <v>56668</v>
      </c>
      <c r="E1043" s="16">
        <v>2610</v>
      </c>
      <c r="F1043" s="16">
        <v>54058</v>
      </c>
      <c r="G1043" s="16">
        <v>5</v>
      </c>
      <c r="H1043" s="16">
        <v>65536</v>
      </c>
      <c r="I1043" s="16">
        <v>82</v>
      </c>
      <c r="J1043" s="15" t="s">
        <v>1</v>
      </c>
      <c r="K1043" s="15" t="s">
        <v>2</v>
      </c>
      <c r="L1043" s="8">
        <f>InterspecUsage[[#This Row],[Used-MB]]-F1033</f>
        <v>179</v>
      </c>
      <c r="M1043">
        <f>InterspecUsage[[#This Row],[Max]]-InterspecUsage[[#This Row],[Used-MB]]</f>
        <v>11478</v>
      </c>
      <c r="N1043" s="5">
        <f>IF($L1043&gt;0,InterspecUsage[[#This Row],[Free-of-Max]]/InterspecUsage[[#This Row],[Usage-Delta-MB]],InterspecUsage[[#This Row],[Free-of-Max]])</f>
        <v>64.122905027932958</v>
      </c>
    </row>
    <row r="1044" spans="1:14" x14ac:dyDescent="0.25">
      <c r="A1044" s="3">
        <v>45278</v>
      </c>
      <c r="B1044" s="15" t="s">
        <v>35</v>
      </c>
      <c r="C1044" s="16">
        <v>96</v>
      </c>
      <c r="D1044" s="16">
        <v>29000</v>
      </c>
      <c r="E1044" s="16">
        <v>1031</v>
      </c>
      <c r="F1044" s="16">
        <v>27969</v>
      </c>
      <c r="G1044" s="16">
        <v>4</v>
      </c>
      <c r="H1044" s="16">
        <v>32768</v>
      </c>
      <c r="I1044" s="16">
        <v>85</v>
      </c>
      <c r="J1044" s="15" t="s">
        <v>1</v>
      </c>
      <c r="K1044" s="15" t="s">
        <v>2</v>
      </c>
      <c r="L1044" s="8">
        <f>InterspecUsage[[#This Row],[Used-MB]]-F1034</f>
        <v>64</v>
      </c>
      <c r="M1044">
        <f>InterspecUsage[[#This Row],[Max]]-InterspecUsage[[#This Row],[Used-MB]]</f>
        <v>4799</v>
      </c>
      <c r="N1044" s="5">
        <f>IF($L1044&gt;0,InterspecUsage[[#This Row],[Free-of-Max]]/InterspecUsage[[#This Row],[Usage-Delta-MB]],InterspecUsage[[#This Row],[Free-of-Max]])</f>
        <v>74.984375</v>
      </c>
    </row>
    <row r="1045" spans="1:14" x14ac:dyDescent="0.25">
      <c r="A1045" s="3">
        <v>45278</v>
      </c>
      <c r="B1045" s="15" t="s">
        <v>27</v>
      </c>
      <c r="C1045" s="16">
        <v>93</v>
      </c>
      <c r="D1045" s="16">
        <v>163840</v>
      </c>
      <c r="E1045" s="16">
        <v>10663</v>
      </c>
      <c r="F1045" s="16">
        <v>153177</v>
      </c>
      <c r="G1045" s="16">
        <v>7</v>
      </c>
      <c r="H1045" s="16">
        <v>163840</v>
      </c>
      <c r="I1045" s="16">
        <v>93</v>
      </c>
      <c r="J1045" s="15" t="s">
        <v>1</v>
      </c>
      <c r="K1045" s="15" t="s">
        <v>2</v>
      </c>
      <c r="L1045" s="8">
        <f>InterspecUsage[[#This Row],[Used-MB]]-F1035</f>
        <v>529</v>
      </c>
      <c r="M1045">
        <f>InterspecUsage[[#This Row],[Max]]-InterspecUsage[[#This Row],[Used-MB]]</f>
        <v>10663</v>
      </c>
      <c r="N1045" s="5">
        <f>IF($L1045&gt;0,InterspecUsage[[#This Row],[Free-of-Max]]/InterspecUsage[[#This Row],[Usage-Delta-MB]],InterspecUsage[[#This Row],[Free-of-Max]])</f>
        <v>20.156899810964084</v>
      </c>
    </row>
    <row r="1046" spans="1:14" x14ac:dyDescent="0.25">
      <c r="A1046" s="3">
        <v>45278</v>
      </c>
      <c r="B1046" s="15" t="s">
        <v>7</v>
      </c>
      <c r="C1046" s="16">
        <v>95</v>
      </c>
      <c r="D1046" s="16">
        <v>1780</v>
      </c>
      <c r="E1046" s="16">
        <v>83</v>
      </c>
      <c r="F1046" s="16">
        <v>1697</v>
      </c>
      <c r="G1046" s="16">
        <v>5</v>
      </c>
      <c r="H1046" s="16">
        <v>32768</v>
      </c>
      <c r="I1046" s="16">
        <v>5</v>
      </c>
      <c r="J1046" s="15" t="s">
        <v>1</v>
      </c>
      <c r="K1046" s="15" t="s">
        <v>2</v>
      </c>
      <c r="L1046" s="8">
        <f>InterspecUsage[[#This Row],[Used-MB]]-F1036</f>
        <v>0</v>
      </c>
      <c r="M1046">
        <f>InterspecUsage[[#This Row],[Max]]-InterspecUsage[[#This Row],[Used-MB]]</f>
        <v>31071</v>
      </c>
      <c r="N1046" s="5">
        <f>IF($L1046&gt;0,InterspecUsage[[#This Row],[Free-of-Max]]/InterspecUsage[[#This Row],[Usage-Delta-MB]],InterspecUsage[[#This Row],[Free-of-Max]])</f>
        <v>31071</v>
      </c>
    </row>
    <row r="1047" spans="1:14" x14ac:dyDescent="0.25">
      <c r="A1047" s="3">
        <v>45278</v>
      </c>
      <c r="B1047" s="15" t="s">
        <v>0</v>
      </c>
      <c r="C1047" s="16">
        <v>99</v>
      </c>
      <c r="D1047" s="16">
        <v>4400</v>
      </c>
      <c r="E1047" s="16">
        <v>47</v>
      </c>
      <c r="F1047" s="16">
        <v>4353</v>
      </c>
      <c r="G1047" s="16">
        <v>1</v>
      </c>
      <c r="H1047" s="16">
        <v>32768</v>
      </c>
      <c r="I1047" s="16">
        <v>13</v>
      </c>
      <c r="J1047" s="15" t="s">
        <v>1</v>
      </c>
      <c r="K1047" s="15" t="s">
        <v>2</v>
      </c>
      <c r="L1047" s="8">
        <f>InterspecUsage[[#This Row],[Used-MB]]-F1037</f>
        <v>64</v>
      </c>
      <c r="M1047">
        <f>InterspecUsage[[#This Row],[Max]]-InterspecUsage[[#This Row],[Used-MB]]</f>
        <v>28415</v>
      </c>
      <c r="N1047" s="5">
        <f>IF($L1047&gt;0,InterspecUsage[[#This Row],[Free-of-Max]]/InterspecUsage[[#This Row],[Usage-Delta-MB]],InterspecUsage[[#This Row],[Free-of-Max]])</f>
        <v>443.984375</v>
      </c>
    </row>
    <row r="1048" spans="1:14" x14ac:dyDescent="0.25">
      <c r="A1048" s="3">
        <v>45278</v>
      </c>
      <c r="B1048" s="15" t="s">
        <v>30</v>
      </c>
      <c r="C1048" s="16">
        <v>0</v>
      </c>
      <c r="D1048" s="16">
        <v>32767</v>
      </c>
      <c r="E1048" s="16">
        <v>32751</v>
      </c>
      <c r="F1048" s="16">
        <v>16</v>
      </c>
      <c r="G1048" s="16">
        <v>100</v>
      </c>
      <c r="H1048" s="16">
        <v>32768</v>
      </c>
      <c r="I1048" s="16">
        <v>0</v>
      </c>
      <c r="J1048" s="15" t="s">
        <v>1</v>
      </c>
      <c r="K1048" s="15" t="s">
        <v>13</v>
      </c>
      <c r="L1048" s="8">
        <f>InterspecUsage[[#This Row],[Used-MB]]-F1038</f>
        <v>-3</v>
      </c>
      <c r="M1048">
        <f>InterspecUsage[[#This Row],[Max]]-InterspecUsage[[#This Row],[Used-MB]]</f>
        <v>32752</v>
      </c>
      <c r="N1048" s="5">
        <f>IF($L1048&gt;0,InterspecUsage[[#This Row],[Free-of-Max]]/InterspecUsage[[#This Row],[Usage-Delta-MB]],InterspecUsage[[#This Row],[Free-of-Max]])</f>
        <v>32752</v>
      </c>
    </row>
    <row r="1049" spans="1:14" x14ac:dyDescent="0.25">
      <c r="A1049" s="3">
        <v>45278</v>
      </c>
      <c r="B1049" s="15" t="s">
        <v>28</v>
      </c>
      <c r="C1049" s="16">
        <v>3</v>
      </c>
      <c r="D1049" s="16">
        <v>23320</v>
      </c>
      <c r="E1049" s="16">
        <v>22565</v>
      </c>
      <c r="F1049" s="16">
        <v>755</v>
      </c>
      <c r="G1049" s="16">
        <v>97</v>
      </c>
      <c r="H1049" s="16">
        <v>32768</v>
      </c>
      <c r="I1049" s="16">
        <v>2</v>
      </c>
      <c r="J1049" s="15" t="s">
        <v>1</v>
      </c>
      <c r="K1049" s="15" t="s">
        <v>10</v>
      </c>
      <c r="L1049" s="8">
        <f>InterspecUsage[[#This Row],[Used-MB]]-F1039</f>
        <v>-62</v>
      </c>
      <c r="M1049">
        <f>InterspecUsage[[#This Row],[Max]]-InterspecUsage[[#This Row],[Used-MB]]</f>
        <v>32013</v>
      </c>
      <c r="N1049" s="5">
        <f>IF($L1049&gt;0,InterspecUsage[[#This Row],[Free-of-Max]]/InterspecUsage[[#This Row],[Usage-Delta-MB]],InterspecUsage[[#This Row],[Free-of-Max]])</f>
        <v>32013</v>
      </c>
    </row>
    <row r="1050" spans="1:14" x14ac:dyDescent="0.25">
      <c r="A1050" s="3">
        <v>45278</v>
      </c>
      <c r="B1050" s="15" t="s">
        <v>25</v>
      </c>
      <c r="C1050" s="16">
        <v>75</v>
      </c>
      <c r="D1050" s="16">
        <v>12700</v>
      </c>
      <c r="E1050" s="16">
        <v>3222</v>
      </c>
      <c r="F1050" s="16">
        <v>9478</v>
      </c>
      <c r="G1050" s="16">
        <v>25</v>
      </c>
      <c r="H1050" s="16">
        <v>32768</v>
      </c>
      <c r="I1050" s="16">
        <v>29</v>
      </c>
      <c r="J1050" s="15" t="s">
        <v>1</v>
      </c>
      <c r="K1050" s="15" t="s">
        <v>2</v>
      </c>
      <c r="L1050" s="8">
        <f>InterspecUsage[[#This Row],[Used-MB]]-F1040</f>
        <v>20</v>
      </c>
      <c r="M1050">
        <f>InterspecUsage[[#This Row],[Max]]-InterspecUsage[[#This Row],[Used-MB]]</f>
        <v>23290</v>
      </c>
      <c r="N1050" s="5">
        <f>IF($L1050&gt;0,InterspecUsage[[#This Row],[Free-of-Max]]/InterspecUsage[[#This Row],[Usage-Delta-MB]],InterspecUsage[[#This Row],[Free-of-Max]])</f>
        <v>1164.5</v>
      </c>
    </row>
    <row r="1051" spans="1:14" x14ac:dyDescent="0.25">
      <c r="A1051" s="3">
        <v>45278</v>
      </c>
      <c r="B1051" s="15" t="s">
        <v>29</v>
      </c>
      <c r="C1051" s="16">
        <v>0</v>
      </c>
      <c r="D1051" s="16">
        <v>500</v>
      </c>
      <c r="E1051" s="16">
        <v>499</v>
      </c>
      <c r="F1051" s="16">
        <v>1</v>
      </c>
      <c r="G1051" s="16">
        <v>100</v>
      </c>
      <c r="H1051" s="16">
        <v>500</v>
      </c>
      <c r="I1051" s="16">
        <v>0</v>
      </c>
      <c r="J1051" s="15" t="s">
        <v>1</v>
      </c>
      <c r="K1051" s="15" t="s">
        <v>2</v>
      </c>
      <c r="L1051" s="8">
        <f>InterspecUsage[[#This Row],[Used-MB]]-F1041</f>
        <v>0</v>
      </c>
      <c r="M1051">
        <f>InterspecUsage[[#This Row],[Max]]-InterspecUsage[[#This Row],[Used-MB]]</f>
        <v>499</v>
      </c>
      <c r="N1051" s="5">
        <f>IF($L1051&gt;0,InterspecUsage[[#This Row],[Free-of-Max]]/InterspecUsage[[#This Row],[Usage-Delta-MB]],InterspecUsage[[#This Row],[Free-of-Max]])</f>
        <v>499</v>
      </c>
    </row>
    <row r="1052" spans="1:14" x14ac:dyDescent="0.25">
      <c r="A1052" s="3">
        <v>45299</v>
      </c>
      <c r="B1052" s="15" t="s">
        <v>26</v>
      </c>
      <c r="C1052" s="16">
        <v>94</v>
      </c>
      <c r="D1052" s="16">
        <v>23288</v>
      </c>
      <c r="E1052" s="16">
        <v>1497</v>
      </c>
      <c r="F1052" s="16">
        <v>21791</v>
      </c>
      <c r="G1052" s="16">
        <v>6</v>
      </c>
      <c r="H1052" s="16">
        <v>40960</v>
      </c>
      <c r="I1052" s="16">
        <v>53</v>
      </c>
      <c r="J1052" s="15" t="s">
        <v>1</v>
      </c>
      <c r="K1052" s="15" t="s">
        <v>2</v>
      </c>
      <c r="L1052" s="8">
        <f>InterspecUsage[[#This Row],[Used-MB]]-F1042</f>
        <v>1</v>
      </c>
      <c r="M1052">
        <f>InterspecUsage[[#This Row],[Max]]-InterspecUsage[[#This Row],[Used-MB]]</f>
        <v>19169</v>
      </c>
      <c r="N1052" s="5">
        <f>IF($L1052&gt;0,InterspecUsage[[#This Row],[Free-of-Max]]/InterspecUsage[[#This Row],[Usage-Delta-MB]],InterspecUsage[[#This Row],[Free-of-Max]])</f>
        <v>19169</v>
      </c>
    </row>
    <row r="1053" spans="1:14" x14ac:dyDescent="0.25">
      <c r="A1053" s="3">
        <v>45299</v>
      </c>
      <c r="B1053" s="15" t="s">
        <v>24</v>
      </c>
      <c r="C1053" s="16">
        <v>96</v>
      </c>
      <c r="D1053" s="16">
        <v>56668</v>
      </c>
      <c r="E1053" s="16">
        <v>2391</v>
      </c>
      <c r="F1053" s="16">
        <v>54277</v>
      </c>
      <c r="G1053" s="16">
        <v>4</v>
      </c>
      <c r="H1053" s="16">
        <v>65536</v>
      </c>
      <c r="I1053" s="16">
        <v>83</v>
      </c>
      <c r="J1053" s="15" t="s">
        <v>1</v>
      </c>
      <c r="K1053" s="15" t="s">
        <v>2</v>
      </c>
      <c r="L1053" s="8">
        <f>InterspecUsage[[#This Row],[Used-MB]]-F1043</f>
        <v>219</v>
      </c>
      <c r="M1053">
        <f>InterspecUsage[[#This Row],[Max]]-InterspecUsage[[#This Row],[Used-MB]]</f>
        <v>11259</v>
      </c>
      <c r="N1053" s="5">
        <f>IF($L1053&gt;0,InterspecUsage[[#This Row],[Free-of-Max]]/InterspecUsage[[#This Row],[Usage-Delta-MB]],InterspecUsage[[#This Row],[Free-of-Max]])</f>
        <v>51.410958904109592</v>
      </c>
    </row>
    <row r="1054" spans="1:14" x14ac:dyDescent="0.25">
      <c r="A1054" s="3">
        <v>45299</v>
      </c>
      <c r="B1054" s="15" t="s">
        <v>35</v>
      </c>
      <c r="C1054" s="16">
        <v>95</v>
      </c>
      <c r="D1054" s="16">
        <v>29600</v>
      </c>
      <c r="E1054" s="16">
        <v>1567</v>
      </c>
      <c r="F1054" s="16">
        <v>28033</v>
      </c>
      <c r="G1054" s="16">
        <v>5</v>
      </c>
      <c r="H1054" s="16">
        <v>32768</v>
      </c>
      <c r="I1054" s="16">
        <v>86</v>
      </c>
      <c r="J1054" s="15" t="s">
        <v>1</v>
      </c>
      <c r="K1054" s="15" t="s">
        <v>2</v>
      </c>
      <c r="L1054" s="8">
        <f>InterspecUsage[[#This Row],[Used-MB]]-F1044</f>
        <v>64</v>
      </c>
      <c r="M1054">
        <f>InterspecUsage[[#This Row],[Max]]-InterspecUsage[[#This Row],[Used-MB]]</f>
        <v>4735</v>
      </c>
      <c r="N1054" s="5">
        <f>IF($L1054&gt;0,InterspecUsage[[#This Row],[Free-of-Max]]/InterspecUsage[[#This Row],[Usage-Delta-MB]],InterspecUsage[[#This Row],[Free-of-Max]])</f>
        <v>73.984375</v>
      </c>
    </row>
    <row r="1055" spans="1:14" x14ac:dyDescent="0.25">
      <c r="A1055" s="3">
        <v>45299</v>
      </c>
      <c r="B1055" s="15" t="s">
        <v>27</v>
      </c>
      <c r="C1055" s="16">
        <v>94</v>
      </c>
      <c r="D1055" s="16">
        <v>163840</v>
      </c>
      <c r="E1055" s="16">
        <v>10020</v>
      </c>
      <c r="F1055" s="16">
        <v>153820</v>
      </c>
      <c r="G1055" s="16">
        <v>6</v>
      </c>
      <c r="H1055" s="16">
        <v>163840</v>
      </c>
      <c r="I1055" s="16">
        <v>94</v>
      </c>
      <c r="J1055" s="15" t="s">
        <v>1</v>
      </c>
      <c r="K1055" s="15" t="s">
        <v>2</v>
      </c>
      <c r="L1055" s="8">
        <f>InterspecUsage[[#This Row],[Used-MB]]-F1045</f>
        <v>643</v>
      </c>
      <c r="M1055">
        <f>InterspecUsage[[#This Row],[Max]]-InterspecUsage[[#This Row],[Used-MB]]</f>
        <v>10020</v>
      </c>
      <c r="N1055" s="5">
        <f>IF($L1055&gt;0,InterspecUsage[[#This Row],[Free-of-Max]]/InterspecUsage[[#This Row],[Usage-Delta-MB]],InterspecUsage[[#This Row],[Free-of-Max]])</f>
        <v>15.583203732503888</v>
      </c>
    </row>
    <row r="1056" spans="1:14" x14ac:dyDescent="0.25">
      <c r="A1056" s="3">
        <v>45299</v>
      </c>
      <c r="B1056" s="15" t="s">
        <v>7</v>
      </c>
      <c r="C1056" s="16">
        <v>95</v>
      </c>
      <c r="D1056" s="16">
        <v>1800</v>
      </c>
      <c r="E1056" s="16">
        <v>81</v>
      </c>
      <c r="F1056" s="16">
        <v>1719</v>
      </c>
      <c r="G1056" s="16">
        <v>5</v>
      </c>
      <c r="H1056" s="16">
        <v>32768</v>
      </c>
      <c r="I1056" s="16">
        <v>5</v>
      </c>
      <c r="J1056" s="15" t="s">
        <v>1</v>
      </c>
      <c r="K1056" s="15" t="s">
        <v>2</v>
      </c>
      <c r="L1056" s="8">
        <f>InterspecUsage[[#This Row],[Used-MB]]-F1046</f>
        <v>22</v>
      </c>
      <c r="M1056">
        <f>InterspecUsage[[#This Row],[Max]]-InterspecUsage[[#This Row],[Used-MB]]</f>
        <v>31049</v>
      </c>
      <c r="N1056" s="5">
        <f>IF($L1056&gt;0,InterspecUsage[[#This Row],[Free-of-Max]]/InterspecUsage[[#This Row],[Usage-Delta-MB]],InterspecUsage[[#This Row],[Free-of-Max]])</f>
        <v>1411.3181818181818</v>
      </c>
    </row>
    <row r="1057" spans="1:14" x14ac:dyDescent="0.25">
      <c r="A1057" s="3">
        <v>45299</v>
      </c>
      <c r="B1057" s="15" t="s">
        <v>0</v>
      </c>
      <c r="C1057" s="16">
        <v>99</v>
      </c>
      <c r="D1057" s="16">
        <v>4400</v>
      </c>
      <c r="E1057" s="16">
        <v>47</v>
      </c>
      <c r="F1057" s="16">
        <v>4353</v>
      </c>
      <c r="G1057" s="16">
        <v>1</v>
      </c>
      <c r="H1057" s="16">
        <v>32768</v>
      </c>
      <c r="I1057" s="16">
        <v>13</v>
      </c>
      <c r="J1057" s="15" t="s">
        <v>1</v>
      </c>
      <c r="K1057" s="15" t="s">
        <v>2</v>
      </c>
      <c r="L1057" s="8">
        <f>InterspecUsage[[#This Row],[Used-MB]]-F1047</f>
        <v>0</v>
      </c>
      <c r="M1057">
        <f>InterspecUsage[[#This Row],[Max]]-InterspecUsage[[#This Row],[Used-MB]]</f>
        <v>28415</v>
      </c>
      <c r="N1057" s="5">
        <f>IF($L1057&gt;0,InterspecUsage[[#This Row],[Free-of-Max]]/InterspecUsage[[#This Row],[Usage-Delta-MB]],InterspecUsage[[#This Row],[Free-of-Max]])</f>
        <v>28415</v>
      </c>
    </row>
    <row r="1058" spans="1:14" x14ac:dyDescent="0.25">
      <c r="A1058" s="3">
        <v>45299</v>
      </c>
      <c r="B1058" s="15" t="s">
        <v>30</v>
      </c>
      <c r="C1058" s="16">
        <v>0</v>
      </c>
      <c r="D1058" s="16">
        <v>32767</v>
      </c>
      <c r="E1058" s="16">
        <v>32740</v>
      </c>
      <c r="F1058" s="16">
        <v>27</v>
      </c>
      <c r="G1058" s="16">
        <v>100</v>
      </c>
      <c r="H1058" s="16">
        <v>32768</v>
      </c>
      <c r="I1058" s="16">
        <v>0</v>
      </c>
      <c r="J1058" s="15" t="s">
        <v>1</v>
      </c>
      <c r="K1058" s="15" t="s">
        <v>13</v>
      </c>
      <c r="L1058" s="8">
        <f>InterspecUsage[[#This Row],[Used-MB]]-F1048</f>
        <v>11</v>
      </c>
      <c r="M1058">
        <f>InterspecUsage[[#This Row],[Max]]-InterspecUsage[[#This Row],[Used-MB]]</f>
        <v>32741</v>
      </c>
      <c r="N1058" s="5">
        <f>IF($L1058&gt;0,InterspecUsage[[#This Row],[Free-of-Max]]/InterspecUsage[[#This Row],[Usage-Delta-MB]],InterspecUsage[[#This Row],[Free-of-Max]])</f>
        <v>2976.4545454545455</v>
      </c>
    </row>
    <row r="1059" spans="1:14" x14ac:dyDescent="0.25">
      <c r="A1059" s="3">
        <v>45299</v>
      </c>
      <c r="B1059" s="15" t="s">
        <v>28</v>
      </c>
      <c r="C1059" s="16">
        <v>2</v>
      </c>
      <c r="D1059" s="16">
        <v>23320</v>
      </c>
      <c r="E1059" s="16">
        <v>22738</v>
      </c>
      <c r="F1059" s="16">
        <v>582</v>
      </c>
      <c r="G1059" s="16">
        <v>98</v>
      </c>
      <c r="H1059" s="16">
        <v>32768</v>
      </c>
      <c r="I1059" s="16">
        <v>2</v>
      </c>
      <c r="J1059" s="15" t="s">
        <v>1</v>
      </c>
      <c r="K1059" s="15" t="s">
        <v>10</v>
      </c>
      <c r="L1059" s="8">
        <f>InterspecUsage[[#This Row],[Used-MB]]-F1049</f>
        <v>-173</v>
      </c>
      <c r="M1059">
        <f>InterspecUsage[[#This Row],[Max]]-InterspecUsage[[#This Row],[Used-MB]]</f>
        <v>32186</v>
      </c>
      <c r="N1059" s="5">
        <f>IF($L1059&gt;0,InterspecUsage[[#This Row],[Free-of-Max]]/InterspecUsage[[#This Row],[Usage-Delta-MB]],InterspecUsage[[#This Row],[Free-of-Max]])</f>
        <v>32186</v>
      </c>
    </row>
    <row r="1060" spans="1:14" x14ac:dyDescent="0.25">
      <c r="A1060" s="3">
        <v>45299</v>
      </c>
      <c r="B1060" s="15" t="s">
        <v>25</v>
      </c>
      <c r="C1060" s="16">
        <v>75</v>
      </c>
      <c r="D1060" s="16">
        <v>12700</v>
      </c>
      <c r="E1060" s="16">
        <v>3172</v>
      </c>
      <c r="F1060" s="16">
        <v>9529</v>
      </c>
      <c r="G1060" s="16">
        <v>25</v>
      </c>
      <c r="H1060" s="16">
        <v>32768</v>
      </c>
      <c r="I1060" s="16">
        <v>29</v>
      </c>
      <c r="J1060" s="15" t="s">
        <v>1</v>
      </c>
      <c r="K1060" s="15" t="s">
        <v>2</v>
      </c>
      <c r="L1060" s="8">
        <f>InterspecUsage[[#This Row],[Used-MB]]-F1050</f>
        <v>51</v>
      </c>
      <c r="M1060">
        <f>InterspecUsage[[#This Row],[Max]]-InterspecUsage[[#This Row],[Used-MB]]</f>
        <v>23239</v>
      </c>
      <c r="N1060" s="5">
        <f>IF($L1060&gt;0,InterspecUsage[[#This Row],[Free-of-Max]]/InterspecUsage[[#This Row],[Usage-Delta-MB]],InterspecUsage[[#This Row],[Free-of-Max]])</f>
        <v>455.66666666666669</v>
      </c>
    </row>
    <row r="1061" spans="1:14" x14ac:dyDescent="0.25">
      <c r="A1061" s="3">
        <v>45299</v>
      </c>
      <c r="B1061" s="15" t="s">
        <v>29</v>
      </c>
      <c r="C1061" s="16">
        <v>0</v>
      </c>
      <c r="D1061" s="16">
        <v>500</v>
      </c>
      <c r="E1061" s="16">
        <v>499</v>
      </c>
      <c r="F1061" s="16">
        <v>1</v>
      </c>
      <c r="G1061" s="16">
        <v>100</v>
      </c>
      <c r="H1061" s="16">
        <v>500</v>
      </c>
      <c r="I1061" s="16">
        <v>0</v>
      </c>
      <c r="J1061" s="15" t="s">
        <v>1</v>
      </c>
      <c r="K1061" s="15" t="s">
        <v>2</v>
      </c>
      <c r="L1061" s="8">
        <f>InterspecUsage[[#This Row],[Used-MB]]-F1051</f>
        <v>0</v>
      </c>
      <c r="M1061">
        <f>InterspecUsage[[#This Row],[Max]]-InterspecUsage[[#This Row],[Used-MB]]</f>
        <v>499</v>
      </c>
      <c r="N1061" s="5">
        <f>IF($L1061&gt;0,InterspecUsage[[#This Row],[Free-of-Max]]/InterspecUsage[[#This Row],[Usage-Delta-MB]],InterspecUsage[[#This Row],[Free-of-Max]])</f>
        <v>499</v>
      </c>
    </row>
    <row r="1062" spans="1:14" x14ac:dyDescent="0.25">
      <c r="A1062" s="3">
        <v>45306</v>
      </c>
      <c r="B1062" s="15" t="s">
        <v>26</v>
      </c>
      <c r="C1062" s="16">
        <v>94</v>
      </c>
      <c r="D1062" s="16">
        <v>23288</v>
      </c>
      <c r="E1062" s="16">
        <v>1433</v>
      </c>
      <c r="F1062" s="16">
        <v>21855</v>
      </c>
      <c r="G1062" s="16">
        <v>6</v>
      </c>
      <c r="H1062" s="16">
        <v>40960</v>
      </c>
      <c r="I1062" s="16">
        <v>53</v>
      </c>
      <c r="J1062" s="15" t="s">
        <v>1</v>
      </c>
      <c r="K1062" s="15" t="s">
        <v>2</v>
      </c>
      <c r="L1062" s="8">
        <f>InterspecUsage[[#This Row],[Used-MB]]-F1052</f>
        <v>64</v>
      </c>
      <c r="M1062">
        <f>InterspecUsage[[#This Row],[Max]]-InterspecUsage[[#This Row],[Used-MB]]</f>
        <v>19105</v>
      </c>
      <c r="N1062" s="5">
        <f>IF($L1062&gt;0,InterspecUsage[[#This Row],[Free-of-Max]]/InterspecUsage[[#This Row],[Usage-Delta-MB]],InterspecUsage[[#This Row],[Free-of-Max]])</f>
        <v>298.515625</v>
      </c>
    </row>
    <row r="1063" spans="1:14" x14ac:dyDescent="0.25">
      <c r="A1063" s="3">
        <v>45306</v>
      </c>
      <c r="B1063" s="15" t="s">
        <v>24</v>
      </c>
      <c r="C1063" s="16">
        <v>96</v>
      </c>
      <c r="D1063" s="16">
        <v>56668</v>
      </c>
      <c r="E1063" s="16">
        <v>2197</v>
      </c>
      <c r="F1063" s="16">
        <v>54471</v>
      </c>
      <c r="G1063" s="16">
        <v>4</v>
      </c>
      <c r="H1063" s="16">
        <v>65536</v>
      </c>
      <c r="I1063" s="16">
        <v>83</v>
      </c>
      <c r="J1063" s="15" t="s">
        <v>1</v>
      </c>
      <c r="K1063" s="15" t="s">
        <v>2</v>
      </c>
      <c r="L1063" s="8">
        <f>InterspecUsage[[#This Row],[Used-MB]]-F1053</f>
        <v>194</v>
      </c>
      <c r="M1063">
        <f>InterspecUsage[[#This Row],[Max]]-InterspecUsage[[#This Row],[Used-MB]]</f>
        <v>11065</v>
      </c>
      <c r="N1063" s="5">
        <f>IF($L1063&gt;0,InterspecUsage[[#This Row],[Free-of-Max]]/InterspecUsage[[#This Row],[Usage-Delta-MB]],InterspecUsage[[#This Row],[Free-of-Max]])</f>
        <v>57.036082474226802</v>
      </c>
    </row>
    <row r="1064" spans="1:14" x14ac:dyDescent="0.25">
      <c r="A1064" s="3">
        <v>45306</v>
      </c>
      <c r="B1064" s="15" t="s">
        <v>35</v>
      </c>
      <c r="C1064" s="16">
        <v>95</v>
      </c>
      <c r="D1064" s="16">
        <v>29600</v>
      </c>
      <c r="E1064" s="16">
        <v>1503</v>
      </c>
      <c r="F1064" s="16">
        <v>28097</v>
      </c>
      <c r="G1064" s="16">
        <v>5</v>
      </c>
      <c r="H1064" s="16">
        <v>32768</v>
      </c>
      <c r="I1064" s="16">
        <v>86</v>
      </c>
      <c r="J1064" s="15" t="s">
        <v>1</v>
      </c>
      <c r="K1064" s="15" t="s">
        <v>2</v>
      </c>
      <c r="L1064" s="8">
        <f>InterspecUsage[[#This Row],[Used-MB]]-F1054</f>
        <v>64</v>
      </c>
      <c r="M1064">
        <f>InterspecUsage[[#This Row],[Max]]-InterspecUsage[[#This Row],[Used-MB]]</f>
        <v>4671</v>
      </c>
      <c r="N1064" s="5">
        <f>IF($L1064&gt;0,InterspecUsage[[#This Row],[Free-of-Max]]/InterspecUsage[[#This Row],[Usage-Delta-MB]],InterspecUsage[[#This Row],[Free-of-Max]])</f>
        <v>72.984375</v>
      </c>
    </row>
    <row r="1065" spans="1:14" x14ac:dyDescent="0.25">
      <c r="A1065" s="3">
        <v>45306</v>
      </c>
      <c r="B1065" s="15" t="s">
        <v>27</v>
      </c>
      <c r="C1065" s="16">
        <v>94</v>
      </c>
      <c r="D1065" s="16">
        <v>163840</v>
      </c>
      <c r="E1065" s="16">
        <v>9736</v>
      </c>
      <c r="F1065" s="16">
        <v>154104</v>
      </c>
      <c r="G1065" s="16">
        <v>6</v>
      </c>
      <c r="H1065" s="16">
        <v>163840</v>
      </c>
      <c r="I1065" s="16">
        <v>94</v>
      </c>
      <c r="J1065" s="15" t="s">
        <v>1</v>
      </c>
      <c r="K1065" s="15" t="s">
        <v>2</v>
      </c>
      <c r="L1065" s="8">
        <f>InterspecUsage[[#This Row],[Used-MB]]-F1055</f>
        <v>284</v>
      </c>
      <c r="M1065">
        <f>InterspecUsage[[#This Row],[Max]]-InterspecUsage[[#This Row],[Used-MB]]</f>
        <v>9736</v>
      </c>
      <c r="N1065" s="5">
        <f>IF($L1065&gt;0,InterspecUsage[[#This Row],[Free-of-Max]]/InterspecUsage[[#This Row],[Usage-Delta-MB]],InterspecUsage[[#This Row],[Free-of-Max]])</f>
        <v>34.281690140845072</v>
      </c>
    </row>
    <row r="1066" spans="1:14" x14ac:dyDescent="0.25">
      <c r="A1066" s="3">
        <v>45306</v>
      </c>
      <c r="B1066" s="15" t="s">
        <v>7</v>
      </c>
      <c r="C1066" s="16">
        <v>96</v>
      </c>
      <c r="D1066" s="16">
        <v>1800</v>
      </c>
      <c r="E1066" s="16">
        <v>81</v>
      </c>
      <c r="F1066" s="16">
        <v>1719</v>
      </c>
      <c r="G1066" s="16">
        <v>4</v>
      </c>
      <c r="H1066" s="16">
        <v>32768</v>
      </c>
      <c r="I1066" s="16">
        <v>5</v>
      </c>
      <c r="J1066" s="15" t="s">
        <v>1</v>
      </c>
      <c r="K1066" s="15" t="s">
        <v>2</v>
      </c>
      <c r="L1066" s="8">
        <f>InterspecUsage[[#This Row],[Used-MB]]-F1056</f>
        <v>0</v>
      </c>
      <c r="M1066">
        <f>InterspecUsage[[#This Row],[Max]]-InterspecUsage[[#This Row],[Used-MB]]</f>
        <v>31049</v>
      </c>
      <c r="N1066" s="5">
        <f>IF($L1066&gt;0,InterspecUsage[[#This Row],[Free-of-Max]]/InterspecUsage[[#This Row],[Usage-Delta-MB]],InterspecUsage[[#This Row],[Free-of-Max]])</f>
        <v>31049</v>
      </c>
    </row>
    <row r="1067" spans="1:14" x14ac:dyDescent="0.25">
      <c r="A1067" s="3">
        <v>45306</v>
      </c>
      <c r="B1067" s="15" t="s">
        <v>0</v>
      </c>
      <c r="C1067" s="16">
        <v>99</v>
      </c>
      <c r="D1067" s="16">
        <v>4400</v>
      </c>
      <c r="E1067" s="16">
        <v>47</v>
      </c>
      <c r="F1067" s="16">
        <v>4353</v>
      </c>
      <c r="G1067" s="16">
        <v>1</v>
      </c>
      <c r="H1067" s="16">
        <v>32768</v>
      </c>
      <c r="I1067" s="16">
        <v>13</v>
      </c>
      <c r="J1067" s="15" t="s">
        <v>1</v>
      </c>
      <c r="K1067" s="15" t="s">
        <v>2</v>
      </c>
      <c r="L1067" s="8">
        <f>InterspecUsage[[#This Row],[Used-MB]]-F1057</f>
        <v>0</v>
      </c>
      <c r="M1067">
        <f>InterspecUsage[[#This Row],[Max]]-InterspecUsage[[#This Row],[Used-MB]]</f>
        <v>28415</v>
      </c>
      <c r="N1067" s="5">
        <f>IF($L1067&gt;0,InterspecUsage[[#This Row],[Free-of-Max]]/InterspecUsage[[#This Row],[Usage-Delta-MB]],InterspecUsage[[#This Row],[Free-of-Max]])</f>
        <v>28415</v>
      </c>
    </row>
    <row r="1068" spans="1:14" x14ac:dyDescent="0.25">
      <c r="A1068" s="3">
        <v>45306</v>
      </c>
      <c r="B1068" s="15" t="s">
        <v>30</v>
      </c>
      <c r="C1068" s="16">
        <v>0</v>
      </c>
      <c r="D1068" s="16">
        <v>32767</v>
      </c>
      <c r="E1068" s="16">
        <v>32757</v>
      </c>
      <c r="F1068" s="16">
        <v>10</v>
      </c>
      <c r="G1068" s="16">
        <v>100</v>
      </c>
      <c r="H1068" s="16">
        <v>32768</v>
      </c>
      <c r="I1068" s="16">
        <v>0</v>
      </c>
      <c r="J1068" s="15" t="s">
        <v>1</v>
      </c>
      <c r="K1068" s="15" t="s">
        <v>13</v>
      </c>
      <c r="L1068" s="8">
        <f>InterspecUsage[[#This Row],[Used-MB]]-F1058</f>
        <v>-17</v>
      </c>
      <c r="M1068">
        <f>InterspecUsage[[#This Row],[Max]]-InterspecUsage[[#This Row],[Used-MB]]</f>
        <v>32758</v>
      </c>
      <c r="N1068" s="5">
        <f>IF($L1068&gt;0,InterspecUsage[[#This Row],[Free-of-Max]]/InterspecUsage[[#This Row],[Usage-Delta-MB]],InterspecUsage[[#This Row],[Free-of-Max]])</f>
        <v>32758</v>
      </c>
    </row>
    <row r="1069" spans="1:14" x14ac:dyDescent="0.25">
      <c r="A1069" s="3">
        <v>45306</v>
      </c>
      <c r="B1069" s="15" t="s">
        <v>28</v>
      </c>
      <c r="C1069" s="16">
        <v>2</v>
      </c>
      <c r="D1069" s="16">
        <v>23320</v>
      </c>
      <c r="E1069" s="16">
        <v>22912</v>
      </c>
      <c r="F1069" s="16">
        <v>408</v>
      </c>
      <c r="G1069" s="16">
        <v>98</v>
      </c>
      <c r="H1069" s="16">
        <v>32768</v>
      </c>
      <c r="I1069" s="16">
        <v>1</v>
      </c>
      <c r="J1069" s="15" t="s">
        <v>1</v>
      </c>
      <c r="K1069" s="15" t="s">
        <v>10</v>
      </c>
      <c r="L1069" s="8">
        <f>InterspecUsage[[#This Row],[Used-MB]]-F1059</f>
        <v>-174</v>
      </c>
      <c r="M1069">
        <f>InterspecUsage[[#This Row],[Max]]-InterspecUsage[[#This Row],[Used-MB]]</f>
        <v>32360</v>
      </c>
      <c r="N1069" s="5">
        <f>IF($L1069&gt;0,InterspecUsage[[#This Row],[Free-of-Max]]/InterspecUsage[[#This Row],[Usage-Delta-MB]],InterspecUsage[[#This Row],[Free-of-Max]])</f>
        <v>32360</v>
      </c>
    </row>
    <row r="1070" spans="1:14" x14ac:dyDescent="0.25">
      <c r="A1070" s="3">
        <v>45306</v>
      </c>
      <c r="B1070" s="15" t="s">
        <v>25</v>
      </c>
      <c r="C1070" s="16">
        <v>75</v>
      </c>
      <c r="D1070" s="16">
        <v>12700</v>
      </c>
      <c r="E1070" s="16">
        <v>3156</v>
      </c>
      <c r="F1070" s="16">
        <v>9545</v>
      </c>
      <c r="G1070" s="16">
        <v>25</v>
      </c>
      <c r="H1070" s="16">
        <v>32768</v>
      </c>
      <c r="I1070" s="16">
        <v>29</v>
      </c>
      <c r="J1070" s="15" t="s">
        <v>1</v>
      </c>
      <c r="K1070" s="15" t="s">
        <v>2</v>
      </c>
      <c r="L1070" s="8">
        <f>InterspecUsage[[#This Row],[Used-MB]]-F1060</f>
        <v>16</v>
      </c>
      <c r="M1070">
        <f>InterspecUsage[[#This Row],[Max]]-InterspecUsage[[#This Row],[Used-MB]]</f>
        <v>23223</v>
      </c>
      <c r="N1070" s="5">
        <f>IF($L1070&gt;0,InterspecUsage[[#This Row],[Free-of-Max]]/InterspecUsage[[#This Row],[Usage-Delta-MB]],InterspecUsage[[#This Row],[Free-of-Max]])</f>
        <v>1451.4375</v>
      </c>
    </row>
    <row r="1071" spans="1:14" x14ac:dyDescent="0.25">
      <c r="A1071" s="3">
        <v>45306</v>
      </c>
      <c r="B1071" s="15" t="s">
        <v>29</v>
      </c>
      <c r="C1071" s="16">
        <v>0</v>
      </c>
      <c r="D1071" s="16">
        <v>500</v>
      </c>
      <c r="E1071" s="16">
        <v>499</v>
      </c>
      <c r="F1071" s="16">
        <v>1</v>
      </c>
      <c r="G1071" s="16">
        <v>100</v>
      </c>
      <c r="H1071" s="16">
        <v>500</v>
      </c>
      <c r="I1071" s="16">
        <v>0</v>
      </c>
      <c r="J1071" s="15" t="s">
        <v>1</v>
      </c>
      <c r="K1071" s="15" t="s">
        <v>2</v>
      </c>
      <c r="L1071" s="8">
        <f>InterspecUsage[[#This Row],[Used-MB]]-F1061</f>
        <v>0</v>
      </c>
      <c r="M1071">
        <f>InterspecUsage[[#This Row],[Max]]-InterspecUsage[[#This Row],[Used-MB]]</f>
        <v>499</v>
      </c>
      <c r="N1071" s="5">
        <f>IF($L1071&gt;0,InterspecUsage[[#This Row],[Free-of-Max]]/InterspecUsage[[#This Row],[Usage-Delta-MB]],InterspecUsage[[#This Row],[Free-of-Max]])</f>
        <v>499</v>
      </c>
    </row>
    <row r="1072" spans="1:14" x14ac:dyDescent="0.25">
      <c r="A1072" s="3">
        <v>45320</v>
      </c>
      <c r="B1072" s="15" t="s">
        <v>26</v>
      </c>
      <c r="C1072" s="16">
        <v>94</v>
      </c>
      <c r="D1072" s="16">
        <v>23288</v>
      </c>
      <c r="E1072" s="16">
        <v>1305</v>
      </c>
      <c r="F1072" s="16">
        <v>21983</v>
      </c>
      <c r="G1072" s="16">
        <v>6</v>
      </c>
      <c r="H1072" s="16">
        <v>40960</v>
      </c>
      <c r="I1072" s="16">
        <v>54</v>
      </c>
      <c r="J1072" s="15" t="s">
        <v>1</v>
      </c>
      <c r="K1072" s="15" t="s">
        <v>2</v>
      </c>
      <c r="L1072" s="8">
        <f>InterspecUsage[[#This Row],[Used-MB]]-F1062</f>
        <v>128</v>
      </c>
      <c r="M1072">
        <f>InterspecUsage[[#This Row],[Max]]-InterspecUsage[[#This Row],[Used-MB]]</f>
        <v>18977</v>
      </c>
      <c r="N1072" s="5">
        <f>IF($L1072&gt;0,InterspecUsage[[#This Row],[Free-of-Max]]/InterspecUsage[[#This Row],[Usage-Delta-MB]],InterspecUsage[[#This Row],[Free-of-Max]])</f>
        <v>148.2578125</v>
      </c>
    </row>
    <row r="1073" spans="1:14" x14ac:dyDescent="0.25">
      <c r="A1073" s="3">
        <v>45320</v>
      </c>
      <c r="B1073" s="15" t="s">
        <v>24</v>
      </c>
      <c r="C1073" s="16">
        <v>97</v>
      </c>
      <c r="D1073" s="16">
        <v>56668</v>
      </c>
      <c r="E1073" s="16">
        <v>1968</v>
      </c>
      <c r="F1073" s="16">
        <v>54700</v>
      </c>
      <c r="G1073" s="16">
        <v>3</v>
      </c>
      <c r="H1073" s="16">
        <v>65536</v>
      </c>
      <c r="I1073" s="16">
        <v>83</v>
      </c>
      <c r="J1073" s="15" t="s">
        <v>1</v>
      </c>
      <c r="K1073" s="15" t="s">
        <v>2</v>
      </c>
      <c r="L1073" s="8">
        <f>InterspecUsage[[#This Row],[Used-MB]]-F1063</f>
        <v>229</v>
      </c>
      <c r="M1073">
        <f>InterspecUsage[[#This Row],[Max]]-InterspecUsage[[#This Row],[Used-MB]]</f>
        <v>10836</v>
      </c>
      <c r="N1073" s="5">
        <f>IF($L1073&gt;0,InterspecUsage[[#This Row],[Free-of-Max]]/InterspecUsage[[#This Row],[Usage-Delta-MB]],InterspecUsage[[#This Row],[Free-of-Max]])</f>
        <v>47.318777292576421</v>
      </c>
    </row>
    <row r="1074" spans="1:14" x14ac:dyDescent="0.25">
      <c r="A1074" s="3">
        <v>45320</v>
      </c>
      <c r="B1074" s="15" t="s">
        <v>35</v>
      </c>
      <c r="C1074" s="16">
        <v>95</v>
      </c>
      <c r="D1074" s="16">
        <v>29600</v>
      </c>
      <c r="E1074" s="16">
        <v>1438</v>
      </c>
      <c r="F1074" s="16">
        <v>28162</v>
      </c>
      <c r="G1074" s="16">
        <v>5</v>
      </c>
      <c r="H1074" s="16">
        <v>32768</v>
      </c>
      <c r="I1074" s="16">
        <v>86</v>
      </c>
      <c r="J1074" s="15" t="s">
        <v>1</v>
      </c>
      <c r="K1074" s="15" t="s">
        <v>2</v>
      </c>
      <c r="L1074" s="8">
        <f>InterspecUsage[[#This Row],[Used-MB]]-F1064</f>
        <v>65</v>
      </c>
      <c r="M1074">
        <f>InterspecUsage[[#This Row],[Max]]-InterspecUsage[[#This Row],[Used-MB]]</f>
        <v>4606</v>
      </c>
      <c r="N1074" s="5">
        <f>IF($L1074&gt;0,InterspecUsage[[#This Row],[Free-of-Max]]/InterspecUsage[[#This Row],[Usage-Delta-MB]],InterspecUsage[[#This Row],[Free-of-Max]])</f>
        <v>70.861538461538458</v>
      </c>
    </row>
    <row r="1075" spans="1:14" x14ac:dyDescent="0.25">
      <c r="A1075" s="3">
        <v>45320</v>
      </c>
      <c r="B1075" s="15" t="s">
        <v>27</v>
      </c>
      <c r="C1075" s="16">
        <v>94</v>
      </c>
      <c r="D1075" s="16">
        <v>163840</v>
      </c>
      <c r="E1075" s="16">
        <v>9114</v>
      </c>
      <c r="F1075" s="16">
        <v>154726</v>
      </c>
      <c r="G1075" s="16">
        <v>6</v>
      </c>
      <c r="H1075" s="16">
        <v>163840</v>
      </c>
      <c r="I1075" s="16">
        <v>94</v>
      </c>
      <c r="J1075" s="15" t="s">
        <v>1</v>
      </c>
      <c r="K1075" s="15" t="s">
        <v>2</v>
      </c>
      <c r="L1075" s="8">
        <f>InterspecUsage[[#This Row],[Used-MB]]-F1065</f>
        <v>622</v>
      </c>
      <c r="M1075">
        <f>InterspecUsage[[#This Row],[Max]]-InterspecUsage[[#This Row],[Used-MB]]</f>
        <v>9114</v>
      </c>
      <c r="N1075" s="5">
        <f>IF($L1075&gt;0,InterspecUsage[[#This Row],[Free-of-Max]]/InterspecUsage[[#This Row],[Usage-Delta-MB]],InterspecUsage[[#This Row],[Free-of-Max]])</f>
        <v>14.652733118971062</v>
      </c>
    </row>
    <row r="1076" spans="1:14" x14ac:dyDescent="0.25">
      <c r="A1076" s="3">
        <v>45320</v>
      </c>
      <c r="B1076" s="15" t="s">
        <v>7</v>
      </c>
      <c r="C1076" s="16">
        <v>95</v>
      </c>
      <c r="D1076" s="16">
        <v>1820</v>
      </c>
      <c r="E1076" s="16">
        <v>92</v>
      </c>
      <c r="F1076" s="16">
        <v>1728</v>
      </c>
      <c r="G1076" s="16">
        <v>5</v>
      </c>
      <c r="H1076" s="16">
        <v>32768</v>
      </c>
      <c r="I1076" s="16">
        <v>5</v>
      </c>
      <c r="J1076" s="15" t="s">
        <v>1</v>
      </c>
      <c r="K1076" s="15" t="s">
        <v>2</v>
      </c>
      <c r="L1076" s="8">
        <f>InterspecUsage[[#This Row],[Used-MB]]-F1066</f>
        <v>9</v>
      </c>
      <c r="M1076">
        <f>InterspecUsage[[#This Row],[Max]]-InterspecUsage[[#This Row],[Used-MB]]</f>
        <v>31040</v>
      </c>
      <c r="N1076" s="5">
        <f>IF($L1076&gt;0,InterspecUsage[[#This Row],[Free-of-Max]]/InterspecUsage[[#This Row],[Usage-Delta-MB]],InterspecUsage[[#This Row],[Free-of-Max]])</f>
        <v>3448.8888888888887</v>
      </c>
    </row>
    <row r="1077" spans="1:14" x14ac:dyDescent="0.25">
      <c r="A1077" s="3">
        <v>45320</v>
      </c>
      <c r="B1077" s="15" t="s">
        <v>0</v>
      </c>
      <c r="C1077" s="16">
        <v>99</v>
      </c>
      <c r="D1077" s="16">
        <v>4470</v>
      </c>
      <c r="E1077" s="16">
        <v>53</v>
      </c>
      <c r="F1077" s="16">
        <v>4417</v>
      </c>
      <c r="G1077" s="16">
        <v>1</v>
      </c>
      <c r="H1077" s="16">
        <v>32768</v>
      </c>
      <c r="I1077" s="16">
        <v>13</v>
      </c>
      <c r="J1077" s="15" t="s">
        <v>1</v>
      </c>
      <c r="K1077" s="15" t="s">
        <v>2</v>
      </c>
      <c r="L1077" s="8">
        <f>InterspecUsage[[#This Row],[Used-MB]]-F1067</f>
        <v>64</v>
      </c>
      <c r="M1077">
        <f>InterspecUsage[[#This Row],[Max]]-InterspecUsage[[#This Row],[Used-MB]]</f>
        <v>28351</v>
      </c>
      <c r="N1077" s="5">
        <f>IF($L1077&gt;0,InterspecUsage[[#This Row],[Free-of-Max]]/InterspecUsage[[#This Row],[Usage-Delta-MB]],InterspecUsage[[#This Row],[Free-of-Max]])</f>
        <v>442.984375</v>
      </c>
    </row>
    <row r="1078" spans="1:14" x14ac:dyDescent="0.25">
      <c r="A1078" s="3">
        <v>45320</v>
      </c>
      <c r="B1078" s="15" t="s">
        <v>30</v>
      </c>
      <c r="C1078" s="16">
        <v>0</v>
      </c>
      <c r="D1078" s="16">
        <v>32767</v>
      </c>
      <c r="E1078" s="16">
        <v>32748</v>
      </c>
      <c r="F1078" s="16">
        <v>19</v>
      </c>
      <c r="G1078" s="16">
        <v>100</v>
      </c>
      <c r="H1078" s="16">
        <v>32768</v>
      </c>
      <c r="I1078" s="16">
        <v>0</v>
      </c>
      <c r="J1078" s="15" t="s">
        <v>1</v>
      </c>
      <c r="K1078" s="15" t="s">
        <v>13</v>
      </c>
      <c r="L1078" s="8">
        <f>InterspecUsage[[#This Row],[Used-MB]]-F1068</f>
        <v>9</v>
      </c>
      <c r="M1078">
        <f>InterspecUsage[[#This Row],[Max]]-InterspecUsage[[#This Row],[Used-MB]]</f>
        <v>32749</v>
      </c>
      <c r="N1078" s="5">
        <f>IF($L1078&gt;0,InterspecUsage[[#This Row],[Free-of-Max]]/InterspecUsage[[#This Row],[Usage-Delta-MB]],InterspecUsage[[#This Row],[Free-of-Max]])</f>
        <v>3638.7777777777778</v>
      </c>
    </row>
    <row r="1079" spans="1:14" x14ac:dyDescent="0.25">
      <c r="A1079" s="3">
        <v>45320</v>
      </c>
      <c r="B1079" s="15" t="s">
        <v>28</v>
      </c>
      <c r="C1079" s="16">
        <v>1</v>
      </c>
      <c r="D1079" s="16">
        <v>23320</v>
      </c>
      <c r="E1079" s="16">
        <v>22979</v>
      </c>
      <c r="F1079" s="16">
        <v>341</v>
      </c>
      <c r="G1079" s="16">
        <v>99</v>
      </c>
      <c r="H1079" s="16">
        <v>32768</v>
      </c>
      <c r="I1079" s="16">
        <v>1</v>
      </c>
      <c r="J1079" s="15" t="s">
        <v>1</v>
      </c>
      <c r="K1079" s="15" t="s">
        <v>10</v>
      </c>
      <c r="L1079" s="8">
        <f>InterspecUsage[[#This Row],[Used-MB]]-F1069</f>
        <v>-67</v>
      </c>
      <c r="M1079">
        <f>InterspecUsage[[#This Row],[Max]]-InterspecUsage[[#This Row],[Used-MB]]</f>
        <v>32427</v>
      </c>
      <c r="N1079" s="5">
        <f>IF($L1079&gt;0,InterspecUsage[[#This Row],[Free-of-Max]]/InterspecUsage[[#This Row],[Usage-Delta-MB]],InterspecUsage[[#This Row],[Free-of-Max]])</f>
        <v>32427</v>
      </c>
    </row>
    <row r="1080" spans="1:14" x14ac:dyDescent="0.25">
      <c r="A1080" s="3">
        <v>45320</v>
      </c>
      <c r="B1080" s="15" t="s">
        <v>25</v>
      </c>
      <c r="C1080" s="16">
        <v>75</v>
      </c>
      <c r="D1080" s="16">
        <v>12700</v>
      </c>
      <c r="E1080" s="16">
        <v>3122</v>
      </c>
      <c r="F1080" s="16">
        <v>9579</v>
      </c>
      <c r="G1080" s="16">
        <v>25</v>
      </c>
      <c r="H1080" s="16">
        <v>32768</v>
      </c>
      <c r="I1080" s="16">
        <v>29</v>
      </c>
      <c r="J1080" s="15" t="s">
        <v>1</v>
      </c>
      <c r="K1080" s="15" t="s">
        <v>2</v>
      </c>
      <c r="L1080" s="8">
        <f>InterspecUsage[[#This Row],[Used-MB]]-F1070</f>
        <v>34</v>
      </c>
      <c r="M1080">
        <f>InterspecUsage[[#This Row],[Max]]-InterspecUsage[[#This Row],[Used-MB]]</f>
        <v>23189</v>
      </c>
      <c r="N1080" s="5">
        <f>IF($L1080&gt;0,InterspecUsage[[#This Row],[Free-of-Max]]/InterspecUsage[[#This Row],[Usage-Delta-MB]],InterspecUsage[[#This Row],[Free-of-Max]])</f>
        <v>682.02941176470586</v>
      </c>
    </row>
    <row r="1081" spans="1:14" x14ac:dyDescent="0.25">
      <c r="A1081" s="3">
        <v>45320</v>
      </c>
      <c r="B1081" s="15" t="s">
        <v>29</v>
      </c>
      <c r="C1081" s="16">
        <v>0</v>
      </c>
      <c r="D1081" s="16">
        <v>500</v>
      </c>
      <c r="E1081" s="16">
        <v>499</v>
      </c>
      <c r="F1081" s="16">
        <v>1</v>
      </c>
      <c r="G1081" s="16">
        <v>100</v>
      </c>
      <c r="H1081" s="16">
        <v>500</v>
      </c>
      <c r="I1081" s="16">
        <v>0</v>
      </c>
      <c r="J1081" s="15" t="s">
        <v>1</v>
      </c>
      <c r="K1081" s="15" t="s">
        <v>2</v>
      </c>
      <c r="L1081" s="8">
        <f>InterspecUsage[[#This Row],[Used-MB]]-F1071</f>
        <v>0</v>
      </c>
      <c r="M1081">
        <f>InterspecUsage[[#This Row],[Max]]-InterspecUsage[[#This Row],[Used-MB]]</f>
        <v>499</v>
      </c>
      <c r="N1081" s="5">
        <f>IF($L1081&gt;0,InterspecUsage[[#This Row],[Free-of-Max]]/InterspecUsage[[#This Row],[Usage-Delta-MB]],InterspecUsage[[#This Row],[Free-of-Max]])</f>
        <v>499</v>
      </c>
    </row>
    <row r="1082" spans="1:14" x14ac:dyDescent="0.25">
      <c r="A1082" s="3">
        <v>45327</v>
      </c>
      <c r="B1082" s="15" t="s">
        <v>26</v>
      </c>
      <c r="C1082" s="16">
        <v>94</v>
      </c>
      <c r="D1082" s="16">
        <v>23288</v>
      </c>
      <c r="E1082" s="16">
        <v>1305</v>
      </c>
      <c r="F1082" s="16">
        <v>21983</v>
      </c>
      <c r="G1082" s="16">
        <v>6</v>
      </c>
      <c r="H1082" s="16">
        <v>40960</v>
      </c>
      <c r="I1082" s="16">
        <v>54</v>
      </c>
      <c r="J1082" s="15" t="s">
        <v>1</v>
      </c>
      <c r="K1082" s="15" t="s">
        <v>2</v>
      </c>
      <c r="L1082" s="8">
        <f>InterspecUsage[[#This Row],[Used-MB]]-F1072</f>
        <v>0</v>
      </c>
      <c r="M1082">
        <f>InterspecUsage[[#This Row],[Max]]-InterspecUsage[[#This Row],[Used-MB]]</f>
        <v>18977</v>
      </c>
      <c r="N1082" s="5">
        <f>IF($L1082&gt;0,InterspecUsage[[#This Row],[Free-of-Max]]/InterspecUsage[[#This Row],[Usage-Delta-MB]],InterspecUsage[[#This Row],[Free-of-Max]])</f>
        <v>18977</v>
      </c>
    </row>
    <row r="1083" spans="1:14" x14ac:dyDescent="0.25">
      <c r="A1083" s="3">
        <v>45327</v>
      </c>
      <c r="B1083" s="15" t="s">
        <v>24</v>
      </c>
      <c r="C1083" s="16">
        <v>97</v>
      </c>
      <c r="D1083" s="16">
        <v>56668</v>
      </c>
      <c r="E1083" s="16">
        <v>1719</v>
      </c>
      <c r="F1083" s="16">
        <v>54949</v>
      </c>
      <c r="G1083" s="16">
        <v>3</v>
      </c>
      <c r="H1083" s="16">
        <v>65536</v>
      </c>
      <c r="I1083" s="16">
        <v>84</v>
      </c>
      <c r="J1083" s="15" t="s">
        <v>1</v>
      </c>
      <c r="K1083" s="15" t="s">
        <v>2</v>
      </c>
      <c r="L1083" s="8">
        <f>InterspecUsage[[#This Row],[Used-MB]]-F1073</f>
        <v>249</v>
      </c>
      <c r="M1083">
        <f>InterspecUsage[[#This Row],[Max]]-InterspecUsage[[#This Row],[Used-MB]]</f>
        <v>10587</v>
      </c>
      <c r="N1083" s="5">
        <f>IF($L1083&gt;0,InterspecUsage[[#This Row],[Free-of-Max]]/InterspecUsage[[#This Row],[Usage-Delta-MB]],InterspecUsage[[#This Row],[Free-of-Max]])</f>
        <v>42.518072289156628</v>
      </c>
    </row>
    <row r="1084" spans="1:14" x14ac:dyDescent="0.25">
      <c r="A1084" s="3">
        <v>45327</v>
      </c>
      <c r="B1084" s="15" t="s">
        <v>35</v>
      </c>
      <c r="C1084" s="16">
        <v>95</v>
      </c>
      <c r="D1084" s="16">
        <v>29600</v>
      </c>
      <c r="E1084" s="16">
        <v>1374</v>
      </c>
      <c r="F1084" s="16">
        <v>28226</v>
      </c>
      <c r="G1084" s="16">
        <v>5</v>
      </c>
      <c r="H1084" s="16">
        <v>32768</v>
      </c>
      <c r="I1084" s="16">
        <v>86</v>
      </c>
      <c r="J1084" s="15" t="s">
        <v>1</v>
      </c>
      <c r="K1084" s="15" t="s">
        <v>2</v>
      </c>
      <c r="L1084" s="8">
        <f>InterspecUsage[[#This Row],[Used-MB]]-F1074</f>
        <v>64</v>
      </c>
      <c r="M1084">
        <f>InterspecUsage[[#This Row],[Max]]-InterspecUsage[[#This Row],[Used-MB]]</f>
        <v>4542</v>
      </c>
      <c r="N1084" s="5">
        <f>IF($L1084&gt;0,InterspecUsage[[#This Row],[Free-of-Max]]/InterspecUsage[[#This Row],[Usage-Delta-MB]],InterspecUsage[[#This Row],[Free-of-Max]])</f>
        <v>70.96875</v>
      </c>
    </row>
    <row r="1085" spans="1:14" x14ac:dyDescent="0.25">
      <c r="A1085" s="3">
        <v>45327</v>
      </c>
      <c r="B1085" s="15" t="s">
        <v>27</v>
      </c>
      <c r="C1085" s="16">
        <v>95</v>
      </c>
      <c r="D1085" s="16">
        <v>163840</v>
      </c>
      <c r="E1085" s="16">
        <v>8626</v>
      </c>
      <c r="F1085" s="16">
        <v>155214</v>
      </c>
      <c r="G1085" s="16">
        <v>5</v>
      </c>
      <c r="H1085" s="16">
        <v>163840</v>
      </c>
      <c r="I1085" s="16">
        <v>95</v>
      </c>
      <c r="J1085" s="15" t="s">
        <v>1</v>
      </c>
      <c r="K1085" s="15" t="s">
        <v>2</v>
      </c>
      <c r="L1085" s="8">
        <f>InterspecUsage[[#This Row],[Used-MB]]-F1075</f>
        <v>488</v>
      </c>
      <c r="M1085">
        <f>InterspecUsage[[#This Row],[Max]]-InterspecUsage[[#This Row],[Used-MB]]</f>
        <v>8626</v>
      </c>
      <c r="N1085" s="5">
        <f>IF($L1085&gt;0,InterspecUsage[[#This Row],[Free-of-Max]]/InterspecUsage[[#This Row],[Usage-Delta-MB]],InterspecUsage[[#This Row],[Free-of-Max]])</f>
        <v>17.67622950819672</v>
      </c>
    </row>
    <row r="1086" spans="1:14" x14ac:dyDescent="0.25">
      <c r="A1086" s="3">
        <v>45327</v>
      </c>
      <c r="B1086" s="15" t="s">
        <v>7</v>
      </c>
      <c r="C1086" s="16">
        <v>95</v>
      </c>
      <c r="D1086" s="16">
        <v>1840</v>
      </c>
      <c r="E1086" s="16">
        <v>95</v>
      </c>
      <c r="F1086" s="16">
        <v>1745</v>
      </c>
      <c r="G1086" s="16">
        <v>5</v>
      </c>
      <c r="H1086" s="16">
        <v>32768</v>
      </c>
      <c r="I1086" s="16">
        <v>5</v>
      </c>
      <c r="J1086" s="15" t="s">
        <v>1</v>
      </c>
      <c r="K1086" s="15" t="s">
        <v>2</v>
      </c>
      <c r="L1086" s="8">
        <f>InterspecUsage[[#This Row],[Used-MB]]-F1076</f>
        <v>17</v>
      </c>
      <c r="M1086">
        <f>InterspecUsage[[#This Row],[Max]]-InterspecUsage[[#This Row],[Used-MB]]</f>
        <v>31023</v>
      </c>
      <c r="N1086" s="5">
        <f>IF($L1086&gt;0,InterspecUsage[[#This Row],[Free-of-Max]]/InterspecUsage[[#This Row],[Usage-Delta-MB]],InterspecUsage[[#This Row],[Free-of-Max]])</f>
        <v>1824.8823529411766</v>
      </c>
    </row>
    <row r="1087" spans="1:14" x14ac:dyDescent="0.25">
      <c r="A1087" s="3">
        <v>45327</v>
      </c>
      <c r="B1087" s="15" t="s">
        <v>0</v>
      </c>
      <c r="C1087" s="16">
        <v>99</v>
      </c>
      <c r="D1087" s="16">
        <v>4470</v>
      </c>
      <c r="E1087" s="16">
        <v>53</v>
      </c>
      <c r="F1087" s="16">
        <v>4417</v>
      </c>
      <c r="G1087" s="16">
        <v>1</v>
      </c>
      <c r="H1087" s="16">
        <v>32768</v>
      </c>
      <c r="I1087" s="16">
        <v>13</v>
      </c>
      <c r="J1087" s="15" t="s">
        <v>1</v>
      </c>
      <c r="K1087" s="15" t="s">
        <v>2</v>
      </c>
      <c r="L1087" s="8">
        <f>InterspecUsage[[#This Row],[Used-MB]]-F1077</f>
        <v>0</v>
      </c>
      <c r="M1087">
        <f>InterspecUsage[[#This Row],[Max]]-InterspecUsage[[#This Row],[Used-MB]]</f>
        <v>28351</v>
      </c>
      <c r="N1087" s="5">
        <f>IF($L1087&gt;0,InterspecUsage[[#This Row],[Free-of-Max]]/InterspecUsage[[#This Row],[Usage-Delta-MB]],InterspecUsage[[#This Row],[Free-of-Max]])</f>
        <v>28351</v>
      </c>
    </row>
    <row r="1088" spans="1:14" x14ac:dyDescent="0.25">
      <c r="A1088" s="3">
        <v>45327</v>
      </c>
      <c r="B1088" s="15" t="s">
        <v>30</v>
      </c>
      <c r="C1088" s="16">
        <v>0</v>
      </c>
      <c r="D1088" s="16">
        <v>32767</v>
      </c>
      <c r="E1088" s="16">
        <v>32750</v>
      </c>
      <c r="F1088" s="16">
        <v>17</v>
      </c>
      <c r="G1088" s="16">
        <v>100</v>
      </c>
      <c r="H1088" s="16">
        <v>32768</v>
      </c>
      <c r="I1088" s="16">
        <v>0</v>
      </c>
      <c r="J1088" s="15" t="s">
        <v>1</v>
      </c>
      <c r="K1088" s="15" t="s">
        <v>13</v>
      </c>
      <c r="L1088" s="8">
        <f>InterspecUsage[[#This Row],[Used-MB]]-F1078</f>
        <v>-2</v>
      </c>
      <c r="M1088">
        <f>InterspecUsage[[#This Row],[Max]]-InterspecUsage[[#This Row],[Used-MB]]</f>
        <v>32751</v>
      </c>
      <c r="N1088" s="5">
        <f>IF($L1088&gt;0,InterspecUsage[[#This Row],[Free-of-Max]]/InterspecUsage[[#This Row],[Usage-Delta-MB]],InterspecUsage[[#This Row],[Free-of-Max]])</f>
        <v>32751</v>
      </c>
    </row>
    <row r="1089" spans="1:14" x14ac:dyDescent="0.25">
      <c r="A1089" s="3">
        <v>45327</v>
      </c>
      <c r="B1089" s="15" t="s">
        <v>28</v>
      </c>
      <c r="C1089" s="16">
        <v>2</v>
      </c>
      <c r="D1089" s="16">
        <v>23320</v>
      </c>
      <c r="E1089" s="16">
        <v>22788</v>
      </c>
      <c r="F1089" s="16">
        <v>532</v>
      </c>
      <c r="G1089" s="16">
        <v>98</v>
      </c>
      <c r="H1089" s="16">
        <v>32768</v>
      </c>
      <c r="I1089" s="16">
        <v>2</v>
      </c>
      <c r="J1089" s="15" t="s">
        <v>1</v>
      </c>
      <c r="K1089" s="15" t="s">
        <v>10</v>
      </c>
      <c r="L1089" s="8">
        <f>InterspecUsage[[#This Row],[Used-MB]]-F1079</f>
        <v>191</v>
      </c>
      <c r="M1089">
        <f>InterspecUsage[[#This Row],[Max]]-InterspecUsage[[#This Row],[Used-MB]]</f>
        <v>32236</v>
      </c>
      <c r="N1089" s="5">
        <f>IF($L1089&gt;0,InterspecUsage[[#This Row],[Free-of-Max]]/InterspecUsage[[#This Row],[Usage-Delta-MB]],InterspecUsage[[#This Row],[Free-of-Max]])</f>
        <v>168.77486910994764</v>
      </c>
    </row>
    <row r="1090" spans="1:14" x14ac:dyDescent="0.25">
      <c r="A1090" s="3">
        <v>45327</v>
      </c>
      <c r="B1090" s="15" t="s">
        <v>25</v>
      </c>
      <c r="C1090" s="16">
        <v>76</v>
      </c>
      <c r="D1090" s="16">
        <v>12700</v>
      </c>
      <c r="E1090" s="16">
        <v>3095</v>
      </c>
      <c r="F1090" s="16">
        <v>9606</v>
      </c>
      <c r="G1090" s="16">
        <v>24</v>
      </c>
      <c r="H1090" s="16">
        <v>32768</v>
      </c>
      <c r="I1090" s="16">
        <v>29</v>
      </c>
      <c r="J1090" s="15" t="s">
        <v>1</v>
      </c>
      <c r="K1090" s="15" t="s">
        <v>2</v>
      </c>
      <c r="L1090" s="8">
        <f>InterspecUsage[[#This Row],[Used-MB]]-F1080</f>
        <v>27</v>
      </c>
      <c r="M1090">
        <f>InterspecUsage[[#This Row],[Max]]-InterspecUsage[[#This Row],[Used-MB]]</f>
        <v>23162</v>
      </c>
      <c r="N1090" s="5">
        <f>IF($L1090&gt;0,InterspecUsage[[#This Row],[Free-of-Max]]/InterspecUsage[[#This Row],[Usage-Delta-MB]],InterspecUsage[[#This Row],[Free-of-Max]])</f>
        <v>857.85185185185185</v>
      </c>
    </row>
    <row r="1091" spans="1:14" x14ac:dyDescent="0.25">
      <c r="A1091" s="3">
        <v>45327</v>
      </c>
      <c r="B1091" s="15" t="s">
        <v>29</v>
      </c>
      <c r="C1091" s="16">
        <v>0</v>
      </c>
      <c r="D1091" s="16">
        <v>500</v>
      </c>
      <c r="E1091" s="16">
        <v>499</v>
      </c>
      <c r="F1091" s="16">
        <v>1</v>
      </c>
      <c r="G1091" s="16">
        <v>100</v>
      </c>
      <c r="H1091" s="16">
        <v>500</v>
      </c>
      <c r="I1091" s="16">
        <v>0</v>
      </c>
      <c r="J1091" s="15" t="s">
        <v>1</v>
      </c>
      <c r="K1091" s="15" t="s">
        <v>2</v>
      </c>
      <c r="L1091" s="8">
        <f>InterspecUsage[[#This Row],[Used-MB]]-F1081</f>
        <v>0</v>
      </c>
      <c r="M1091">
        <f>InterspecUsage[[#This Row],[Max]]-InterspecUsage[[#This Row],[Used-MB]]</f>
        <v>499</v>
      </c>
      <c r="N1091" s="5">
        <f>IF($L1091&gt;0,InterspecUsage[[#This Row],[Free-of-Max]]/InterspecUsage[[#This Row],[Usage-Delta-MB]],InterspecUsage[[#This Row],[Free-of-Max]])</f>
        <v>499</v>
      </c>
    </row>
    <row r="1092" spans="1:14" x14ac:dyDescent="0.25">
      <c r="A1092" s="3">
        <v>45334</v>
      </c>
      <c r="B1092" s="15" t="s">
        <v>26</v>
      </c>
      <c r="C1092" s="16">
        <v>95</v>
      </c>
      <c r="D1092" s="16">
        <v>23288</v>
      </c>
      <c r="E1092" s="16">
        <v>1241</v>
      </c>
      <c r="F1092" s="16">
        <v>22047</v>
      </c>
      <c r="G1092" s="16">
        <v>5</v>
      </c>
      <c r="H1092" s="16">
        <v>40960</v>
      </c>
      <c r="I1092" s="16">
        <v>54</v>
      </c>
      <c r="J1092" s="15" t="s">
        <v>1</v>
      </c>
      <c r="K1092" s="15" t="s">
        <v>2</v>
      </c>
      <c r="L1092" s="8">
        <f>InterspecUsage[[#This Row],[Used-MB]]-F1082</f>
        <v>64</v>
      </c>
      <c r="M1092">
        <f>InterspecUsage[[#This Row],[Max]]-InterspecUsage[[#This Row],[Used-MB]]</f>
        <v>18913</v>
      </c>
      <c r="N1092" s="5">
        <f>IF($L1092&gt;0,InterspecUsage[[#This Row],[Free-of-Max]]/InterspecUsage[[#This Row],[Usage-Delta-MB]],InterspecUsage[[#This Row],[Free-of-Max]])</f>
        <v>295.515625</v>
      </c>
    </row>
    <row r="1093" spans="1:14" x14ac:dyDescent="0.25">
      <c r="A1093" s="3">
        <v>45334</v>
      </c>
      <c r="B1093" s="15" t="s">
        <v>24</v>
      </c>
      <c r="C1093" s="16">
        <v>97</v>
      </c>
      <c r="D1093" s="16">
        <v>56668</v>
      </c>
      <c r="E1093" s="16">
        <v>1572</v>
      </c>
      <c r="F1093" s="16">
        <v>55096</v>
      </c>
      <c r="G1093" s="16">
        <v>3</v>
      </c>
      <c r="H1093" s="16">
        <v>65536</v>
      </c>
      <c r="I1093" s="16">
        <v>84</v>
      </c>
      <c r="J1093" s="15" t="s">
        <v>1</v>
      </c>
      <c r="K1093" s="15" t="s">
        <v>2</v>
      </c>
      <c r="L1093" s="8">
        <f>InterspecUsage[[#This Row],[Used-MB]]-F1083</f>
        <v>147</v>
      </c>
      <c r="M1093">
        <f>InterspecUsage[[#This Row],[Max]]-InterspecUsage[[#This Row],[Used-MB]]</f>
        <v>10440</v>
      </c>
      <c r="N1093" s="5">
        <f>IF($L1093&gt;0,InterspecUsage[[#This Row],[Free-of-Max]]/InterspecUsage[[#This Row],[Usage-Delta-MB]],InterspecUsage[[#This Row],[Free-of-Max]])</f>
        <v>71.020408163265301</v>
      </c>
    </row>
    <row r="1094" spans="1:14" x14ac:dyDescent="0.25">
      <c r="A1094" s="3">
        <v>45334</v>
      </c>
      <c r="B1094" s="15" t="s">
        <v>35</v>
      </c>
      <c r="C1094" s="16">
        <v>96</v>
      </c>
      <c r="D1094" s="16">
        <v>29600</v>
      </c>
      <c r="E1094" s="16">
        <v>1310</v>
      </c>
      <c r="F1094" s="16">
        <v>28290</v>
      </c>
      <c r="G1094" s="16">
        <v>4</v>
      </c>
      <c r="H1094" s="16">
        <v>32768</v>
      </c>
      <c r="I1094" s="16">
        <v>86</v>
      </c>
      <c r="J1094" s="15" t="s">
        <v>1</v>
      </c>
      <c r="K1094" s="15" t="s">
        <v>2</v>
      </c>
      <c r="L1094" s="8">
        <f>InterspecUsage[[#This Row],[Used-MB]]-F1084</f>
        <v>64</v>
      </c>
      <c r="M1094">
        <f>InterspecUsage[[#This Row],[Max]]-InterspecUsage[[#This Row],[Used-MB]]</f>
        <v>4478</v>
      </c>
      <c r="N1094" s="5">
        <f>IF($L1094&gt;0,InterspecUsage[[#This Row],[Free-of-Max]]/InterspecUsage[[#This Row],[Usage-Delta-MB]],InterspecUsage[[#This Row],[Free-of-Max]])</f>
        <v>69.96875</v>
      </c>
    </row>
    <row r="1095" spans="1:14" x14ac:dyDescent="0.25">
      <c r="A1095" s="3">
        <v>45334</v>
      </c>
      <c r="B1095" s="15" t="s">
        <v>27</v>
      </c>
      <c r="C1095" s="16">
        <v>95</v>
      </c>
      <c r="D1095" s="16">
        <v>163840</v>
      </c>
      <c r="E1095" s="16">
        <v>8251</v>
      </c>
      <c r="F1095" s="16">
        <v>155589</v>
      </c>
      <c r="G1095" s="16">
        <v>5</v>
      </c>
      <c r="H1095" s="16">
        <v>163840</v>
      </c>
      <c r="I1095" s="16">
        <v>95</v>
      </c>
      <c r="J1095" s="15" t="s">
        <v>1</v>
      </c>
      <c r="K1095" s="15" t="s">
        <v>2</v>
      </c>
      <c r="L1095" s="8">
        <f>InterspecUsage[[#This Row],[Used-MB]]-F1085</f>
        <v>375</v>
      </c>
      <c r="M1095">
        <f>InterspecUsage[[#This Row],[Max]]-InterspecUsage[[#This Row],[Used-MB]]</f>
        <v>8251</v>
      </c>
      <c r="N1095" s="5">
        <f>IF($L1095&gt;0,InterspecUsage[[#This Row],[Free-of-Max]]/InterspecUsage[[#This Row],[Usage-Delta-MB]],InterspecUsage[[#This Row],[Free-of-Max]])</f>
        <v>22.002666666666666</v>
      </c>
    </row>
    <row r="1096" spans="1:14" x14ac:dyDescent="0.25">
      <c r="A1096" s="3">
        <v>45334</v>
      </c>
      <c r="B1096" s="15" t="s">
        <v>7</v>
      </c>
      <c r="C1096" s="16">
        <v>95</v>
      </c>
      <c r="D1096" s="16">
        <v>1840</v>
      </c>
      <c r="E1096" s="16">
        <v>94</v>
      </c>
      <c r="F1096" s="16">
        <v>1746</v>
      </c>
      <c r="G1096" s="16">
        <v>5</v>
      </c>
      <c r="H1096" s="16">
        <v>32768</v>
      </c>
      <c r="I1096" s="16">
        <v>5</v>
      </c>
      <c r="J1096" s="15" t="s">
        <v>1</v>
      </c>
      <c r="K1096" s="15" t="s">
        <v>2</v>
      </c>
      <c r="L1096" s="8">
        <f>InterspecUsage[[#This Row],[Used-MB]]-F1086</f>
        <v>1</v>
      </c>
      <c r="M1096">
        <f>InterspecUsage[[#This Row],[Max]]-InterspecUsage[[#This Row],[Used-MB]]</f>
        <v>31022</v>
      </c>
      <c r="N1096" s="5">
        <f>IF($L1096&gt;0,InterspecUsage[[#This Row],[Free-of-Max]]/InterspecUsage[[#This Row],[Usage-Delta-MB]],InterspecUsage[[#This Row],[Free-of-Max]])</f>
        <v>31022</v>
      </c>
    </row>
    <row r="1097" spans="1:14" x14ac:dyDescent="0.25">
      <c r="A1097" s="3">
        <v>45334</v>
      </c>
      <c r="B1097" s="15" t="s">
        <v>0</v>
      </c>
      <c r="C1097" s="16">
        <v>99</v>
      </c>
      <c r="D1097" s="16">
        <v>4470</v>
      </c>
      <c r="E1097" s="16">
        <v>53</v>
      </c>
      <c r="F1097" s="16">
        <v>4417</v>
      </c>
      <c r="G1097" s="16">
        <v>1</v>
      </c>
      <c r="H1097" s="16">
        <v>32768</v>
      </c>
      <c r="I1097" s="16">
        <v>13</v>
      </c>
      <c r="J1097" s="15" t="s">
        <v>1</v>
      </c>
      <c r="K1097" s="15" t="s">
        <v>2</v>
      </c>
      <c r="L1097" s="8">
        <f>InterspecUsage[[#This Row],[Used-MB]]-F1087</f>
        <v>0</v>
      </c>
      <c r="M1097">
        <f>InterspecUsage[[#This Row],[Max]]-InterspecUsage[[#This Row],[Used-MB]]</f>
        <v>28351</v>
      </c>
      <c r="N1097" s="5">
        <f>IF($L1097&gt;0,InterspecUsage[[#This Row],[Free-of-Max]]/InterspecUsage[[#This Row],[Usage-Delta-MB]],InterspecUsage[[#This Row],[Free-of-Max]])</f>
        <v>28351</v>
      </c>
    </row>
    <row r="1098" spans="1:14" x14ac:dyDescent="0.25">
      <c r="A1098" s="3">
        <v>45334</v>
      </c>
      <c r="B1098" s="15" t="s">
        <v>30</v>
      </c>
      <c r="C1098" s="16">
        <v>0</v>
      </c>
      <c r="D1098" s="16">
        <v>32767</v>
      </c>
      <c r="E1098" s="16">
        <v>32756</v>
      </c>
      <c r="F1098" s="16">
        <v>11</v>
      </c>
      <c r="G1098" s="16">
        <v>100</v>
      </c>
      <c r="H1098" s="16">
        <v>32768</v>
      </c>
      <c r="I1098" s="16">
        <v>0</v>
      </c>
      <c r="J1098" s="15" t="s">
        <v>1</v>
      </c>
      <c r="K1098" s="15" t="s">
        <v>13</v>
      </c>
      <c r="L1098" s="8">
        <f>InterspecUsage[[#This Row],[Used-MB]]-F1088</f>
        <v>-6</v>
      </c>
      <c r="M1098">
        <f>InterspecUsage[[#This Row],[Max]]-InterspecUsage[[#This Row],[Used-MB]]</f>
        <v>32757</v>
      </c>
      <c r="N1098" s="5">
        <f>IF($L1098&gt;0,InterspecUsage[[#This Row],[Free-of-Max]]/InterspecUsage[[#This Row],[Usage-Delta-MB]],InterspecUsage[[#This Row],[Free-of-Max]])</f>
        <v>32757</v>
      </c>
    </row>
    <row r="1099" spans="1:14" x14ac:dyDescent="0.25">
      <c r="A1099" s="3">
        <v>45334</v>
      </c>
      <c r="B1099" s="15" t="s">
        <v>28</v>
      </c>
      <c r="C1099" s="16">
        <v>1</v>
      </c>
      <c r="D1099" s="16">
        <v>23320</v>
      </c>
      <c r="E1099" s="16">
        <v>23087</v>
      </c>
      <c r="F1099" s="16">
        <v>233</v>
      </c>
      <c r="G1099" s="16">
        <v>99</v>
      </c>
      <c r="H1099" s="16">
        <v>32768</v>
      </c>
      <c r="I1099" s="16">
        <v>1</v>
      </c>
      <c r="J1099" s="15" t="s">
        <v>1</v>
      </c>
      <c r="K1099" s="15" t="s">
        <v>10</v>
      </c>
      <c r="L1099" s="8">
        <f>InterspecUsage[[#This Row],[Used-MB]]-F1089</f>
        <v>-299</v>
      </c>
      <c r="M1099">
        <f>InterspecUsage[[#This Row],[Max]]-InterspecUsage[[#This Row],[Used-MB]]</f>
        <v>32535</v>
      </c>
      <c r="N1099" s="5">
        <f>IF($L1099&gt;0,InterspecUsage[[#This Row],[Free-of-Max]]/InterspecUsage[[#This Row],[Usage-Delta-MB]],InterspecUsage[[#This Row],[Free-of-Max]])</f>
        <v>32535</v>
      </c>
    </row>
    <row r="1100" spans="1:14" x14ac:dyDescent="0.25">
      <c r="A1100" s="3">
        <v>45334</v>
      </c>
      <c r="B1100" s="15" t="s">
        <v>25</v>
      </c>
      <c r="C1100" s="16">
        <v>76</v>
      </c>
      <c r="D1100" s="16">
        <v>12700</v>
      </c>
      <c r="E1100" s="16">
        <v>3077</v>
      </c>
      <c r="F1100" s="16">
        <v>9623</v>
      </c>
      <c r="G1100" s="16">
        <v>24</v>
      </c>
      <c r="H1100" s="16">
        <v>32768</v>
      </c>
      <c r="I1100" s="16">
        <v>29</v>
      </c>
      <c r="J1100" s="15" t="s">
        <v>1</v>
      </c>
      <c r="K1100" s="15" t="s">
        <v>2</v>
      </c>
      <c r="L1100" s="8">
        <f>InterspecUsage[[#This Row],[Used-MB]]-F1090</f>
        <v>17</v>
      </c>
      <c r="M1100">
        <f>InterspecUsage[[#This Row],[Max]]-InterspecUsage[[#This Row],[Used-MB]]</f>
        <v>23145</v>
      </c>
      <c r="N1100" s="5">
        <f>IF($L1100&gt;0,InterspecUsage[[#This Row],[Free-of-Max]]/InterspecUsage[[#This Row],[Usage-Delta-MB]],InterspecUsage[[#This Row],[Free-of-Max]])</f>
        <v>1361.4705882352941</v>
      </c>
    </row>
    <row r="1101" spans="1:14" x14ac:dyDescent="0.25">
      <c r="A1101" s="3">
        <v>45334</v>
      </c>
      <c r="B1101" s="15" t="s">
        <v>29</v>
      </c>
      <c r="C1101" s="16">
        <v>0</v>
      </c>
      <c r="D1101" s="16">
        <v>500</v>
      </c>
      <c r="E1101" s="16">
        <v>499</v>
      </c>
      <c r="F1101" s="16">
        <v>1</v>
      </c>
      <c r="G1101" s="16">
        <v>100</v>
      </c>
      <c r="H1101" s="16">
        <v>500</v>
      </c>
      <c r="I1101" s="16">
        <v>0</v>
      </c>
      <c r="J1101" s="15" t="s">
        <v>1</v>
      </c>
      <c r="K1101" s="15" t="s">
        <v>2</v>
      </c>
      <c r="L1101" s="8">
        <f>InterspecUsage[[#This Row],[Used-MB]]-F1091</f>
        <v>0</v>
      </c>
      <c r="M1101">
        <f>InterspecUsage[[#This Row],[Max]]-InterspecUsage[[#This Row],[Used-MB]]</f>
        <v>499</v>
      </c>
      <c r="N1101" s="5">
        <f>IF($L1101&gt;0,InterspecUsage[[#This Row],[Free-of-Max]]/InterspecUsage[[#This Row],[Usage-Delta-MB]],InterspecUsage[[#This Row],[Free-of-Max]])</f>
        <v>499</v>
      </c>
    </row>
    <row r="1102" spans="1:14" x14ac:dyDescent="0.25">
      <c r="A1102" s="3">
        <v>45341</v>
      </c>
      <c r="B1102" s="15" t="s">
        <v>26</v>
      </c>
      <c r="C1102" s="16">
        <v>95</v>
      </c>
      <c r="D1102" s="16">
        <v>23288</v>
      </c>
      <c r="E1102" s="16">
        <v>1113</v>
      </c>
      <c r="F1102" s="16">
        <v>22175</v>
      </c>
      <c r="G1102" s="16">
        <v>5</v>
      </c>
      <c r="H1102" s="16">
        <v>40960</v>
      </c>
      <c r="I1102" s="16">
        <v>54</v>
      </c>
      <c r="J1102" s="15" t="s">
        <v>1</v>
      </c>
      <c r="K1102" s="15" t="s">
        <v>2</v>
      </c>
      <c r="L1102" s="8">
        <f>InterspecUsage[[#This Row],[Used-MB]]-F1092</f>
        <v>128</v>
      </c>
      <c r="M1102">
        <f>InterspecUsage[[#This Row],[Max]]-InterspecUsage[[#This Row],[Used-MB]]</f>
        <v>18785</v>
      </c>
      <c r="N1102" s="5">
        <f>IF($L1102&gt;0,InterspecUsage[[#This Row],[Free-of-Max]]/InterspecUsage[[#This Row],[Usage-Delta-MB]],InterspecUsage[[#This Row],[Free-of-Max]])</f>
        <v>146.7578125</v>
      </c>
    </row>
    <row r="1103" spans="1:14" x14ac:dyDescent="0.25">
      <c r="A1103" s="3">
        <v>45341</v>
      </c>
      <c r="B1103" s="15" t="s">
        <v>24</v>
      </c>
      <c r="C1103" s="16">
        <v>98</v>
      </c>
      <c r="D1103" s="16">
        <v>56668</v>
      </c>
      <c r="E1103" s="16">
        <v>1331</v>
      </c>
      <c r="F1103" s="16">
        <v>55337</v>
      </c>
      <c r="G1103" s="16">
        <v>2</v>
      </c>
      <c r="H1103" s="16">
        <v>65536</v>
      </c>
      <c r="I1103" s="16">
        <v>84</v>
      </c>
      <c r="J1103" s="15" t="s">
        <v>1</v>
      </c>
      <c r="K1103" s="15" t="s">
        <v>2</v>
      </c>
      <c r="L1103" s="8">
        <f>InterspecUsage[[#This Row],[Used-MB]]-F1093</f>
        <v>241</v>
      </c>
      <c r="M1103">
        <f>InterspecUsage[[#This Row],[Max]]-InterspecUsage[[#This Row],[Used-MB]]</f>
        <v>10199</v>
      </c>
      <c r="N1103" s="5">
        <f>IF($L1103&gt;0,InterspecUsage[[#This Row],[Free-of-Max]]/InterspecUsage[[#This Row],[Usage-Delta-MB]],InterspecUsage[[#This Row],[Free-of-Max]])</f>
        <v>42.319502074688799</v>
      </c>
    </row>
    <row r="1104" spans="1:14" x14ac:dyDescent="0.25">
      <c r="A1104" s="3">
        <v>45341</v>
      </c>
      <c r="B1104" s="15" t="s">
        <v>35</v>
      </c>
      <c r="C1104" s="16">
        <v>96</v>
      </c>
      <c r="D1104" s="16">
        <v>29600</v>
      </c>
      <c r="E1104" s="16">
        <v>1246</v>
      </c>
      <c r="F1104" s="16">
        <v>28354</v>
      </c>
      <c r="G1104" s="16">
        <v>4</v>
      </c>
      <c r="H1104" s="16">
        <v>32768</v>
      </c>
      <c r="I1104" s="16">
        <v>87</v>
      </c>
      <c r="J1104" s="15" t="s">
        <v>1</v>
      </c>
      <c r="K1104" s="15" t="s">
        <v>2</v>
      </c>
      <c r="L1104" s="8">
        <f>InterspecUsage[[#This Row],[Used-MB]]-F1094</f>
        <v>64</v>
      </c>
      <c r="M1104">
        <f>InterspecUsage[[#This Row],[Max]]-InterspecUsage[[#This Row],[Used-MB]]</f>
        <v>4414</v>
      </c>
      <c r="N1104" s="5">
        <f>IF($L1104&gt;0,InterspecUsage[[#This Row],[Free-of-Max]]/InterspecUsage[[#This Row],[Usage-Delta-MB]],InterspecUsage[[#This Row],[Free-of-Max]])</f>
        <v>68.96875</v>
      </c>
    </row>
    <row r="1105" spans="1:14" x14ac:dyDescent="0.25">
      <c r="A1105" s="3">
        <v>45341</v>
      </c>
      <c r="B1105" s="15" t="s">
        <v>27</v>
      </c>
      <c r="C1105" s="16">
        <v>95</v>
      </c>
      <c r="D1105" s="16">
        <v>163840</v>
      </c>
      <c r="E1105" s="16">
        <v>8049</v>
      </c>
      <c r="F1105" s="16">
        <v>155791</v>
      </c>
      <c r="G1105" s="16">
        <v>5</v>
      </c>
      <c r="H1105" s="16">
        <v>163840</v>
      </c>
      <c r="I1105" s="16">
        <v>95</v>
      </c>
      <c r="J1105" s="15" t="s">
        <v>1</v>
      </c>
      <c r="K1105" s="15" t="s">
        <v>2</v>
      </c>
      <c r="L1105" s="8">
        <f>InterspecUsage[[#This Row],[Used-MB]]-F1095</f>
        <v>202</v>
      </c>
      <c r="M1105">
        <f>InterspecUsage[[#This Row],[Max]]-InterspecUsage[[#This Row],[Used-MB]]</f>
        <v>8049</v>
      </c>
      <c r="N1105" s="5">
        <f>IF($L1105&gt;0,InterspecUsage[[#This Row],[Free-of-Max]]/InterspecUsage[[#This Row],[Usage-Delta-MB]],InterspecUsage[[#This Row],[Free-of-Max]])</f>
        <v>39.846534653465348</v>
      </c>
    </row>
    <row r="1106" spans="1:14" x14ac:dyDescent="0.25">
      <c r="A1106" s="3">
        <v>45341</v>
      </c>
      <c r="B1106" s="15" t="s">
        <v>7</v>
      </c>
      <c r="C1106" s="16">
        <v>95</v>
      </c>
      <c r="D1106" s="16">
        <v>1840</v>
      </c>
      <c r="E1106" s="16">
        <v>86</v>
      </c>
      <c r="F1106" s="16">
        <v>1754</v>
      </c>
      <c r="G1106" s="16">
        <v>5</v>
      </c>
      <c r="H1106" s="16">
        <v>32768</v>
      </c>
      <c r="I1106" s="16">
        <v>5</v>
      </c>
      <c r="J1106" s="15" t="s">
        <v>1</v>
      </c>
      <c r="K1106" s="15" t="s">
        <v>2</v>
      </c>
      <c r="L1106" s="8">
        <f>InterspecUsage[[#This Row],[Used-MB]]-F1096</f>
        <v>8</v>
      </c>
      <c r="M1106">
        <f>InterspecUsage[[#This Row],[Max]]-InterspecUsage[[#This Row],[Used-MB]]</f>
        <v>31014</v>
      </c>
      <c r="N1106" s="5">
        <f>IF($L1106&gt;0,InterspecUsage[[#This Row],[Free-of-Max]]/InterspecUsage[[#This Row],[Usage-Delta-MB]],InterspecUsage[[#This Row],[Free-of-Max]])</f>
        <v>3876.75</v>
      </c>
    </row>
    <row r="1107" spans="1:14" x14ac:dyDescent="0.25">
      <c r="A1107" s="3">
        <v>45341</v>
      </c>
      <c r="B1107" s="15" t="s">
        <v>0</v>
      </c>
      <c r="C1107" s="16">
        <v>99</v>
      </c>
      <c r="D1107" s="16">
        <v>4540</v>
      </c>
      <c r="E1107" s="16">
        <v>59</v>
      </c>
      <c r="F1107" s="16">
        <v>4481</v>
      </c>
      <c r="G1107" s="16">
        <v>1</v>
      </c>
      <c r="H1107" s="16">
        <v>32768</v>
      </c>
      <c r="I1107" s="16">
        <v>14</v>
      </c>
      <c r="J1107" s="15" t="s">
        <v>1</v>
      </c>
      <c r="K1107" s="15" t="s">
        <v>2</v>
      </c>
      <c r="L1107" s="8">
        <f>InterspecUsage[[#This Row],[Used-MB]]-F1097</f>
        <v>64</v>
      </c>
      <c r="M1107">
        <f>InterspecUsage[[#This Row],[Max]]-InterspecUsage[[#This Row],[Used-MB]]</f>
        <v>28287</v>
      </c>
      <c r="N1107" s="5">
        <f>IF($L1107&gt;0,InterspecUsage[[#This Row],[Free-of-Max]]/InterspecUsage[[#This Row],[Usage-Delta-MB]],InterspecUsage[[#This Row],[Free-of-Max]])</f>
        <v>441.984375</v>
      </c>
    </row>
    <row r="1108" spans="1:14" x14ac:dyDescent="0.25">
      <c r="A1108" s="3">
        <v>45341</v>
      </c>
      <c r="B1108" s="15" t="s">
        <v>30</v>
      </c>
      <c r="C1108" s="16">
        <v>0</v>
      </c>
      <c r="D1108" s="16">
        <v>32767</v>
      </c>
      <c r="E1108" s="16">
        <v>32750</v>
      </c>
      <c r="F1108" s="16">
        <v>17</v>
      </c>
      <c r="G1108" s="16">
        <v>100</v>
      </c>
      <c r="H1108" s="16">
        <v>32768</v>
      </c>
      <c r="I1108" s="16">
        <v>0</v>
      </c>
      <c r="J1108" s="15" t="s">
        <v>1</v>
      </c>
      <c r="K1108" s="15" t="s">
        <v>13</v>
      </c>
      <c r="L1108" s="8">
        <f>InterspecUsage[[#This Row],[Used-MB]]-F1098</f>
        <v>6</v>
      </c>
      <c r="M1108">
        <f>InterspecUsage[[#This Row],[Max]]-InterspecUsage[[#This Row],[Used-MB]]</f>
        <v>32751</v>
      </c>
      <c r="N1108" s="5">
        <f>IF($L1108&gt;0,InterspecUsage[[#This Row],[Free-of-Max]]/InterspecUsage[[#This Row],[Usage-Delta-MB]],InterspecUsage[[#This Row],[Free-of-Max]])</f>
        <v>5458.5</v>
      </c>
    </row>
    <row r="1109" spans="1:14" x14ac:dyDescent="0.25">
      <c r="A1109" s="3">
        <v>45341</v>
      </c>
      <c r="B1109" s="15" t="s">
        <v>28</v>
      </c>
      <c r="C1109" s="16">
        <v>1</v>
      </c>
      <c r="D1109" s="16">
        <v>23320</v>
      </c>
      <c r="E1109" s="16">
        <v>23077</v>
      </c>
      <c r="F1109" s="16">
        <v>243</v>
      </c>
      <c r="G1109" s="16">
        <v>99</v>
      </c>
      <c r="H1109" s="16">
        <v>32768</v>
      </c>
      <c r="I1109" s="16">
        <v>1</v>
      </c>
      <c r="J1109" s="15" t="s">
        <v>1</v>
      </c>
      <c r="K1109" s="15" t="s">
        <v>10</v>
      </c>
      <c r="L1109" s="8">
        <f>InterspecUsage[[#This Row],[Used-MB]]-F1099</f>
        <v>10</v>
      </c>
      <c r="M1109">
        <f>InterspecUsage[[#This Row],[Max]]-InterspecUsage[[#This Row],[Used-MB]]</f>
        <v>32525</v>
      </c>
      <c r="N1109" s="5">
        <f>IF($L1109&gt;0,InterspecUsage[[#This Row],[Free-of-Max]]/InterspecUsage[[#This Row],[Usage-Delta-MB]],InterspecUsage[[#This Row],[Free-of-Max]])</f>
        <v>3252.5</v>
      </c>
    </row>
    <row r="1110" spans="1:14" x14ac:dyDescent="0.25">
      <c r="A1110" s="3">
        <v>45341</v>
      </c>
      <c r="B1110" s="15" t="s">
        <v>25</v>
      </c>
      <c r="C1110" s="16">
        <v>76</v>
      </c>
      <c r="D1110" s="16">
        <v>12700</v>
      </c>
      <c r="E1110" s="16">
        <v>3060</v>
      </c>
      <c r="F1110" s="16">
        <v>9640</v>
      </c>
      <c r="G1110" s="16">
        <v>24</v>
      </c>
      <c r="H1110" s="16">
        <v>32768</v>
      </c>
      <c r="I1110" s="16">
        <v>29</v>
      </c>
      <c r="J1110" s="15" t="s">
        <v>1</v>
      </c>
      <c r="K1110" s="15" t="s">
        <v>2</v>
      </c>
      <c r="L1110" s="8">
        <f>InterspecUsage[[#This Row],[Used-MB]]-F1100</f>
        <v>17</v>
      </c>
      <c r="M1110">
        <f>InterspecUsage[[#This Row],[Max]]-InterspecUsage[[#This Row],[Used-MB]]</f>
        <v>23128</v>
      </c>
      <c r="N1110" s="5">
        <f>IF($L1110&gt;0,InterspecUsage[[#This Row],[Free-of-Max]]/InterspecUsage[[#This Row],[Usage-Delta-MB]],InterspecUsage[[#This Row],[Free-of-Max]])</f>
        <v>1360.4705882352941</v>
      </c>
    </row>
    <row r="1111" spans="1:14" x14ac:dyDescent="0.25">
      <c r="A1111" s="3">
        <v>45341</v>
      </c>
      <c r="B1111" s="15" t="s">
        <v>29</v>
      </c>
      <c r="C1111" s="16">
        <v>0</v>
      </c>
      <c r="D1111" s="16">
        <v>500</v>
      </c>
      <c r="E1111" s="16">
        <v>499</v>
      </c>
      <c r="F1111" s="16">
        <v>1</v>
      </c>
      <c r="G1111" s="16">
        <v>100</v>
      </c>
      <c r="H1111" s="16">
        <v>500</v>
      </c>
      <c r="I1111" s="16">
        <v>0</v>
      </c>
      <c r="J1111" s="15" t="s">
        <v>1</v>
      </c>
      <c r="K1111" s="15" t="s">
        <v>2</v>
      </c>
      <c r="L1111" s="8">
        <f>InterspecUsage[[#This Row],[Used-MB]]-F1101</f>
        <v>0</v>
      </c>
      <c r="M1111">
        <f>InterspecUsage[[#This Row],[Max]]-InterspecUsage[[#This Row],[Used-MB]]</f>
        <v>499</v>
      </c>
      <c r="N1111" s="5">
        <f>IF($L1111&gt;0,InterspecUsage[[#This Row],[Free-of-Max]]/InterspecUsage[[#This Row],[Usage-Delta-MB]],InterspecUsage[[#This Row],[Free-of-Max]])</f>
        <v>499</v>
      </c>
    </row>
    <row r="1112" spans="1:14" x14ac:dyDescent="0.25">
      <c r="A1112" s="3">
        <v>45348</v>
      </c>
      <c r="B1112" s="15" t="s">
        <v>26</v>
      </c>
      <c r="C1112" s="16">
        <v>95</v>
      </c>
      <c r="D1112" s="16">
        <v>23288</v>
      </c>
      <c r="E1112" s="16">
        <v>1049</v>
      </c>
      <c r="F1112" s="16">
        <v>22239</v>
      </c>
      <c r="G1112" s="16">
        <v>5</v>
      </c>
      <c r="H1112" s="16">
        <v>40960</v>
      </c>
      <c r="I1112" s="16">
        <v>54</v>
      </c>
      <c r="J1112" s="15" t="s">
        <v>1</v>
      </c>
      <c r="K1112" s="15" t="s">
        <v>2</v>
      </c>
      <c r="L1112" s="8">
        <f>InterspecUsage[[#This Row],[Used-MB]]-F1102</f>
        <v>64</v>
      </c>
      <c r="M1112">
        <f>InterspecUsage[[#This Row],[Max]]-InterspecUsage[[#This Row],[Used-MB]]</f>
        <v>18721</v>
      </c>
      <c r="N1112" s="5">
        <f>IF($L1112&gt;0,InterspecUsage[[#This Row],[Free-of-Max]]/InterspecUsage[[#This Row],[Usage-Delta-MB]],InterspecUsage[[#This Row],[Free-of-Max]])</f>
        <v>292.515625</v>
      </c>
    </row>
    <row r="1113" spans="1:14" x14ac:dyDescent="0.25">
      <c r="A1113" s="3">
        <v>45348</v>
      </c>
      <c r="B1113" s="15" t="s">
        <v>24</v>
      </c>
      <c r="C1113" s="16">
        <v>98</v>
      </c>
      <c r="D1113" s="16">
        <v>56668</v>
      </c>
      <c r="E1113" s="16">
        <v>1218</v>
      </c>
      <c r="F1113" s="16">
        <v>55450</v>
      </c>
      <c r="G1113" s="16">
        <v>2</v>
      </c>
      <c r="H1113" s="16">
        <v>65536</v>
      </c>
      <c r="I1113" s="16">
        <v>85</v>
      </c>
      <c r="J1113" s="15" t="s">
        <v>1</v>
      </c>
      <c r="K1113" s="15" t="s">
        <v>2</v>
      </c>
      <c r="L1113" s="8">
        <f>InterspecUsage[[#This Row],[Used-MB]]-F1103</f>
        <v>113</v>
      </c>
      <c r="M1113">
        <f>InterspecUsage[[#This Row],[Max]]-InterspecUsage[[#This Row],[Used-MB]]</f>
        <v>10086</v>
      </c>
      <c r="N1113" s="5">
        <f>IF($L1113&gt;0,InterspecUsage[[#This Row],[Free-of-Max]]/InterspecUsage[[#This Row],[Usage-Delta-MB]],InterspecUsage[[#This Row],[Free-of-Max]])</f>
        <v>89.256637168141594</v>
      </c>
    </row>
    <row r="1114" spans="1:14" x14ac:dyDescent="0.25">
      <c r="A1114" s="3">
        <v>45348</v>
      </c>
      <c r="B1114" s="15" t="s">
        <v>35</v>
      </c>
      <c r="C1114" s="16">
        <v>96</v>
      </c>
      <c r="D1114" s="16">
        <v>29600</v>
      </c>
      <c r="E1114" s="16">
        <v>1182</v>
      </c>
      <c r="F1114" s="16">
        <v>28418</v>
      </c>
      <c r="G1114" s="16">
        <v>4</v>
      </c>
      <c r="H1114" s="16">
        <v>32768</v>
      </c>
      <c r="I1114" s="16">
        <v>87</v>
      </c>
      <c r="J1114" s="15" t="s">
        <v>1</v>
      </c>
      <c r="K1114" s="15" t="s">
        <v>2</v>
      </c>
      <c r="L1114" s="8">
        <f>InterspecUsage[[#This Row],[Used-MB]]-F1104</f>
        <v>64</v>
      </c>
      <c r="M1114">
        <f>InterspecUsage[[#This Row],[Max]]-InterspecUsage[[#This Row],[Used-MB]]</f>
        <v>4350</v>
      </c>
      <c r="N1114" s="5">
        <f>IF($L1114&gt;0,InterspecUsage[[#This Row],[Free-of-Max]]/InterspecUsage[[#This Row],[Usage-Delta-MB]],InterspecUsage[[#This Row],[Free-of-Max]])</f>
        <v>67.96875</v>
      </c>
    </row>
    <row r="1115" spans="1:14" x14ac:dyDescent="0.25">
      <c r="A1115" s="3">
        <v>45348</v>
      </c>
      <c r="B1115" s="15" t="s">
        <v>27</v>
      </c>
      <c r="C1115" s="16">
        <v>95</v>
      </c>
      <c r="D1115" s="16">
        <v>163840</v>
      </c>
      <c r="E1115" s="16">
        <v>7458</v>
      </c>
      <c r="F1115" s="16">
        <v>156382</v>
      </c>
      <c r="G1115" s="16">
        <v>5</v>
      </c>
      <c r="H1115" s="16">
        <v>163840</v>
      </c>
      <c r="I1115" s="16">
        <v>95</v>
      </c>
      <c r="J1115" s="15" t="s">
        <v>1</v>
      </c>
      <c r="K1115" s="15" t="s">
        <v>2</v>
      </c>
      <c r="L1115" s="8">
        <f>InterspecUsage[[#This Row],[Used-MB]]-F1105</f>
        <v>591</v>
      </c>
      <c r="M1115">
        <f>InterspecUsage[[#This Row],[Max]]-InterspecUsage[[#This Row],[Used-MB]]</f>
        <v>7458</v>
      </c>
      <c r="N1115" s="5">
        <f>IF($L1115&gt;0,InterspecUsage[[#This Row],[Free-of-Max]]/InterspecUsage[[#This Row],[Usage-Delta-MB]],InterspecUsage[[#This Row],[Free-of-Max]])</f>
        <v>12.619289340101522</v>
      </c>
    </row>
    <row r="1116" spans="1:14" x14ac:dyDescent="0.25">
      <c r="A1116" s="3">
        <v>45348</v>
      </c>
      <c r="B1116" s="15" t="s">
        <v>7</v>
      </c>
      <c r="C1116" s="16">
        <v>95</v>
      </c>
      <c r="D1116" s="16">
        <v>1840</v>
      </c>
      <c r="E1116" s="16">
        <v>86</v>
      </c>
      <c r="F1116" s="16">
        <v>1754</v>
      </c>
      <c r="G1116" s="16">
        <v>5</v>
      </c>
      <c r="H1116" s="16">
        <v>32768</v>
      </c>
      <c r="I1116" s="16">
        <v>5</v>
      </c>
      <c r="J1116" s="15" t="s">
        <v>1</v>
      </c>
      <c r="K1116" s="15" t="s">
        <v>2</v>
      </c>
      <c r="L1116" s="8">
        <f>InterspecUsage[[#This Row],[Used-MB]]-F1106</f>
        <v>0</v>
      </c>
      <c r="M1116">
        <f>InterspecUsage[[#This Row],[Max]]-InterspecUsage[[#This Row],[Used-MB]]</f>
        <v>31014</v>
      </c>
      <c r="N1116" s="5">
        <f>IF($L1116&gt;0,InterspecUsage[[#This Row],[Free-of-Max]]/InterspecUsage[[#This Row],[Usage-Delta-MB]],InterspecUsage[[#This Row],[Free-of-Max]])</f>
        <v>31014</v>
      </c>
    </row>
    <row r="1117" spans="1:14" x14ac:dyDescent="0.25">
      <c r="A1117" s="3">
        <v>45348</v>
      </c>
      <c r="B1117" s="15" t="s">
        <v>0</v>
      </c>
      <c r="C1117" s="16">
        <v>99</v>
      </c>
      <c r="D1117" s="16">
        <v>4540</v>
      </c>
      <c r="E1117" s="16">
        <v>59</v>
      </c>
      <c r="F1117" s="16">
        <v>4481</v>
      </c>
      <c r="G1117" s="16">
        <v>1</v>
      </c>
      <c r="H1117" s="16">
        <v>32768</v>
      </c>
      <c r="I1117" s="16">
        <v>14</v>
      </c>
      <c r="J1117" s="15" t="s">
        <v>1</v>
      </c>
      <c r="K1117" s="15" t="s">
        <v>2</v>
      </c>
      <c r="L1117" s="8">
        <f>InterspecUsage[[#This Row],[Used-MB]]-F1107</f>
        <v>0</v>
      </c>
      <c r="M1117">
        <f>InterspecUsage[[#This Row],[Max]]-InterspecUsage[[#This Row],[Used-MB]]</f>
        <v>28287</v>
      </c>
      <c r="N1117" s="5">
        <f>IF($L1117&gt;0,InterspecUsage[[#This Row],[Free-of-Max]]/InterspecUsage[[#This Row],[Usage-Delta-MB]],InterspecUsage[[#This Row],[Free-of-Max]])</f>
        <v>28287</v>
      </c>
    </row>
    <row r="1118" spans="1:14" x14ac:dyDescent="0.25">
      <c r="A1118" s="3">
        <v>45348</v>
      </c>
      <c r="B1118" s="15" t="s">
        <v>30</v>
      </c>
      <c r="C1118" s="16">
        <v>0</v>
      </c>
      <c r="D1118" s="16">
        <v>32767</v>
      </c>
      <c r="E1118" s="16">
        <v>32749</v>
      </c>
      <c r="F1118" s="16">
        <v>18</v>
      </c>
      <c r="G1118" s="16">
        <v>100</v>
      </c>
      <c r="H1118" s="16">
        <v>32768</v>
      </c>
      <c r="I1118" s="16">
        <v>0</v>
      </c>
      <c r="J1118" s="15" t="s">
        <v>1</v>
      </c>
      <c r="K1118" s="15" t="s">
        <v>13</v>
      </c>
      <c r="L1118" s="8">
        <f>InterspecUsage[[#This Row],[Used-MB]]-F1108</f>
        <v>1</v>
      </c>
      <c r="M1118">
        <f>InterspecUsage[[#This Row],[Max]]-InterspecUsage[[#This Row],[Used-MB]]</f>
        <v>32750</v>
      </c>
      <c r="N1118" s="5">
        <f>IF($L1118&gt;0,InterspecUsage[[#This Row],[Free-of-Max]]/InterspecUsage[[#This Row],[Usage-Delta-MB]],InterspecUsage[[#This Row],[Free-of-Max]])</f>
        <v>32750</v>
      </c>
    </row>
    <row r="1119" spans="1:14" x14ac:dyDescent="0.25">
      <c r="A1119" s="3">
        <v>45348</v>
      </c>
      <c r="B1119" s="15" t="s">
        <v>28</v>
      </c>
      <c r="C1119" s="16">
        <v>1</v>
      </c>
      <c r="D1119" s="16">
        <v>23320</v>
      </c>
      <c r="E1119" s="16">
        <v>23071</v>
      </c>
      <c r="F1119" s="16">
        <v>249</v>
      </c>
      <c r="G1119" s="16">
        <v>99</v>
      </c>
      <c r="H1119" s="16">
        <v>32768</v>
      </c>
      <c r="I1119" s="16">
        <v>1</v>
      </c>
      <c r="J1119" s="15" t="s">
        <v>1</v>
      </c>
      <c r="K1119" s="15" t="s">
        <v>10</v>
      </c>
      <c r="L1119" s="8">
        <f>InterspecUsage[[#This Row],[Used-MB]]-F1109</f>
        <v>6</v>
      </c>
      <c r="M1119">
        <f>InterspecUsage[[#This Row],[Max]]-InterspecUsage[[#This Row],[Used-MB]]</f>
        <v>32519</v>
      </c>
      <c r="N1119" s="5">
        <f>IF($L1119&gt;0,InterspecUsage[[#This Row],[Free-of-Max]]/InterspecUsage[[#This Row],[Usage-Delta-MB]],InterspecUsage[[#This Row],[Free-of-Max]])</f>
        <v>5419.833333333333</v>
      </c>
    </row>
    <row r="1120" spans="1:14" x14ac:dyDescent="0.25">
      <c r="A1120" s="3">
        <v>45348</v>
      </c>
      <c r="B1120" s="15" t="s">
        <v>25</v>
      </c>
      <c r="C1120" s="16">
        <v>76</v>
      </c>
      <c r="D1120" s="16">
        <v>12700</v>
      </c>
      <c r="E1120" s="16">
        <v>3043</v>
      </c>
      <c r="F1120" s="16">
        <v>9657</v>
      </c>
      <c r="G1120" s="16">
        <v>24</v>
      </c>
      <c r="H1120" s="16">
        <v>32768</v>
      </c>
      <c r="I1120" s="16">
        <v>29</v>
      </c>
      <c r="J1120" s="15" t="s">
        <v>1</v>
      </c>
      <c r="K1120" s="15" t="s">
        <v>2</v>
      </c>
      <c r="L1120" s="8">
        <f>InterspecUsage[[#This Row],[Used-MB]]-F1110</f>
        <v>17</v>
      </c>
      <c r="M1120">
        <f>InterspecUsage[[#This Row],[Max]]-InterspecUsage[[#This Row],[Used-MB]]</f>
        <v>23111</v>
      </c>
      <c r="N1120" s="5">
        <f>IF($L1120&gt;0,InterspecUsage[[#This Row],[Free-of-Max]]/InterspecUsage[[#This Row],[Usage-Delta-MB]],InterspecUsage[[#This Row],[Free-of-Max]])</f>
        <v>1359.4705882352941</v>
      </c>
    </row>
    <row r="1121" spans="1:14" x14ac:dyDescent="0.25">
      <c r="A1121" s="3">
        <v>45348</v>
      </c>
      <c r="B1121" s="15" t="s">
        <v>29</v>
      </c>
      <c r="C1121" s="16">
        <v>0</v>
      </c>
      <c r="D1121" s="16">
        <v>500</v>
      </c>
      <c r="E1121" s="16">
        <v>499</v>
      </c>
      <c r="F1121" s="16">
        <v>1</v>
      </c>
      <c r="G1121" s="16">
        <v>100</v>
      </c>
      <c r="H1121" s="16">
        <v>500</v>
      </c>
      <c r="I1121" s="16">
        <v>0</v>
      </c>
      <c r="J1121" s="15" t="s">
        <v>1</v>
      </c>
      <c r="K1121" s="15" t="s">
        <v>2</v>
      </c>
      <c r="L1121" s="8">
        <f>InterspecUsage[[#This Row],[Used-MB]]-F1111</f>
        <v>0</v>
      </c>
      <c r="M1121">
        <f>InterspecUsage[[#This Row],[Max]]-InterspecUsage[[#This Row],[Used-MB]]</f>
        <v>499</v>
      </c>
      <c r="N1121" s="5">
        <f>IF($L1121&gt;0,InterspecUsage[[#This Row],[Free-of-Max]]/InterspecUsage[[#This Row],[Usage-Delta-MB]],InterspecUsage[[#This Row],[Free-of-Max]])</f>
        <v>499</v>
      </c>
    </row>
    <row r="1122" spans="1:14" x14ac:dyDescent="0.25">
      <c r="A1122" s="3">
        <v>45355</v>
      </c>
      <c r="B1122" s="15" t="s">
        <v>26</v>
      </c>
      <c r="C1122" s="16">
        <v>94</v>
      </c>
      <c r="D1122" s="16">
        <v>23788</v>
      </c>
      <c r="E1122" s="16">
        <v>1421</v>
      </c>
      <c r="F1122" s="16">
        <v>22367</v>
      </c>
      <c r="G1122" s="16">
        <v>6</v>
      </c>
      <c r="H1122" s="16">
        <v>40960</v>
      </c>
      <c r="I1122" s="16">
        <v>55</v>
      </c>
      <c r="J1122" s="15" t="s">
        <v>1</v>
      </c>
      <c r="K1122" s="15" t="s">
        <v>2</v>
      </c>
      <c r="L1122" s="8">
        <f>InterspecUsage[[#This Row],[Used-MB]]-F1112</f>
        <v>128</v>
      </c>
      <c r="M1122">
        <f>InterspecUsage[[#This Row],[Max]]-InterspecUsage[[#This Row],[Used-MB]]</f>
        <v>18593</v>
      </c>
      <c r="N1122" s="5">
        <f>IF($L1122&gt;0,InterspecUsage[[#This Row],[Free-of-Max]]/InterspecUsage[[#This Row],[Usage-Delta-MB]],InterspecUsage[[#This Row],[Free-of-Max]])</f>
        <v>145.2578125</v>
      </c>
    </row>
    <row r="1123" spans="1:14" x14ac:dyDescent="0.25">
      <c r="A1123" s="3">
        <v>45355</v>
      </c>
      <c r="B1123" s="15" t="s">
        <v>24</v>
      </c>
      <c r="C1123" s="16">
        <v>95</v>
      </c>
      <c r="D1123" s="16">
        <v>58468</v>
      </c>
      <c r="E1123" s="16">
        <v>2794</v>
      </c>
      <c r="F1123" s="16">
        <v>55674</v>
      </c>
      <c r="G1123" s="16">
        <v>5</v>
      </c>
      <c r="H1123" s="16">
        <v>65536</v>
      </c>
      <c r="I1123" s="16">
        <v>85</v>
      </c>
      <c r="J1123" s="15" t="s">
        <v>1</v>
      </c>
      <c r="K1123" s="15" t="s">
        <v>2</v>
      </c>
      <c r="L1123" s="8">
        <f>InterspecUsage[[#This Row],[Used-MB]]-F1113</f>
        <v>224</v>
      </c>
      <c r="M1123">
        <f>InterspecUsage[[#This Row],[Max]]-InterspecUsage[[#This Row],[Used-MB]]</f>
        <v>9862</v>
      </c>
      <c r="N1123" s="5">
        <f>IF($L1123&gt;0,InterspecUsage[[#This Row],[Free-of-Max]]/InterspecUsage[[#This Row],[Usage-Delta-MB]],InterspecUsage[[#This Row],[Free-of-Max]])</f>
        <v>44.026785714285715</v>
      </c>
    </row>
    <row r="1124" spans="1:14" x14ac:dyDescent="0.25">
      <c r="A1124" s="3">
        <v>45355</v>
      </c>
      <c r="B1124" s="15" t="s">
        <v>35</v>
      </c>
      <c r="C1124" s="16">
        <v>96</v>
      </c>
      <c r="D1124" s="16">
        <v>29600</v>
      </c>
      <c r="E1124" s="16">
        <v>1118</v>
      </c>
      <c r="F1124" s="16">
        <v>28482</v>
      </c>
      <c r="G1124" s="16">
        <v>4</v>
      </c>
      <c r="H1124" s="16">
        <v>32768</v>
      </c>
      <c r="I1124" s="16">
        <v>87</v>
      </c>
      <c r="J1124" s="15" t="s">
        <v>1</v>
      </c>
      <c r="K1124" s="15" t="s">
        <v>2</v>
      </c>
      <c r="L1124" s="8">
        <f>InterspecUsage[[#This Row],[Used-MB]]-F1114</f>
        <v>64</v>
      </c>
      <c r="M1124">
        <f>InterspecUsage[[#This Row],[Max]]-InterspecUsage[[#This Row],[Used-MB]]</f>
        <v>4286</v>
      </c>
      <c r="N1124" s="5">
        <f>IF($L1124&gt;0,InterspecUsage[[#This Row],[Free-of-Max]]/InterspecUsage[[#This Row],[Usage-Delta-MB]],InterspecUsage[[#This Row],[Free-of-Max]])</f>
        <v>66.96875</v>
      </c>
    </row>
    <row r="1125" spans="1:14" x14ac:dyDescent="0.25">
      <c r="A1125" s="3">
        <v>45355</v>
      </c>
      <c r="B1125" s="15" t="s">
        <v>27</v>
      </c>
      <c r="C1125" s="16">
        <v>96</v>
      </c>
      <c r="D1125" s="16">
        <v>163840</v>
      </c>
      <c r="E1125" s="16">
        <v>6999</v>
      </c>
      <c r="F1125" s="16">
        <v>156841</v>
      </c>
      <c r="G1125" s="16">
        <v>4</v>
      </c>
      <c r="H1125" s="16">
        <v>163840</v>
      </c>
      <c r="I1125" s="16">
        <v>96</v>
      </c>
      <c r="J1125" s="15" t="s">
        <v>1</v>
      </c>
      <c r="K1125" s="15" t="s">
        <v>2</v>
      </c>
      <c r="L1125" s="8">
        <f>InterspecUsage[[#This Row],[Used-MB]]-F1115</f>
        <v>459</v>
      </c>
      <c r="M1125">
        <f>InterspecUsage[[#This Row],[Max]]-InterspecUsage[[#This Row],[Used-MB]]</f>
        <v>6999</v>
      </c>
      <c r="N1125" s="5">
        <f>IF($L1125&gt;0,InterspecUsage[[#This Row],[Free-of-Max]]/InterspecUsage[[#This Row],[Usage-Delta-MB]],InterspecUsage[[#This Row],[Free-of-Max]])</f>
        <v>15.248366013071895</v>
      </c>
    </row>
    <row r="1126" spans="1:14" x14ac:dyDescent="0.25">
      <c r="A1126" s="3">
        <v>45355</v>
      </c>
      <c r="B1126" s="15" t="s">
        <v>7</v>
      </c>
      <c r="C1126" s="16">
        <v>95</v>
      </c>
      <c r="D1126" s="16">
        <v>1860</v>
      </c>
      <c r="E1126" s="16">
        <v>89</v>
      </c>
      <c r="F1126" s="16">
        <v>1771</v>
      </c>
      <c r="G1126" s="16">
        <v>5</v>
      </c>
      <c r="H1126" s="16">
        <v>32768</v>
      </c>
      <c r="I1126" s="16">
        <v>5</v>
      </c>
      <c r="J1126" s="15" t="s">
        <v>1</v>
      </c>
      <c r="K1126" s="15" t="s">
        <v>2</v>
      </c>
      <c r="L1126" s="8">
        <f>InterspecUsage[[#This Row],[Used-MB]]-F1116</f>
        <v>17</v>
      </c>
      <c r="M1126">
        <f>InterspecUsage[[#This Row],[Max]]-InterspecUsage[[#This Row],[Used-MB]]</f>
        <v>30997</v>
      </c>
      <c r="N1126" s="5">
        <f>IF($L1126&gt;0,InterspecUsage[[#This Row],[Free-of-Max]]/InterspecUsage[[#This Row],[Usage-Delta-MB]],InterspecUsage[[#This Row],[Free-of-Max]])</f>
        <v>1823.3529411764705</v>
      </c>
    </row>
    <row r="1127" spans="1:14" x14ac:dyDescent="0.25">
      <c r="A1127" s="3">
        <v>45355</v>
      </c>
      <c r="B1127" s="15" t="s">
        <v>0</v>
      </c>
      <c r="C1127" s="16">
        <v>99</v>
      </c>
      <c r="D1127" s="16">
        <v>4540</v>
      </c>
      <c r="E1127" s="16">
        <v>59</v>
      </c>
      <c r="F1127" s="16">
        <v>4481</v>
      </c>
      <c r="G1127" s="16">
        <v>1</v>
      </c>
      <c r="H1127" s="16">
        <v>32768</v>
      </c>
      <c r="I1127" s="16">
        <v>14</v>
      </c>
      <c r="J1127" s="15" t="s">
        <v>1</v>
      </c>
      <c r="K1127" s="15" t="s">
        <v>2</v>
      </c>
      <c r="L1127" s="8">
        <f>InterspecUsage[[#This Row],[Used-MB]]-F1117</f>
        <v>0</v>
      </c>
      <c r="M1127">
        <f>InterspecUsage[[#This Row],[Max]]-InterspecUsage[[#This Row],[Used-MB]]</f>
        <v>28287</v>
      </c>
      <c r="N1127" s="5">
        <f>IF($L1127&gt;0,InterspecUsage[[#This Row],[Free-of-Max]]/InterspecUsage[[#This Row],[Usage-Delta-MB]],InterspecUsage[[#This Row],[Free-of-Max]])</f>
        <v>28287</v>
      </c>
    </row>
    <row r="1128" spans="1:14" x14ac:dyDescent="0.25">
      <c r="A1128" s="3">
        <v>45355</v>
      </c>
      <c r="B1128" s="15" t="s">
        <v>30</v>
      </c>
      <c r="C1128" s="16">
        <v>0</v>
      </c>
      <c r="D1128" s="16">
        <v>32767</v>
      </c>
      <c r="E1128" s="16">
        <v>32743</v>
      </c>
      <c r="F1128" s="16">
        <v>24</v>
      </c>
      <c r="G1128" s="16">
        <v>100</v>
      </c>
      <c r="H1128" s="16">
        <v>32768</v>
      </c>
      <c r="I1128" s="16">
        <v>0</v>
      </c>
      <c r="J1128" s="15" t="s">
        <v>1</v>
      </c>
      <c r="K1128" s="15" t="s">
        <v>13</v>
      </c>
      <c r="L1128" s="8">
        <f>InterspecUsage[[#This Row],[Used-MB]]-F1118</f>
        <v>6</v>
      </c>
      <c r="M1128">
        <f>InterspecUsage[[#This Row],[Max]]-InterspecUsage[[#This Row],[Used-MB]]</f>
        <v>32744</v>
      </c>
      <c r="N1128" s="5">
        <f>IF($L1128&gt;0,InterspecUsage[[#This Row],[Free-of-Max]]/InterspecUsage[[#This Row],[Usage-Delta-MB]],InterspecUsage[[#This Row],[Free-of-Max]])</f>
        <v>5457.333333333333</v>
      </c>
    </row>
    <row r="1129" spans="1:14" x14ac:dyDescent="0.25">
      <c r="A1129" s="3">
        <v>45355</v>
      </c>
      <c r="B1129" s="15" t="s">
        <v>28</v>
      </c>
      <c r="C1129" s="16">
        <v>1</v>
      </c>
      <c r="D1129" s="16">
        <v>23320</v>
      </c>
      <c r="E1129" s="16">
        <v>23009</v>
      </c>
      <c r="F1129" s="16">
        <v>311</v>
      </c>
      <c r="G1129" s="16">
        <v>99</v>
      </c>
      <c r="H1129" s="16">
        <v>32768</v>
      </c>
      <c r="I1129" s="16">
        <v>1</v>
      </c>
      <c r="J1129" s="15" t="s">
        <v>1</v>
      </c>
      <c r="K1129" s="15" t="s">
        <v>10</v>
      </c>
      <c r="L1129" s="8">
        <f>InterspecUsage[[#This Row],[Used-MB]]-F1119</f>
        <v>62</v>
      </c>
      <c r="M1129">
        <f>InterspecUsage[[#This Row],[Max]]-InterspecUsage[[#This Row],[Used-MB]]</f>
        <v>32457</v>
      </c>
      <c r="N1129" s="5">
        <f>IF($L1129&gt;0,InterspecUsage[[#This Row],[Free-of-Max]]/InterspecUsage[[#This Row],[Usage-Delta-MB]],InterspecUsage[[#This Row],[Free-of-Max]])</f>
        <v>523.5</v>
      </c>
    </row>
    <row r="1130" spans="1:14" x14ac:dyDescent="0.25">
      <c r="A1130" s="3">
        <v>45355</v>
      </c>
      <c r="B1130" s="15" t="s">
        <v>25</v>
      </c>
      <c r="C1130" s="16">
        <v>76</v>
      </c>
      <c r="D1130" s="16">
        <v>12700</v>
      </c>
      <c r="E1130" s="16">
        <v>3026</v>
      </c>
      <c r="F1130" s="16">
        <v>9674</v>
      </c>
      <c r="G1130" s="16">
        <v>24</v>
      </c>
      <c r="H1130" s="16">
        <v>32768</v>
      </c>
      <c r="I1130" s="16">
        <v>30</v>
      </c>
      <c r="J1130" s="15" t="s">
        <v>1</v>
      </c>
      <c r="K1130" s="15" t="s">
        <v>2</v>
      </c>
      <c r="L1130" s="8">
        <f>InterspecUsage[[#This Row],[Used-MB]]-F1120</f>
        <v>17</v>
      </c>
      <c r="M1130">
        <f>InterspecUsage[[#This Row],[Max]]-InterspecUsage[[#This Row],[Used-MB]]</f>
        <v>23094</v>
      </c>
      <c r="N1130" s="5">
        <f>IF($L1130&gt;0,InterspecUsage[[#This Row],[Free-of-Max]]/InterspecUsage[[#This Row],[Usage-Delta-MB]],InterspecUsage[[#This Row],[Free-of-Max]])</f>
        <v>1358.4705882352941</v>
      </c>
    </row>
    <row r="1131" spans="1:14" x14ac:dyDescent="0.25">
      <c r="A1131" s="3">
        <v>45355</v>
      </c>
      <c r="B1131" s="15" t="s">
        <v>29</v>
      </c>
      <c r="C1131" s="16">
        <v>0</v>
      </c>
      <c r="D1131" s="16">
        <v>500</v>
      </c>
      <c r="E1131" s="16">
        <v>499</v>
      </c>
      <c r="F1131" s="16">
        <v>1</v>
      </c>
      <c r="G1131" s="16">
        <v>100</v>
      </c>
      <c r="H1131" s="16">
        <v>500</v>
      </c>
      <c r="I1131" s="16">
        <v>0</v>
      </c>
      <c r="J1131" s="15" t="s">
        <v>1</v>
      </c>
      <c r="K1131" s="15" t="s">
        <v>2</v>
      </c>
      <c r="L1131" s="8">
        <f>InterspecUsage[[#This Row],[Used-MB]]-F1121</f>
        <v>0</v>
      </c>
      <c r="M1131">
        <f>InterspecUsage[[#This Row],[Max]]-InterspecUsage[[#This Row],[Used-MB]]</f>
        <v>499</v>
      </c>
      <c r="N1131" s="5">
        <f>IF($L1131&gt;0,InterspecUsage[[#This Row],[Free-of-Max]]/InterspecUsage[[#This Row],[Usage-Delta-MB]],InterspecUsage[[#This Row],[Free-of-Max]])</f>
        <v>499</v>
      </c>
    </row>
    <row r="1132" spans="1:14" x14ac:dyDescent="0.25">
      <c r="A1132" s="3">
        <v>45362</v>
      </c>
      <c r="B1132" s="15" t="s">
        <v>26</v>
      </c>
      <c r="C1132" s="16">
        <v>94</v>
      </c>
      <c r="D1132" s="16">
        <v>23788</v>
      </c>
      <c r="E1132" s="16">
        <v>1421</v>
      </c>
      <c r="F1132" s="16">
        <v>22367</v>
      </c>
      <c r="G1132" s="16">
        <v>6</v>
      </c>
      <c r="H1132" s="16">
        <v>40960</v>
      </c>
      <c r="I1132" s="16">
        <v>55</v>
      </c>
      <c r="J1132" s="15" t="s">
        <v>1</v>
      </c>
      <c r="K1132" s="15" t="s">
        <v>2</v>
      </c>
      <c r="L1132" s="8">
        <f>InterspecUsage[[#This Row],[Used-MB]]-F1122</f>
        <v>0</v>
      </c>
      <c r="M1132">
        <f>InterspecUsage[[#This Row],[Max]]-InterspecUsage[[#This Row],[Used-MB]]</f>
        <v>18593</v>
      </c>
      <c r="N1132" s="5">
        <f>IF($L1132&gt;0,InterspecUsage[[#This Row],[Free-of-Max]]/InterspecUsage[[#This Row],[Usage-Delta-MB]],InterspecUsage[[#This Row],[Free-of-Max]])</f>
        <v>18593</v>
      </c>
    </row>
    <row r="1133" spans="1:14" x14ac:dyDescent="0.25">
      <c r="A1133" s="3">
        <v>45362</v>
      </c>
      <c r="B1133" s="15" t="s">
        <v>24</v>
      </c>
      <c r="C1133" s="16">
        <v>95</v>
      </c>
      <c r="D1133" s="16">
        <v>58468</v>
      </c>
      <c r="E1133" s="16">
        <v>2666</v>
      </c>
      <c r="F1133" s="16">
        <v>55802</v>
      </c>
      <c r="G1133" s="16">
        <v>5</v>
      </c>
      <c r="H1133" s="16">
        <v>65536</v>
      </c>
      <c r="I1133" s="16">
        <v>85</v>
      </c>
      <c r="J1133" s="15" t="s">
        <v>1</v>
      </c>
      <c r="K1133" s="15" t="s">
        <v>2</v>
      </c>
      <c r="L1133" s="8">
        <f>InterspecUsage[[#This Row],[Used-MB]]-F1123</f>
        <v>128</v>
      </c>
      <c r="M1133">
        <f>InterspecUsage[[#This Row],[Max]]-InterspecUsage[[#This Row],[Used-MB]]</f>
        <v>9734</v>
      </c>
      <c r="N1133" s="5">
        <f>IF($L1133&gt;0,InterspecUsage[[#This Row],[Free-of-Max]]/InterspecUsage[[#This Row],[Usage-Delta-MB]],InterspecUsage[[#This Row],[Free-of-Max]])</f>
        <v>76.046875</v>
      </c>
    </row>
    <row r="1134" spans="1:14" x14ac:dyDescent="0.25">
      <c r="A1134" s="3">
        <v>45362</v>
      </c>
      <c r="B1134" s="15" t="s">
        <v>35</v>
      </c>
      <c r="C1134" s="16">
        <v>96</v>
      </c>
      <c r="D1134" s="16">
        <v>29600</v>
      </c>
      <c r="E1134" s="16">
        <v>1054</v>
      </c>
      <c r="F1134" s="16">
        <v>28546</v>
      </c>
      <c r="G1134" s="16">
        <v>4</v>
      </c>
      <c r="H1134" s="16">
        <v>32768</v>
      </c>
      <c r="I1134" s="16">
        <v>87</v>
      </c>
      <c r="J1134" s="15" t="s">
        <v>1</v>
      </c>
      <c r="K1134" s="15" t="s">
        <v>2</v>
      </c>
      <c r="L1134" s="8">
        <f>InterspecUsage[[#This Row],[Used-MB]]-F1124</f>
        <v>64</v>
      </c>
      <c r="M1134">
        <f>InterspecUsage[[#This Row],[Max]]-InterspecUsage[[#This Row],[Used-MB]]</f>
        <v>4222</v>
      </c>
      <c r="N1134" s="5">
        <f>IF($L1134&gt;0,InterspecUsage[[#This Row],[Free-of-Max]]/InterspecUsage[[#This Row],[Usage-Delta-MB]],InterspecUsage[[#This Row],[Free-of-Max]])</f>
        <v>65.96875</v>
      </c>
    </row>
    <row r="1135" spans="1:14" x14ac:dyDescent="0.25">
      <c r="A1135" s="3">
        <v>45362</v>
      </c>
      <c r="B1135" s="15" t="s">
        <v>27</v>
      </c>
      <c r="C1135" s="16">
        <v>96</v>
      </c>
      <c r="D1135" s="16">
        <v>163840</v>
      </c>
      <c r="E1135" s="16">
        <v>6647</v>
      </c>
      <c r="F1135" s="16">
        <v>157193</v>
      </c>
      <c r="G1135" s="16">
        <v>4</v>
      </c>
      <c r="H1135" s="16">
        <v>163840</v>
      </c>
      <c r="I1135" s="16">
        <v>96</v>
      </c>
      <c r="J1135" s="15" t="s">
        <v>1</v>
      </c>
      <c r="K1135" s="15" t="s">
        <v>2</v>
      </c>
      <c r="L1135" s="8">
        <f>InterspecUsage[[#This Row],[Used-MB]]-F1125</f>
        <v>352</v>
      </c>
      <c r="M1135">
        <f>InterspecUsage[[#This Row],[Max]]-InterspecUsage[[#This Row],[Used-MB]]</f>
        <v>6647</v>
      </c>
      <c r="N1135" s="5">
        <f>IF($L1135&gt;0,InterspecUsage[[#This Row],[Free-of-Max]]/InterspecUsage[[#This Row],[Usage-Delta-MB]],InterspecUsage[[#This Row],[Free-of-Max]])</f>
        <v>18.883522727272727</v>
      </c>
    </row>
    <row r="1136" spans="1:14" x14ac:dyDescent="0.25">
      <c r="A1136" s="3">
        <v>45362</v>
      </c>
      <c r="B1136" s="15" t="s">
        <v>7</v>
      </c>
      <c r="C1136" s="16">
        <v>95</v>
      </c>
      <c r="D1136" s="16">
        <v>1870</v>
      </c>
      <c r="E1136" s="16">
        <v>91</v>
      </c>
      <c r="F1136" s="16">
        <v>1779</v>
      </c>
      <c r="G1136" s="16">
        <v>5</v>
      </c>
      <c r="H1136" s="16">
        <v>32768</v>
      </c>
      <c r="I1136" s="16">
        <v>5</v>
      </c>
      <c r="J1136" s="15" t="s">
        <v>1</v>
      </c>
      <c r="K1136" s="15" t="s">
        <v>2</v>
      </c>
      <c r="L1136" s="8">
        <f>InterspecUsage[[#This Row],[Used-MB]]-F1126</f>
        <v>8</v>
      </c>
      <c r="M1136">
        <f>InterspecUsage[[#This Row],[Max]]-InterspecUsage[[#This Row],[Used-MB]]</f>
        <v>30989</v>
      </c>
      <c r="N1136" s="5">
        <f>IF($L1136&gt;0,InterspecUsage[[#This Row],[Free-of-Max]]/InterspecUsage[[#This Row],[Usage-Delta-MB]],InterspecUsage[[#This Row],[Free-of-Max]])</f>
        <v>3873.625</v>
      </c>
    </row>
    <row r="1137" spans="1:14" x14ac:dyDescent="0.25">
      <c r="A1137" s="3">
        <v>45362</v>
      </c>
      <c r="B1137" s="15" t="s">
        <v>0</v>
      </c>
      <c r="C1137" s="16">
        <v>99</v>
      </c>
      <c r="D1137" s="16">
        <v>4540</v>
      </c>
      <c r="E1137" s="16">
        <v>59</v>
      </c>
      <c r="F1137" s="16">
        <v>4481</v>
      </c>
      <c r="G1137" s="16">
        <v>1</v>
      </c>
      <c r="H1137" s="16">
        <v>32768</v>
      </c>
      <c r="I1137" s="16">
        <v>14</v>
      </c>
      <c r="J1137" s="15" t="s">
        <v>1</v>
      </c>
      <c r="K1137" s="15" t="s">
        <v>2</v>
      </c>
      <c r="L1137" s="8">
        <f>InterspecUsage[[#This Row],[Used-MB]]-F1127</f>
        <v>0</v>
      </c>
      <c r="M1137">
        <f>InterspecUsage[[#This Row],[Max]]-InterspecUsage[[#This Row],[Used-MB]]</f>
        <v>28287</v>
      </c>
      <c r="N1137" s="5">
        <f>IF($L1137&gt;0,InterspecUsage[[#This Row],[Free-of-Max]]/InterspecUsage[[#This Row],[Usage-Delta-MB]],InterspecUsage[[#This Row],[Free-of-Max]])</f>
        <v>28287</v>
      </c>
    </row>
    <row r="1138" spans="1:14" x14ac:dyDescent="0.25">
      <c r="A1138" s="3">
        <v>45362</v>
      </c>
      <c r="B1138" s="15" t="s">
        <v>30</v>
      </c>
      <c r="C1138" s="16">
        <v>0</v>
      </c>
      <c r="D1138" s="16">
        <v>32767</v>
      </c>
      <c r="E1138" s="16">
        <v>32751</v>
      </c>
      <c r="F1138" s="16">
        <v>16</v>
      </c>
      <c r="G1138" s="16">
        <v>100</v>
      </c>
      <c r="H1138" s="16">
        <v>32768</v>
      </c>
      <c r="I1138" s="16">
        <v>0</v>
      </c>
      <c r="J1138" s="15" t="s">
        <v>1</v>
      </c>
      <c r="K1138" s="15" t="s">
        <v>13</v>
      </c>
      <c r="L1138" s="8">
        <f>InterspecUsage[[#This Row],[Used-MB]]-F1128</f>
        <v>-8</v>
      </c>
      <c r="M1138">
        <f>InterspecUsage[[#This Row],[Max]]-InterspecUsage[[#This Row],[Used-MB]]</f>
        <v>32752</v>
      </c>
      <c r="N1138" s="5">
        <f>IF($L1138&gt;0,InterspecUsage[[#This Row],[Free-of-Max]]/InterspecUsage[[#This Row],[Usage-Delta-MB]],InterspecUsage[[#This Row],[Free-of-Max]])</f>
        <v>32752</v>
      </c>
    </row>
    <row r="1139" spans="1:14" x14ac:dyDescent="0.25">
      <c r="A1139" s="3">
        <v>45362</v>
      </c>
      <c r="B1139" s="15" t="s">
        <v>28</v>
      </c>
      <c r="C1139" s="16">
        <v>6</v>
      </c>
      <c r="D1139" s="16">
        <v>23320</v>
      </c>
      <c r="E1139" s="16">
        <v>21860</v>
      </c>
      <c r="F1139" s="16">
        <v>1460</v>
      </c>
      <c r="G1139" s="16">
        <v>94</v>
      </c>
      <c r="H1139" s="16">
        <v>32768</v>
      </c>
      <c r="I1139" s="16">
        <v>4</v>
      </c>
      <c r="J1139" s="15" t="s">
        <v>1</v>
      </c>
      <c r="K1139" s="15" t="s">
        <v>10</v>
      </c>
      <c r="L1139" s="8">
        <f>InterspecUsage[[#This Row],[Used-MB]]-F1129</f>
        <v>1149</v>
      </c>
      <c r="M1139">
        <f>InterspecUsage[[#This Row],[Max]]-InterspecUsage[[#This Row],[Used-MB]]</f>
        <v>31308</v>
      </c>
      <c r="N1139" s="5">
        <f>IF($L1139&gt;0,InterspecUsage[[#This Row],[Free-of-Max]]/InterspecUsage[[#This Row],[Usage-Delta-MB]],InterspecUsage[[#This Row],[Free-of-Max]])</f>
        <v>27.248041775456919</v>
      </c>
    </row>
    <row r="1140" spans="1:14" x14ac:dyDescent="0.25">
      <c r="A1140" s="3">
        <v>45362</v>
      </c>
      <c r="B1140" s="15" t="s">
        <v>25</v>
      </c>
      <c r="C1140" s="16">
        <v>76</v>
      </c>
      <c r="D1140" s="16">
        <v>12700</v>
      </c>
      <c r="E1140" s="16">
        <v>3008</v>
      </c>
      <c r="F1140" s="16">
        <v>9692</v>
      </c>
      <c r="G1140" s="16">
        <v>24</v>
      </c>
      <c r="H1140" s="16">
        <v>32768</v>
      </c>
      <c r="I1140" s="16">
        <v>30</v>
      </c>
      <c r="J1140" s="15" t="s">
        <v>1</v>
      </c>
      <c r="K1140" s="15" t="s">
        <v>2</v>
      </c>
      <c r="L1140" s="8">
        <f>InterspecUsage[[#This Row],[Used-MB]]-F1130</f>
        <v>18</v>
      </c>
      <c r="M1140">
        <f>InterspecUsage[[#This Row],[Max]]-InterspecUsage[[#This Row],[Used-MB]]</f>
        <v>23076</v>
      </c>
      <c r="N1140" s="5">
        <f>IF($L1140&gt;0,InterspecUsage[[#This Row],[Free-of-Max]]/InterspecUsage[[#This Row],[Usage-Delta-MB]],InterspecUsage[[#This Row],[Free-of-Max]])</f>
        <v>1282</v>
      </c>
    </row>
    <row r="1141" spans="1:14" x14ac:dyDescent="0.25">
      <c r="A1141" s="3">
        <v>45362</v>
      </c>
      <c r="B1141" s="15" t="s">
        <v>29</v>
      </c>
      <c r="C1141" s="16">
        <v>0</v>
      </c>
      <c r="D1141" s="16">
        <v>500</v>
      </c>
      <c r="E1141" s="16">
        <v>499</v>
      </c>
      <c r="F1141" s="16">
        <v>1</v>
      </c>
      <c r="G1141" s="16">
        <v>100</v>
      </c>
      <c r="H1141" s="16">
        <v>500</v>
      </c>
      <c r="I1141" s="16">
        <v>0</v>
      </c>
      <c r="J1141" s="15" t="s">
        <v>1</v>
      </c>
      <c r="K1141" s="15" t="s">
        <v>2</v>
      </c>
      <c r="L1141" s="8">
        <f>InterspecUsage[[#This Row],[Used-MB]]-F1131</f>
        <v>0</v>
      </c>
      <c r="M1141">
        <f>InterspecUsage[[#This Row],[Max]]-InterspecUsage[[#This Row],[Used-MB]]</f>
        <v>499</v>
      </c>
      <c r="N1141" s="5">
        <f>IF($L1141&gt;0,InterspecUsage[[#This Row],[Free-of-Max]]/InterspecUsage[[#This Row],[Usage-Delta-MB]],InterspecUsage[[#This Row],[Free-of-Max]])</f>
        <v>499</v>
      </c>
    </row>
    <row r="1142" spans="1:14" x14ac:dyDescent="0.25">
      <c r="A1142" s="3">
        <v>45376</v>
      </c>
      <c r="B1142" s="15" t="s">
        <v>26</v>
      </c>
      <c r="C1142" s="16">
        <v>95</v>
      </c>
      <c r="D1142" s="16">
        <v>23788</v>
      </c>
      <c r="E1142" s="16">
        <v>1291</v>
      </c>
      <c r="F1142" s="16">
        <v>22497</v>
      </c>
      <c r="G1142" s="16">
        <v>5</v>
      </c>
      <c r="H1142" s="16">
        <v>40960</v>
      </c>
      <c r="I1142" s="16">
        <v>55</v>
      </c>
      <c r="J1142" s="15" t="s">
        <v>1</v>
      </c>
      <c r="K1142" s="15" t="s">
        <v>2</v>
      </c>
      <c r="L1142" s="8">
        <f>InterspecUsage[[#This Row],[Used-MB]]-F1132</f>
        <v>130</v>
      </c>
      <c r="M1142">
        <f>InterspecUsage[[#This Row],[Max]]-InterspecUsage[[#This Row],[Used-MB]]</f>
        <v>18463</v>
      </c>
      <c r="N1142" s="5">
        <f>IF($L1142&gt;0,InterspecUsage[[#This Row],[Free-of-Max]]/InterspecUsage[[#This Row],[Usage-Delta-MB]],InterspecUsage[[#This Row],[Free-of-Max]])</f>
        <v>142.02307692307693</v>
      </c>
    </row>
    <row r="1143" spans="1:14" x14ac:dyDescent="0.25">
      <c r="A1143" s="3">
        <v>45376</v>
      </c>
      <c r="B1143" s="15" t="s">
        <v>24</v>
      </c>
      <c r="C1143" s="16">
        <v>96</v>
      </c>
      <c r="D1143" s="16">
        <v>58468</v>
      </c>
      <c r="E1143" s="16">
        <v>2282</v>
      </c>
      <c r="F1143" s="16">
        <v>56186</v>
      </c>
      <c r="G1143" s="16">
        <v>4</v>
      </c>
      <c r="H1143" s="16">
        <v>65536</v>
      </c>
      <c r="I1143" s="16">
        <v>86</v>
      </c>
      <c r="J1143" s="15" t="s">
        <v>1</v>
      </c>
      <c r="K1143" s="15" t="s">
        <v>2</v>
      </c>
      <c r="L1143" s="8">
        <f>InterspecUsage[[#This Row],[Used-MB]]-F1133</f>
        <v>384</v>
      </c>
      <c r="M1143">
        <f>InterspecUsage[[#This Row],[Max]]-InterspecUsage[[#This Row],[Used-MB]]</f>
        <v>9350</v>
      </c>
      <c r="N1143" s="5">
        <f>IF($L1143&gt;0,InterspecUsage[[#This Row],[Free-of-Max]]/InterspecUsage[[#This Row],[Usage-Delta-MB]],InterspecUsage[[#This Row],[Free-of-Max]])</f>
        <v>24.348958333333332</v>
      </c>
    </row>
    <row r="1144" spans="1:14" x14ac:dyDescent="0.25">
      <c r="A1144" s="3">
        <v>45376</v>
      </c>
      <c r="B1144" s="15" t="s">
        <v>35</v>
      </c>
      <c r="C1144" s="16">
        <v>95</v>
      </c>
      <c r="D1144" s="16">
        <v>30200</v>
      </c>
      <c r="E1144" s="16">
        <v>1590</v>
      </c>
      <c r="F1144" s="16">
        <v>28610</v>
      </c>
      <c r="G1144" s="16">
        <v>5</v>
      </c>
      <c r="H1144" s="16">
        <v>32768</v>
      </c>
      <c r="I1144" s="16">
        <v>87</v>
      </c>
      <c r="J1144" s="15" t="s">
        <v>1</v>
      </c>
      <c r="K1144" s="15" t="s">
        <v>2</v>
      </c>
      <c r="L1144" s="8">
        <f>InterspecUsage[[#This Row],[Used-MB]]-F1134</f>
        <v>64</v>
      </c>
      <c r="M1144">
        <f>InterspecUsage[[#This Row],[Max]]-InterspecUsage[[#This Row],[Used-MB]]</f>
        <v>4158</v>
      </c>
      <c r="N1144" s="5">
        <f>IF($L1144&gt;0,InterspecUsage[[#This Row],[Free-of-Max]]/InterspecUsage[[#This Row],[Usage-Delta-MB]],InterspecUsage[[#This Row],[Free-of-Max]])</f>
        <v>64.96875</v>
      </c>
    </row>
    <row r="1145" spans="1:14" x14ac:dyDescent="0.25">
      <c r="A1145" s="3">
        <v>45376</v>
      </c>
      <c r="B1145" s="15" t="s">
        <v>27</v>
      </c>
      <c r="C1145" s="16">
        <v>96</v>
      </c>
      <c r="D1145" s="16">
        <v>163840</v>
      </c>
      <c r="E1145" s="16">
        <v>5873</v>
      </c>
      <c r="F1145" s="16">
        <v>157967</v>
      </c>
      <c r="G1145" s="16">
        <v>4</v>
      </c>
      <c r="H1145" s="16">
        <v>163840</v>
      </c>
      <c r="I1145" s="16">
        <v>96</v>
      </c>
      <c r="J1145" s="15" t="s">
        <v>1</v>
      </c>
      <c r="K1145" s="15" t="s">
        <v>2</v>
      </c>
      <c r="L1145" s="8">
        <f>InterspecUsage[[#This Row],[Used-MB]]-F1135</f>
        <v>774</v>
      </c>
      <c r="M1145">
        <f>InterspecUsage[[#This Row],[Max]]-InterspecUsage[[#This Row],[Used-MB]]</f>
        <v>5873</v>
      </c>
      <c r="N1145" s="5">
        <f>IF($L1145&gt;0,InterspecUsage[[#This Row],[Free-of-Max]]/InterspecUsage[[#This Row],[Usage-Delta-MB]],InterspecUsage[[#This Row],[Free-of-Max]])</f>
        <v>7.5878552971576223</v>
      </c>
    </row>
    <row r="1146" spans="1:14" x14ac:dyDescent="0.25">
      <c r="A1146" s="3">
        <v>45376</v>
      </c>
      <c r="B1146" s="15" t="s">
        <v>7</v>
      </c>
      <c r="C1146" s="16">
        <v>95</v>
      </c>
      <c r="D1146" s="16">
        <v>1890</v>
      </c>
      <c r="E1146" s="16">
        <v>96</v>
      </c>
      <c r="F1146" s="16">
        <v>1794</v>
      </c>
      <c r="G1146" s="16">
        <v>5</v>
      </c>
      <c r="H1146" s="16">
        <v>32768</v>
      </c>
      <c r="I1146" s="16">
        <v>5</v>
      </c>
      <c r="J1146" s="15" t="s">
        <v>1</v>
      </c>
      <c r="K1146" s="15" t="s">
        <v>2</v>
      </c>
      <c r="L1146" s="8">
        <f>InterspecUsage[[#This Row],[Used-MB]]-F1136</f>
        <v>15</v>
      </c>
      <c r="M1146">
        <f>InterspecUsage[[#This Row],[Max]]-InterspecUsage[[#This Row],[Used-MB]]</f>
        <v>30974</v>
      </c>
      <c r="N1146" s="5">
        <f>IF($L1146&gt;0,InterspecUsage[[#This Row],[Free-of-Max]]/InterspecUsage[[#This Row],[Usage-Delta-MB]],InterspecUsage[[#This Row],[Free-of-Max]])</f>
        <v>2064.9333333333334</v>
      </c>
    </row>
    <row r="1147" spans="1:14" x14ac:dyDescent="0.25">
      <c r="A1147" s="3">
        <v>45376</v>
      </c>
      <c r="B1147" s="15" t="s">
        <v>0</v>
      </c>
      <c r="C1147" s="16">
        <v>99</v>
      </c>
      <c r="D1147" s="16">
        <v>4610</v>
      </c>
      <c r="E1147" s="16">
        <v>65</v>
      </c>
      <c r="F1147" s="16">
        <v>4545</v>
      </c>
      <c r="G1147" s="16">
        <v>1</v>
      </c>
      <c r="H1147" s="16">
        <v>32768</v>
      </c>
      <c r="I1147" s="16">
        <v>14</v>
      </c>
      <c r="J1147" s="15" t="s">
        <v>1</v>
      </c>
      <c r="K1147" s="15" t="s">
        <v>2</v>
      </c>
      <c r="L1147" s="8">
        <f>InterspecUsage[[#This Row],[Used-MB]]-F1137</f>
        <v>64</v>
      </c>
      <c r="M1147">
        <f>InterspecUsage[[#This Row],[Max]]-InterspecUsage[[#This Row],[Used-MB]]</f>
        <v>28223</v>
      </c>
      <c r="N1147" s="5">
        <f>IF($L1147&gt;0,InterspecUsage[[#This Row],[Free-of-Max]]/InterspecUsage[[#This Row],[Usage-Delta-MB]],InterspecUsage[[#This Row],[Free-of-Max]])</f>
        <v>440.984375</v>
      </c>
    </row>
    <row r="1148" spans="1:14" x14ac:dyDescent="0.25">
      <c r="A1148" s="3">
        <v>45376</v>
      </c>
      <c r="B1148" s="15" t="s">
        <v>30</v>
      </c>
      <c r="C1148" s="16">
        <v>0</v>
      </c>
      <c r="D1148" s="16">
        <v>32767</v>
      </c>
      <c r="E1148" s="16">
        <v>32753</v>
      </c>
      <c r="F1148" s="16">
        <v>14</v>
      </c>
      <c r="G1148" s="16">
        <v>100</v>
      </c>
      <c r="H1148" s="16">
        <v>32768</v>
      </c>
      <c r="I1148" s="16">
        <v>0</v>
      </c>
      <c r="J1148" s="15" t="s">
        <v>1</v>
      </c>
      <c r="K1148" s="15" t="s">
        <v>13</v>
      </c>
      <c r="L1148" s="8">
        <f>InterspecUsage[[#This Row],[Used-MB]]-F1138</f>
        <v>-2</v>
      </c>
      <c r="M1148">
        <f>InterspecUsage[[#This Row],[Max]]-InterspecUsage[[#This Row],[Used-MB]]</f>
        <v>32754</v>
      </c>
      <c r="N1148" s="5">
        <f>IF($L1148&gt;0,InterspecUsage[[#This Row],[Free-of-Max]]/InterspecUsage[[#This Row],[Usage-Delta-MB]],InterspecUsage[[#This Row],[Free-of-Max]])</f>
        <v>32754</v>
      </c>
    </row>
    <row r="1149" spans="1:14" x14ac:dyDescent="0.25">
      <c r="A1149" s="3">
        <v>45376</v>
      </c>
      <c r="B1149" s="15" t="s">
        <v>28</v>
      </c>
      <c r="C1149" s="16">
        <v>7</v>
      </c>
      <c r="D1149" s="16">
        <v>23320</v>
      </c>
      <c r="E1149" s="16">
        <v>21754</v>
      </c>
      <c r="F1149" s="16">
        <v>1566</v>
      </c>
      <c r="G1149" s="16">
        <v>93</v>
      </c>
      <c r="H1149" s="16">
        <v>32768</v>
      </c>
      <c r="I1149" s="16">
        <v>5</v>
      </c>
      <c r="J1149" s="15" t="s">
        <v>1</v>
      </c>
      <c r="K1149" s="15" t="s">
        <v>10</v>
      </c>
      <c r="L1149" s="8">
        <f>InterspecUsage[[#This Row],[Used-MB]]-F1139</f>
        <v>106</v>
      </c>
      <c r="M1149">
        <f>InterspecUsage[[#This Row],[Max]]-InterspecUsage[[#This Row],[Used-MB]]</f>
        <v>31202</v>
      </c>
      <c r="N1149" s="5">
        <f>IF($L1149&gt;0,InterspecUsage[[#This Row],[Free-of-Max]]/InterspecUsage[[#This Row],[Usage-Delta-MB]],InterspecUsage[[#This Row],[Free-of-Max]])</f>
        <v>294.35849056603774</v>
      </c>
    </row>
    <row r="1150" spans="1:14" x14ac:dyDescent="0.25">
      <c r="A1150" s="3">
        <v>45376</v>
      </c>
      <c r="B1150" s="15" t="s">
        <v>25</v>
      </c>
      <c r="C1150" s="16">
        <v>77</v>
      </c>
      <c r="D1150" s="16">
        <v>12700</v>
      </c>
      <c r="E1150" s="16">
        <v>2966</v>
      </c>
      <c r="F1150" s="16">
        <v>9734</v>
      </c>
      <c r="G1150" s="16">
        <v>23</v>
      </c>
      <c r="H1150" s="16">
        <v>32768</v>
      </c>
      <c r="I1150" s="16">
        <v>30</v>
      </c>
      <c r="J1150" s="15" t="s">
        <v>1</v>
      </c>
      <c r="K1150" s="15" t="s">
        <v>2</v>
      </c>
      <c r="L1150" s="8">
        <f>InterspecUsage[[#This Row],[Used-MB]]-F1140</f>
        <v>42</v>
      </c>
      <c r="M1150">
        <f>InterspecUsage[[#This Row],[Max]]-InterspecUsage[[#This Row],[Used-MB]]</f>
        <v>23034</v>
      </c>
      <c r="N1150" s="5">
        <f>IF($L1150&gt;0,InterspecUsage[[#This Row],[Free-of-Max]]/InterspecUsage[[#This Row],[Usage-Delta-MB]],InterspecUsage[[#This Row],[Free-of-Max]])</f>
        <v>548.42857142857144</v>
      </c>
    </row>
    <row r="1151" spans="1:14" x14ac:dyDescent="0.25">
      <c r="A1151" s="3">
        <v>45376</v>
      </c>
      <c r="B1151" s="15" t="s">
        <v>29</v>
      </c>
      <c r="C1151" s="16">
        <v>0</v>
      </c>
      <c r="D1151" s="16">
        <v>500</v>
      </c>
      <c r="E1151" s="16">
        <v>499</v>
      </c>
      <c r="F1151" s="16">
        <v>1</v>
      </c>
      <c r="G1151" s="16">
        <v>100</v>
      </c>
      <c r="H1151" s="16">
        <v>500</v>
      </c>
      <c r="I1151" s="16">
        <v>0</v>
      </c>
      <c r="J1151" s="15" t="s">
        <v>1</v>
      </c>
      <c r="K1151" s="15" t="s">
        <v>2</v>
      </c>
      <c r="L1151" s="8">
        <f>InterspecUsage[[#This Row],[Used-MB]]-F1141</f>
        <v>0</v>
      </c>
      <c r="M1151">
        <f>InterspecUsage[[#This Row],[Max]]-InterspecUsage[[#This Row],[Used-MB]]</f>
        <v>499</v>
      </c>
      <c r="N1151" s="5">
        <f>IF($L1151&gt;0,InterspecUsage[[#This Row],[Free-of-Max]]/InterspecUsage[[#This Row],[Usage-Delta-MB]],InterspecUsage[[#This Row],[Free-of-Max]])</f>
        <v>499</v>
      </c>
    </row>
    <row r="1152" spans="1:14" x14ac:dyDescent="0.25">
      <c r="A1152" s="3">
        <v>45386</v>
      </c>
      <c r="B1152" s="15" t="s">
        <v>26</v>
      </c>
      <c r="C1152" s="16">
        <v>95</v>
      </c>
      <c r="D1152" s="16">
        <v>23788</v>
      </c>
      <c r="E1152" s="16">
        <v>1226</v>
      </c>
      <c r="F1152" s="16">
        <v>22562</v>
      </c>
      <c r="G1152" s="16">
        <v>5</v>
      </c>
      <c r="H1152" s="16">
        <v>40960</v>
      </c>
      <c r="I1152" s="16">
        <v>55</v>
      </c>
      <c r="J1152" s="15" t="s">
        <v>1</v>
      </c>
      <c r="K1152" s="15" t="s">
        <v>2</v>
      </c>
      <c r="L1152" s="8">
        <f>InterspecUsage[[#This Row],[Used-MB]]-F1142</f>
        <v>65</v>
      </c>
      <c r="M1152">
        <f>InterspecUsage[[#This Row],[Max]]-InterspecUsage[[#This Row],[Used-MB]]</f>
        <v>18398</v>
      </c>
      <c r="N1152" s="5">
        <f>IF($L1152&gt;0,InterspecUsage[[#This Row],[Free-of-Max]]/InterspecUsage[[#This Row],[Usage-Delta-MB]],InterspecUsage[[#This Row],[Free-of-Max]])</f>
        <v>283.04615384615386</v>
      </c>
    </row>
    <row r="1153" spans="1:14" x14ac:dyDescent="0.25">
      <c r="A1153" s="3">
        <v>45386</v>
      </c>
      <c r="B1153" s="15" t="s">
        <v>24</v>
      </c>
      <c r="C1153" s="16">
        <v>96</v>
      </c>
      <c r="D1153" s="16">
        <v>58468</v>
      </c>
      <c r="E1153" s="16">
        <v>2170</v>
      </c>
      <c r="F1153" s="16">
        <v>56298</v>
      </c>
      <c r="G1153" s="16">
        <v>4</v>
      </c>
      <c r="H1153" s="16">
        <v>65536</v>
      </c>
      <c r="I1153" s="16">
        <v>86</v>
      </c>
      <c r="J1153" s="15" t="s">
        <v>1</v>
      </c>
      <c r="K1153" s="15" t="s">
        <v>2</v>
      </c>
      <c r="L1153" s="8">
        <f>InterspecUsage[[#This Row],[Used-MB]]-F1143</f>
        <v>112</v>
      </c>
      <c r="M1153">
        <f>InterspecUsage[[#This Row],[Max]]-InterspecUsage[[#This Row],[Used-MB]]</f>
        <v>9238</v>
      </c>
      <c r="N1153" s="5">
        <f>IF($L1153&gt;0,InterspecUsage[[#This Row],[Free-of-Max]]/InterspecUsage[[#This Row],[Usage-Delta-MB]],InterspecUsage[[#This Row],[Free-of-Max]])</f>
        <v>82.482142857142861</v>
      </c>
    </row>
    <row r="1154" spans="1:14" x14ac:dyDescent="0.25">
      <c r="A1154" s="3">
        <v>45386</v>
      </c>
      <c r="B1154" s="15" t="s">
        <v>35</v>
      </c>
      <c r="C1154" s="16">
        <v>95</v>
      </c>
      <c r="D1154" s="16">
        <v>30200</v>
      </c>
      <c r="E1154" s="16">
        <v>1526</v>
      </c>
      <c r="F1154" s="16">
        <v>28674</v>
      </c>
      <c r="G1154" s="16">
        <v>5</v>
      </c>
      <c r="H1154" s="16">
        <v>32768</v>
      </c>
      <c r="I1154" s="16">
        <v>88</v>
      </c>
      <c r="J1154" s="15" t="s">
        <v>1</v>
      </c>
      <c r="K1154" s="15" t="s">
        <v>2</v>
      </c>
      <c r="L1154" s="8">
        <f>InterspecUsage[[#This Row],[Used-MB]]-F1144</f>
        <v>64</v>
      </c>
      <c r="M1154">
        <f>InterspecUsage[[#This Row],[Max]]-InterspecUsage[[#This Row],[Used-MB]]</f>
        <v>4094</v>
      </c>
      <c r="N1154" s="5">
        <f>IF($L1154&gt;0,InterspecUsage[[#This Row],[Free-of-Max]]/InterspecUsage[[#This Row],[Usage-Delta-MB]],InterspecUsage[[#This Row],[Free-of-Max]])</f>
        <v>63.96875</v>
      </c>
    </row>
    <row r="1155" spans="1:14" x14ac:dyDescent="0.25">
      <c r="A1155" s="3">
        <v>45386</v>
      </c>
      <c r="B1155" s="15" t="s">
        <v>27</v>
      </c>
      <c r="C1155" s="16">
        <v>97</v>
      </c>
      <c r="D1155" s="16">
        <v>163840</v>
      </c>
      <c r="E1155" s="16">
        <v>5626</v>
      </c>
      <c r="F1155" s="16">
        <v>158213</v>
      </c>
      <c r="G1155" s="16">
        <v>3</v>
      </c>
      <c r="H1155" s="16">
        <v>163840</v>
      </c>
      <c r="I1155" s="16">
        <v>97</v>
      </c>
      <c r="J1155" s="15" t="s">
        <v>1</v>
      </c>
      <c r="K1155" s="15" t="s">
        <v>2</v>
      </c>
      <c r="L1155" s="8">
        <f>InterspecUsage[[#This Row],[Used-MB]]-F1145</f>
        <v>246</v>
      </c>
      <c r="M1155">
        <f>InterspecUsage[[#This Row],[Max]]-InterspecUsage[[#This Row],[Used-MB]]</f>
        <v>5627</v>
      </c>
      <c r="N1155" s="5">
        <f>IF($L1155&gt;0,InterspecUsage[[#This Row],[Free-of-Max]]/InterspecUsage[[#This Row],[Usage-Delta-MB]],InterspecUsage[[#This Row],[Free-of-Max]])</f>
        <v>22.873983739837399</v>
      </c>
    </row>
    <row r="1156" spans="1:14" x14ac:dyDescent="0.25">
      <c r="A1156" s="3">
        <v>45386</v>
      </c>
      <c r="B1156" s="15" t="s">
        <v>7</v>
      </c>
      <c r="C1156" s="16">
        <v>95</v>
      </c>
      <c r="D1156" s="16">
        <v>1890</v>
      </c>
      <c r="E1156" s="16">
        <v>98</v>
      </c>
      <c r="F1156" s="16">
        <v>1792</v>
      </c>
      <c r="G1156" s="16">
        <v>5</v>
      </c>
      <c r="H1156" s="16">
        <v>32768</v>
      </c>
      <c r="I1156" s="16">
        <v>5</v>
      </c>
      <c r="J1156" s="15" t="s">
        <v>1</v>
      </c>
      <c r="K1156" s="15" t="s">
        <v>2</v>
      </c>
      <c r="L1156" s="8">
        <f>InterspecUsage[[#This Row],[Used-MB]]-F1146</f>
        <v>-2</v>
      </c>
      <c r="M1156">
        <f>InterspecUsage[[#This Row],[Max]]-InterspecUsage[[#This Row],[Used-MB]]</f>
        <v>30976</v>
      </c>
      <c r="N1156" s="5">
        <f>IF($L1156&gt;0,InterspecUsage[[#This Row],[Free-of-Max]]/InterspecUsage[[#This Row],[Usage-Delta-MB]],InterspecUsage[[#This Row],[Free-of-Max]])</f>
        <v>30976</v>
      </c>
    </row>
    <row r="1157" spans="1:14" x14ac:dyDescent="0.25">
      <c r="A1157" s="3">
        <v>45386</v>
      </c>
      <c r="B1157" s="15" t="s">
        <v>0</v>
      </c>
      <c r="C1157" s="16">
        <v>99</v>
      </c>
      <c r="D1157" s="16">
        <v>4610</v>
      </c>
      <c r="E1157" s="16">
        <v>65</v>
      </c>
      <c r="F1157" s="16">
        <v>4545</v>
      </c>
      <c r="G1157" s="16">
        <v>1</v>
      </c>
      <c r="H1157" s="16">
        <v>32768</v>
      </c>
      <c r="I1157" s="16">
        <v>14</v>
      </c>
      <c r="J1157" s="15" t="s">
        <v>1</v>
      </c>
      <c r="K1157" s="15" t="s">
        <v>2</v>
      </c>
      <c r="L1157" s="8">
        <f>InterspecUsage[[#This Row],[Used-MB]]-F1147</f>
        <v>0</v>
      </c>
      <c r="M1157">
        <f>InterspecUsage[[#This Row],[Max]]-InterspecUsage[[#This Row],[Used-MB]]</f>
        <v>28223</v>
      </c>
      <c r="N1157" s="5">
        <f>IF($L1157&gt;0,InterspecUsage[[#This Row],[Free-of-Max]]/InterspecUsage[[#This Row],[Usage-Delta-MB]],InterspecUsage[[#This Row],[Free-of-Max]])</f>
        <v>28223</v>
      </c>
    </row>
    <row r="1158" spans="1:14" x14ac:dyDescent="0.25">
      <c r="A1158" s="3">
        <v>45386</v>
      </c>
      <c r="B1158" s="15" t="s">
        <v>30</v>
      </c>
      <c r="C1158" s="16">
        <v>0</v>
      </c>
      <c r="D1158" s="16">
        <v>32767</v>
      </c>
      <c r="E1158" s="16">
        <v>32757</v>
      </c>
      <c r="F1158" s="16">
        <v>10</v>
      </c>
      <c r="G1158" s="16">
        <v>100</v>
      </c>
      <c r="H1158" s="16">
        <v>32768</v>
      </c>
      <c r="I1158" s="16">
        <v>0</v>
      </c>
      <c r="J1158" s="15" t="s">
        <v>1</v>
      </c>
      <c r="K1158" s="15" t="s">
        <v>13</v>
      </c>
      <c r="L1158" s="8">
        <f>InterspecUsage[[#This Row],[Used-MB]]-F1148</f>
        <v>-4</v>
      </c>
      <c r="M1158">
        <f>InterspecUsage[[#This Row],[Max]]-InterspecUsage[[#This Row],[Used-MB]]</f>
        <v>32758</v>
      </c>
      <c r="N1158" s="5">
        <f>IF($L1158&gt;0,InterspecUsage[[#This Row],[Free-of-Max]]/InterspecUsage[[#This Row],[Usage-Delta-MB]],InterspecUsage[[#This Row],[Free-of-Max]])</f>
        <v>32758</v>
      </c>
    </row>
    <row r="1159" spans="1:14" x14ac:dyDescent="0.25">
      <c r="A1159" s="3">
        <v>45386</v>
      </c>
      <c r="B1159" s="15" t="s">
        <v>28</v>
      </c>
      <c r="C1159" s="16">
        <v>8</v>
      </c>
      <c r="D1159" s="16">
        <v>23320</v>
      </c>
      <c r="E1159" s="16">
        <v>21349</v>
      </c>
      <c r="F1159" s="16">
        <v>1971</v>
      </c>
      <c r="G1159" s="16">
        <v>92</v>
      </c>
      <c r="H1159" s="16">
        <v>32768</v>
      </c>
      <c r="I1159" s="16">
        <v>6</v>
      </c>
      <c r="J1159" s="15" t="s">
        <v>1</v>
      </c>
      <c r="K1159" s="15" t="s">
        <v>10</v>
      </c>
      <c r="L1159" s="8">
        <f>InterspecUsage[[#This Row],[Used-MB]]-F1149</f>
        <v>405</v>
      </c>
      <c r="M1159">
        <f>InterspecUsage[[#This Row],[Max]]-InterspecUsage[[#This Row],[Used-MB]]</f>
        <v>30797</v>
      </c>
      <c r="N1159" s="5">
        <f>IF($L1159&gt;0,InterspecUsage[[#This Row],[Free-of-Max]]/InterspecUsage[[#This Row],[Usage-Delta-MB]],InterspecUsage[[#This Row],[Free-of-Max]])</f>
        <v>76.04197530864198</v>
      </c>
    </row>
    <row r="1160" spans="1:14" x14ac:dyDescent="0.25">
      <c r="A1160" s="3">
        <v>45386</v>
      </c>
      <c r="B1160" s="15" t="s">
        <v>25</v>
      </c>
      <c r="C1160" s="16">
        <v>77</v>
      </c>
      <c r="D1160" s="16">
        <v>12700</v>
      </c>
      <c r="E1160" s="16">
        <v>2949</v>
      </c>
      <c r="F1160" s="16">
        <v>9751</v>
      </c>
      <c r="G1160" s="16">
        <v>23</v>
      </c>
      <c r="H1160" s="16">
        <v>32768</v>
      </c>
      <c r="I1160" s="16">
        <v>30</v>
      </c>
      <c r="J1160" s="15" t="s">
        <v>1</v>
      </c>
      <c r="K1160" s="15" t="s">
        <v>2</v>
      </c>
      <c r="L1160" s="8">
        <f>InterspecUsage[[#This Row],[Used-MB]]-F1150</f>
        <v>17</v>
      </c>
      <c r="M1160">
        <f>InterspecUsage[[#This Row],[Max]]-InterspecUsage[[#This Row],[Used-MB]]</f>
        <v>23017</v>
      </c>
      <c r="N1160" s="5">
        <f>IF($L1160&gt;0,InterspecUsage[[#This Row],[Free-of-Max]]/InterspecUsage[[#This Row],[Usage-Delta-MB]],InterspecUsage[[#This Row],[Free-of-Max]])</f>
        <v>1353.9411764705883</v>
      </c>
    </row>
    <row r="1161" spans="1:14" x14ac:dyDescent="0.25">
      <c r="A1161" s="3">
        <v>45386</v>
      </c>
      <c r="B1161" s="15" t="s">
        <v>29</v>
      </c>
      <c r="C1161" s="16">
        <v>0</v>
      </c>
      <c r="D1161" s="16">
        <v>500</v>
      </c>
      <c r="E1161" s="16">
        <v>499</v>
      </c>
      <c r="F1161" s="16">
        <v>1</v>
      </c>
      <c r="G1161" s="16">
        <v>100</v>
      </c>
      <c r="H1161" s="16">
        <v>500</v>
      </c>
      <c r="I1161" s="16">
        <v>0</v>
      </c>
      <c r="J1161" s="15" t="s">
        <v>1</v>
      </c>
      <c r="K1161" s="15" t="s">
        <v>2</v>
      </c>
      <c r="L1161" s="8">
        <f>InterspecUsage[[#This Row],[Used-MB]]-F1151</f>
        <v>0</v>
      </c>
      <c r="M1161">
        <f>InterspecUsage[[#This Row],[Max]]-InterspecUsage[[#This Row],[Used-MB]]</f>
        <v>499</v>
      </c>
      <c r="N1161" s="5">
        <f>IF($L1161&gt;0,InterspecUsage[[#This Row],[Free-of-Max]]/InterspecUsage[[#This Row],[Usage-Delta-MB]],InterspecUsage[[#This Row],[Free-of-Max]])</f>
        <v>499</v>
      </c>
    </row>
    <row r="1162" spans="1:14" x14ac:dyDescent="0.25">
      <c r="A1162" s="3">
        <v>45397</v>
      </c>
      <c r="B1162" s="15" t="s">
        <v>26</v>
      </c>
      <c r="C1162" s="16">
        <v>95</v>
      </c>
      <c r="D1162" s="16">
        <v>23788</v>
      </c>
      <c r="E1162" s="16">
        <v>1098</v>
      </c>
      <c r="F1162" s="16">
        <v>22690</v>
      </c>
      <c r="G1162" s="16">
        <v>5</v>
      </c>
      <c r="H1162" s="16">
        <v>40960</v>
      </c>
      <c r="I1162" s="16">
        <v>55</v>
      </c>
      <c r="J1162" s="15" t="s">
        <v>1</v>
      </c>
      <c r="K1162" s="15" t="s">
        <v>2</v>
      </c>
      <c r="L1162" s="8">
        <f>InterspecUsage[[#This Row],[Used-MB]]-F1152</f>
        <v>128</v>
      </c>
      <c r="M1162">
        <f>InterspecUsage[[#This Row],[Max]]-InterspecUsage[[#This Row],[Used-MB]]</f>
        <v>18270</v>
      </c>
      <c r="N1162" s="5">
        <f>IF($L1162&gt;0,InterspecUsage[[#This Row],[Free-of-Max]]/InterspecUsage[[#This Row],[Usage-Delta-MB]],InterspecUsage[[#This Row],[Free-of-Max]])</f>
        <v>142.734375</v>
      </c>
    </row>
    <row r="1163" spans="1:14" x14ac:dyDescent="0.25">
      <c r="A1163" s="3">
        <v>45397</v>
      </c>
      <c r="B1163" s="15" t="s">
        <v>24</v>
      </c>
      <c r="C1163" s="16">
        <v>97</v>
      </c>
      <c r="D1163" s="16">
        <v>58468</v>
      </c>
      <c r="E1163" s="16">
        <v>1883</v>
      </c>
      <c r="F1163" s="16">
        <v>56585</v>
      </c>
      <c r="G1163" s="16">
        <v>3</v>
      </c>
      <c r="H1163" s="16">
        <v>65536</v>
      </c>
      <c r="I1163" s="16">
        <v>86</v>
      </c>
      <c r="J1163" s="15" t="s">
        <v>1</v>
      </c>
      <c r="K1163" s="15" t="s">
        <v>2</v>
      </c>
      <c r="L1163" s="8">
        <f>InterspecUsage[[#This Row],[Used-MB]]-F1153</f>
        <v>287</v>
      </c>
      <c r="M1163">
        <f>InterspecUsage[[#This Row],[Max]]-InterspecUsage[[#This Row],[Used-MB]]</f>
        <v>8951</v>
      </c>
      <c r="N1163" s="5">
        <f>IF($L1163&gt;0,InterspecUsage[[#This Row],[Free-of-Max]]/InterspecUsage[[#This Row],[Usage-Delta-MB]],InterspecUsage[[#This Row],[Free-of-Max]])</f>
        <v>31.188153310104529</v>
      </c>
    </row>
    <row r="1164" spans="1:14" x14ac:dyDescent="0.25">
      <c r="A1164" s="3">
        <v>45397</v>
      </c>
      <c r="B1164" s="15" t="s">
        <v>35</v>
      </c>
      <c r="C1164" s="16">
        <v>95</v>
      </c>
      <c r="D1164" s="16">
        <v>30200</v>
      </c>
      <c r="E1164" s="16">
        <v>1397</v>
      </c>
      <c r="F1164" s="16">
        <v>28803</v>
      </c>
      <c r="G1164" s="16">
        <v>5</v>
      </c>
      <c r="H1164" s="16">
        <v>32768</v>
      </c>
      <c r="I1164" s="16">
        <v>88</v>
      </c>
      <c r="J1164" s="15" t="s">
        <v>1</v>
      </c>
      <c r="K1164" s="15" t="s">
        <v>2</v>
      </c>
      <c r="L1164" s="8">
        <f>InterspecUsage[[#This Row],[Used-MB]]-F1154</f>
        <v>129</v>
      </c>
      <c r="M1164">
        <f>InterspecUsage[[#This Row],[Max]]-InterspecUsage[[#This Row],[Used-MB]]</f>
        <v>3965</v>
      </c>
      <c r="N1164" s="5">
        <f>IF($L1164&gt;0,InterspecUsage[[#This Row],[Free-of-Max]]/InterspecUsage[[#This Row],[Usage-Delta-MB]],InterspecUsage[[#This Row],[Free-of-Max]])</f>
        <v>30.736434108527131</v>
      </c>
    </row>
    <row r="1165" spans="1:14" x14ac:dyDescent="0.25">
      <c r="A1165" s="3">
        <v>45397</v>
      </c>
      <c r="B1165" s="15" t="s">
        <v>27</v>
      </c>
      <c r="C1165" s="16">
        <v>97</v>
      </c>
      <c r="D1165" s="16">
        <v>163840</v>
      </c>
      <c r="E1165" s="16">
        <v>5145</v>
      </c>
      <c r="F1165" s="16">
        <v>158695</v>
      </c>
      <c r="G1165" s="16">
        <v>3</v>
      </c>
      <c r="H1165" s="16">
        <v>163840</v>
      </c>
      <c r="I1165" s="16">
        <v>97</v>
      </c>
      <c r="J1165" s="15" t="s">
        <v>1</v>
      </c>
      <c r="K1165" s="15" t="s">
        <v>2</v>
      </c>
      <c r="L1165" s="8">
        <f>InterspecUsage[[#This Row],[Used-MB]]-F1155</f>
        <v>482</v>
      </c>
      <c r="M1165">
        <f>InterspecUsage[[#This Row],[Max]]-InterspecUsage[[#This Row],[Used-MB]]</f>
        <v>5145</v>
      </c>
      <c r="N1165" s="5">
        <f>IF($L1165&gt;0,InterspecUsage[[#This Row],[Free-of-Max]]/InterspecUsage[[#This Row],[Usage-Delta-MB]],InterspecUsage[[#This Row],[Free-of-Max]])</f>
        <v>10.674273858921161</v>
      </c>
    </row>
    <row r="1166" spans="1:14" x14ac:dyDescent="0.25">
      <c r="A1166" s="3">
        <v>45397</v>
      </c>
      <c r="B1166" s="15" t="s">
        <v>7</v>
      </c>
      <c r="C1166" s="16">
        <v>95</v>
      </c>
      <c r="D1166" s="16">
        <v>1890</v>
      </c>
      <c r="E1166" s="16">
        <v>89</v>
      </c>
      <c r="F1166" s="16">
        <v>1801</v>
      </c>
      <c r="G1166" s="16">
        <v>5</v>
      </c>
      <c r="H1166" s="16">
        <v>32768</v>
      </c>
      <c r="I1166" s="16">
        <v>5</v>
      </c>
      <c r="J1166" s="15" t="s">
        <v>1</v>
      </c>
      <c r="K1166" s="15" t="s">
        <v>2</v>
      </c>
      <c r="L1166" s="8">
        <f>InterspecUsage[[#This Row],[Used-MB]]-F1156</f>
        <v>9</v>
      </c>
      <c r="M1166">
        <f>InterspecUsage[[#This Row],[Max]]-InterspecUsage[[#This Row],[Used-MB]]</f>
        <v>30967</v>
      </c>
      <c r="N1166" s="5">
        <f>IF($L1166&gt;0,InterspecUsage[[#This Row],[Free-of-Max]]/InterspecUsage[[#This Row],[Usage-Delta-MB]],InterspecUsage[[#This Row],[Free-of-Max]])</f>
        <v>3440.7777777777778</v>
      </c>
    </row>
    <row r="1167" spans="1:14" x14ac:dyDescent="0.25">
      <c r="A1167" s="3">
        <v>45397</v>
      </c>
      <c r="B1167" s="15" t="s">
        <v>0</v>
      </c>
      <c r="C1167" s="16">
        <v>99</v>
      </c>
      <c r="D1167" s="16">
        <v>4610</v>
      </c>
      <c r="E1167" s="16">
        <v>65</v>
      </c>
      <c r="F1167" s="16">
        <v>4545</v>
      </c>
      <c r="G1167" s="16">
        <v>1</v>
      </c>
      <c r="H1167" s="16">
        <v>32768</v>
      </c>
      <c r="I1167" s="16">
        <v>14</v>
      </c>
      <c r="J1167" s="15" t="s">
        <v>1</v>
      </c>
      <c r="K1167" s="15" t="s">
        <v>2</v>
      </c>
      <c r="L1167" s="8">
        <f>InterspecUsage[[#This Row],[Used-MB]]-F1157</f>
        <v>0</v>
      </c>
      <c r="M1167">
        <f>InterspecUsage[[#This Row],[Max]]-InterspecUsage[[#This Row],[Used-MB]]</f>
        <v>28223</v>
      </c>
      <c r="N1167" s="5">
        <f>IF($L1167&gt;0,InterspecUsage[[#This Row],[Free-of-Max]]/InterspecUsage[[#This Row],[Usage-Delta-MB]],InterspecUsage[[#This Row],[Free-of-Max]])</f>
        <v>28223</v>
      </c>
    </row>
    <row r="1168" spans="1:14" x14ac:dyDescent="0.25">
      <c r="A1168" s="3">
        <v>45397</v>
      </c>
      <c r="B1168" s="15" t="s">
        <v>30</v>
      </c>
      <c r="C1168" s="16">
        <v>0</v>
      </c>
      <c r="D1168" s="16">
        <v>32767</v>
      </c>
      <c r="E1168" s="16">
        <v>32747</v>
      </c>
      <c r="F1168" s="16">
        <v>20</v>
      </c>
      <c r="G1168" s="16">
        <v>100</v>
      </c>
      <c r="H1168" s="16">
        <v>32768</v>
      </c>
      <c r="I1168" s="16">
        <v>0</v>
      </c>
      <c r="J1168" s="15" t="s">
        <v>1</v>
      </c>
      <c r="K1168" s="15" t="s">
        <v>13</v>
      </c>
      <c r="L1168" s="8">
        <f>InterspecUsage[[#This Row],[Used-MB]]-F1158</f>
        <v>10</v>
      </c>
      <c r="M1168">
        <f>InterspecUsage[[#This Row],[Max]]-InterspecUsage[[#This Row],[Used-MB]]</f>
        <v>32748</v>
      </c>
      <c r="N1168" s="5">
        <f>IF($L1168&gt;0,InterspecUsage[[#This Row],[Free-of-Max]]/InterspecUsage[[#This Row],[Usage-Delta-MB]],InterspecUsage[[#This Row],[Free-of-Max]])</f>
        <v>3274.8</v>
      </c>
    </row>
    <row r="1169" spans="1:14" x14ac:dyDescent="0.25">
      <c r="A1169" s="3">
        <v>45397</v>
      </c>
      <c r="B1169" s="15" t="s">
        <v>28</v>
      </c>
      <c r="C1169" s="16">
        <v>2</v>
      </c>
      <c r="D1169" s="16">
        <v>23320</v>
      </c>
      <c r="E1169" s="16">
        <v>22961</v>
      </c>
      <c r="F1169" s="16">
        <v>359</v>
      </c>
      <c r="G1169" s="16">
        <v>98</v>
      </c>
      <c r="H1169" s="16">
        <v>32768</v>
      </c>
      <c r="I1169" s="16">
        <v>1</v>
      </c>
      <c r="J1169" s="15" t="s">
        <v>1</v>
      </c>
      <c r="K1169" s="15" t="s">
        <v>10</v>
      </c>
      <c r="L1169" s="8">
        <f>InterspecUsage[[#This Row],[Used-MB]]-F1159</f>
        <v>-1612</v>
      </c>
      <c r="M1169">
        <f>InterspecUsage[[#This Row],[Max]]-InterspecUsage[[#This Row],[Used-MB]]</f>
        <v>32409</v>
      </c>
      <c r="N1169" s="5">
        <f>IF($L1169&gt;0,InterspecUsage[[#This Row],[Free-of-Max]]/InterspecUsage[[#This Row],[Usage-Delta-MB]],InterspecUsage[[#This Row],[Free-of-Max]])</f>
        <v>32409</v>
      </c>
    </row>
    <row r="1170" spans="1:14" x14ac:dyDescent="0.25">
      <c r="A1170" s="3">
        <v>45397</v>
      </c>
      <c r="B1170" s="15" t="s">
        <v>25</v>
      </c>
      <c r="C1170" s="16">
        <v>77</v>
      </c>
      <c r="D1170" s="16">
        <v>12700</v>
      </c>
      <c r="E1170" s="16">
        <v>2914</v>
      </c>
      <c r="F1170" s="16">
        <v>9786</v>
      </c>
      <c r="G1170" s="16">
        <v>23</v>
      </c>
      <c r="H1170" s="16">
        <v>32768</v>
      </c>
      <c r="I1170" s="16">
        <v>30</v>
      </c>
      <c r="J1170" s="15" t="s">
        <v>1</v>
      </c>
      <c r="K1170" s="15" t="s">
        <v>2</v>
      </c>
      <c r="L1170" s="8">
        <f>InterspecUsage[[#This Row],[Used-MB]]-F1160</f>
        <v>35</v>
      </c>
      <c r="M1170">
        <f>InterspecUsage[[#This Row],[Max]]-InterspecUsage[[#This Row],[Used-MB]]</f>
        <v>22982</v>
      </c>
      <c r="N1170" s="5">
        <f>IF($L1170&gt;0,InterspecUsage[[#This Row],[Free-of-Max]]/InterspecUsage[[#This Row],[Usage-Delta-MB]],InterspecUsage[[#This Row],[Free-of-Max]])</f>
        <v>656.62857142857138</v>
      </c>
    </row>
    <row r="1171" spans="1:14" x14ac:dyDescent="0.25">
      <c r="A1171" s="3">
        <v>45397</v>
      </c>
      <c r="B1171" s="15" t="s">
        <v>29</v>
      </c>
      <c r="C1171" s="16">
        <v>0</v>
      </c>
      <c r="D1171" s="16">
        <v>500</v>
      </c>
      <c r="E1171" s="16">
        <v>499</v>
      </c>
      <c r="F1171" s="16">
        <v>1</v>
      </c>
      <c r="G1171" s="16">
        <v>100</v>
      </c>
      <c r="H1171" s="16">
        <v>500</v>
      </c>
      <c r="I1171" s="16">
        <v>0</v>
      </c>
      <c r="J1171" s="15" t="s">
        <v>1</v>
      </c>
      <c r="K1171" s="15" t="s">
        <v>2</v>
      </c>
      <c r="L1171" s="8">
        <f>InterspecUsage[[#This Row],[Used-MB]]-F1161</f>
        <v>0</v>
      </c>
      <c r="M1171">
        <f>InterspecUsage[[#This Row],[Max]]-InterspecUsage[[#This Row],[Used-MB]]</f>
        <v>499</v>
      </c>
      <c r="N1171" s="5">
        <f>IF($L1171&gt;0,InterspecUsage[[#This Row],[Free-of-Max]]/InterspecUsage[[#This Row],[Usage-Delta-MB]],InterspecUsage[[#This Row],[Free-of-Max]])</f>
        <v>499</v>
      </c>
    </row>
    <row r="1172" spans="1:14" x14ac:dyDescent="0.25">
      <c r="A1172" s="3">
        <v>45404</v>
      </c>
      <c r="B1172" s="15" t="s">
        <v>26</v>
      </c>
      <c r="C1172" s="16">
        <v>96</v>
      </c>
      <c r="D1172" s="16">
        <v>23788</v>
      </c>
      <c r="E1172" s="16">
        <v>1034</v>
      </c>
      <c r="F1172" s="16">
        <v>22754</v>
      </c>
      <c r="G1172" s="16">
        <v>4</v>
      </c>
      <c r="H1172" s="16">
        <v>40960</v>
      </c>
      <c r="I1172" s="16">
        <v>56</v>
      </c>
      <c r="J1172" s="15" t="s">
        <v>1</v>
      </c>
      <c r="K1172" s="15" t="s">
        <v>2</v>
      </c>
      <c r="L1172" s="8">
        <f>InterspecUsage[[#This Row],[Used-MB]]-F1162</f>
        <v>64</v>
      </c>
      <c r="M1172">
        <f>InterspecUsage[[#This Row],[Max]]-InterspecUsage[[#This Row],[Used-MB]]</f>
        <v>18206</v>
      </c>
      <c r="N1172" s="5">
        <f>IF($L1172&gt;0,InterspecUsage[[#This Row],[Free-of-Max]]/InterspecUsage[[#This Row],[Usage-Delta-MB]],InterspecUsage[[#This Row],[Free-of-Max]])</f>
        <v>284.46875</v>
      </c>
    </row>
    <row r="1173" spans="1:14" x14ac:dyDescent="0.25">
      <c r="A1173" s="3">
        <v>45404</v>
      </c>
      <c r="B1173" s="15" t="s">
        <v>24</v>
      </c>
      <c r="C1173" s="16">
        <v>97</v>
      </c>
      <c r="D1173" s="16">
        <v>58468</v>
      </c>
      <c r="E1173" s="16">
        <v>1747</v>
      </c>
      <c r="F1173" s="16">
        <v>56721</v>
      </c>
      <c r="G1173" s="16">
        <v>3</v>
      </c>
      <c r="H1173" s="16">
        <v>65536</v>
      </c>
      <c r="I1173" s="16">
        <v>87</v>
      </c>
      <c r="J1173" s="15" t="s">
        <v>1</v>
      </c>
      <c r="K1173" s="15" t="s">
        <v>2</v>
      </c>
      <c r="L1173" s="8">
        <f>InterspecUsage[[#This Row],[Used-MB]]-F1163</f>
        <v>136</v>
      </c>
      <c r="M1173">
        <f>InterspecUsage[[#This Row],[Max]]-InterspecUsage[[#This Row],[Used-MB]]</f>
        <v>8815</v>
      </c>
      <c r="N1173" s="5">
        <f>IF($L1173&gt;0,InterspecUsage[[#This Row],[Free-of-Max]]/InterspecUsage[[#This Row],[Usage-Delta-MB]],InterspecUsage[[#This Row],[Free-of-Max]])</f>
        <v>64.816176470588232</v>
      </c>
    </row>
    <row r="1174" spans="1:14" x14ac:dyDescent="0.25">
      <c r="A1174" s="3">
        <v>45404</v>
      </c>
      <c r="B1174" s="15" t="s">
        <v>35</v>
      </c>
      <c r="C1174" s="16">
        <v>95</v>
      </c>
      <c r="D1174" s="16">
        <v>30200</v>
      </c>
      <c r="E1174" s="16">
        <v>1397</v>
      </c>
      <c r="F1174" s="16">
        <v>28803</v>
      </c>
      <c r="G1174" s="16">
        <v>5</v>
      </c>
      <c r="H1174" s="16">
        <v>32768</v>
      </c>
      <c r="I1174" s="16">
        <v>88</v>
      </c>
      <c r="J1174" s="15" t="s">
        <v>1</v>
      </c>
      <c r="K1174" s="15" t="s">
        <v>2</v>
      </c>
      <c r="L1174" s="8">
        <f>InterspecUsage[[#This Row],[Used-MB]]-F1164</f>
        <v>0</v>
      </c>
      <c r="M1174">
        <f>InterspecUsage[[#This Row],[Max]]-InterspecUsage[[#This Row],[Used-MB]]</f>
        <v>3965</v>
      </c>
      <c r="N1174" s="5">
        <f>IF($L1174&gt;0,InterspecUsage[[#This Row],[Free-of-Max]]/InterspecUsage[[#This Row],[Usage-Delta-MB]],InterspecUsage[[#This Row],[Free-of-Max]])</f>
        <v>3965</v>
      </c>
    </row>
    <row r="1175" spans="1:14" x14ac:dyDescent="0.25">
      <c r="A1175" s="3">
        <v>45404</v>
      </c>
      <c r="B1175" s="15" t="s">
        <v>27</v>
      </c>
      <c r="C1175" s="16">
        <v>97</v>
      </c>
      <c r="D1175" s="16">
        <v>163840</v>
      </c>
      <c r="E1175" s="16">
        <v>4779</v>
      </c>
      <c r="F1175" s="16">
        <v>159061</v>
      </c>
      <c r="G1175" s="16">
        <v>3</v>
      </c>
      <c r="H1175" s="16">
        <v>163840</v>
      </c>
      <c r="I1175" s="16">
        <v>97</v>
      </c>
      <c r="J1175" s="15" t="s">
        <v>1</v>
      </c>
      <c r="K1175" s="15" t="s">
        <v>2</v>
      </c>
      <c r="L1175" s="8">
        <f>InterspecUsage[[#This Row],[Used-MB]]-F1165</f>
        <v>366</v>
      </c>
      <c r="M1175">
        <f>InterspecUsage[[#This Row],[Max]]-InterspecUsage[[#This Row],[Used-MB]]</f>
        <v>4779</v>
      </c>
      <c r="N1175" s="5">
        <f>IF($L1175&gt;0,InterspecUsage[[#This Row],[Free-of-Max]]/InterspecUsage[[#This Row],[Usage-Delta-MB]],InterspecUsage[[#This Row],[Free-of-Max]])</f>
        <v>13.057377049180328</v>
      </c>
    </row>
    <row r="1176" spans="1:14" x14ac:dyDescent="0.25">
      <c r="A1176" s="3">
        <v>45404</v>
      </c>
      <c r="B1176" s="15" t="s">
        <v>7</v>
      </c>
      <c r="C1176" s="16">
        <v>95</v>
      </c>
      <c r="D1176" s="16">
        <v>1910</v>
      </c>
      <c r="E1176" s="16">
        <v>93</v>
      </c>
      <c r="F1176" s="16">
        <v>1818</v>
      </c>
      <c r="G1176" s="16">
        <v>5</v>
      </c>
      <c r="H1176" s="16">
        <v>32768</v>
      </c>
      <c r="I1176" s="16">
        <v>6</v>
      </c>
      <c r="J1176" s="15" t="s">
        <v>1</v>
      </c>
      <c r="K1176" s="15" t="s">
        <v>2</v>
      </c>
      <c r="L1176" s="8">
        <f>InterspecUsage[[#This Row],[Used-MB]]-F1166</f>
        <v>17</v>
      </c>
      <c r="M1176">
        <f>InterspecUsage[[#This Row],[Max]]-InterspecUsage[[#This Row],[Used-MB]]</f>
        <v>30950</v>
      </c>
      <c r="N1176" s="5">
        <f>IF($L1176&gt;0,InterspecUsage[[#This Row],[Free-of-Max]]/InterspecUsage[[#This Row],[Usage-Delta-MB]],InterspecUsage[[#This Row],[Free-of-Max]])</f>
        <v>1820.5882352941176</v>
      </c>
    </row>
    <row r="1177" spans="1:14" x14ac:dyDescent="0.25">
      <c r="A1177" s="3">
        <v>45404</v>
      </c>
      <c r="B1177" s="15" t="s">
        <v>0</v>
      </c>
      <c r="C1177" s="16">
        <v>99</v>
      </c>
      <c r="D1177" s="16">
        <v>4610</v>
      </c>
      <c r="E1177" s="16">
        <v>65</v>
      </c>
      <c r="F1177" s="16">
        <v>4545</v>
      </c>
      <c r="G1177" s="16">
        <v>1</v>
      </c>
      <c r="H1177" s="16">
        <v>32768</v>
      </c>
      <c r="I1177" s="16">
        <v>14</v>
      </c>
      <c r="J1177" s="15" t="s">
        <v>1</v>
      </c>
      <c r="K1177" s="15" t="s">
        <v>2</v>
      </c>
      <c r="L1177" s="8">
        <f>InterspecUsage[[#This Row],[Used-MB]]-F1167</f>
        <v>0</v>
      </c>
      <c r="M1177">
        <f>InterspecUsage[[#This Row],[Max]]-InterspecUsage[[#This Row],[Used-MB]]</f>
        <v>28223</v>
      </c>
      <c r="N1177" s="5">
        <f>IF($L1177&gt;0,InterspecUsage[[#This Row],[Free-of-Max]]/InterspecUsage[[#This Row],[Usage-Delta-MB]],InterspecUsage[[#This Row],[Free-of-Max]])</f>
        <v>28223</v>
      </c>
    </row>
    <row r="1178" spans="1:14" x14ac:dyDescent="0.25">
      <c r="A1178" s="3">
        <v>45404</v>
      </c>
      <c r="B1178" s="15" t="s">
        <v>30</v>
      </c>
      <c r="C1178" s="16">
        <v>0</v>
      </c>
      <c r="D1178" s="16">
        <v>32767</v>
      </c>
      <c r="E1178" s="16">
        <v>32756</v>
      </c>
      <c r="F1178" s="16">
        <v>11</v>
      </c>
      <c r="G1178" s="16">
        <v>100</v>
      </c>
      <c r="H1178" s="16">
        <v>32768</v>
      </c>
      <c r="I1178" s="16">
        <v>0</v>
      </c>
      <c r="J1178" s="15" t="s">
        <v>1</v>
      </c>
      <c r="K1178" s="15" t="s">
        <v>13</v>
      </c>
      <c r="L1178" s="8">
        <f>InterspecUsage[[#This Row],[Used-MB]]-F1168</f>
        <v>-9</v>
      </c>
      <c r="M1178">
        <f>InterspecUsage[[#This Row],[Max]]-InterspecUsage[[#This Row],[Used-MB]]</f>
        <v>32757</v>
      </c>
      <c r="N1178" s="5">
        <f>IF($L1178&gt;0,InterspecUsage[[#This Row],[Free-of-Max]]/InterspecUsage[[#This Row],[Usage-Delta-MB]],InterspecUsage[[#This Row],[Free-of-Max]])</f>
        <v>32757</v>
      </c>
    </row>
    <row r="1179" spans="1:14" x14ac:dyDescent="0.25">
      <c r="A1179" s="3">
        <v>45404</v>
      </c>
      <c r="B1179" s="15" t="s">
        <v>28</v>
      </c>
      <c r="C1179" s="16">
        <v>1</v>
      </c>
      <c r="D1179" s="16">
        <v>23320</v>
      </c>
      <c r="E1179" s="16">
        <v>23072</v>
      </c>
      <c r="F1179" s="16">
        <v>248</v>
      </c>
      <c r="G1179" s="16">
        <v>99</v>
      </c>
      <c r="H1179" s="16">
        <v>32768</v>
      </c>
      <c r="I1179" s="16">
        <v>1</v>
      </c>
      <c r="J1179" s="15" t="s">
        <v>1</v>
      </c>
      <c r="K1179" s="15" t="s">
        <v>10</v>
      </c>
      <c r="L1179" s="8">
        <f>InterspecUsage[[#This Row],[Used-MB]]-F1169</f>
        <v>-111</v>
      </c>
      <c r="M1179">
        <f>InterspecUsage[[#This Row],[Max]]-InterspecUsage[[#This Row],[Used-MB]]</f>
        <v>32520</v>
      </c>
      <c r="N1179" s="5">
        <f>IF($L1179&gt;0,InterspecUsage[[#This Row],[Free-of-Max]]/InterspecUsage[[#This Row],[Usage-Delta-MB]],InterspecUsage[[#This Row],[Free-of-Max]])</f>
        <v>32520</v>
      </c>
    </row>
    <row r="1180" spans="1:14" x14ac:dyDescent="0.25">
      <c r="A1180" s="3">
        <v>45404</v>
      </c>
      <c r="B1180" s="15" t="s">
        <v>25</v>
      </c>
      <c r="C1180" s="16">
        <v>77</v>
      </c>
      <c r="D1180" s="16">
        <v>12700</v>
      </c>
      <c r="E1180" s="16">
        <v>2897</v>
      </c>
      <c r="F1180" s="16">
        <v>9803</v>
      </c>
      <c r="G1180" s="16">
        <v>23</v>
      </c>
      <c r="H1180" s="16">
        <v>32768</v>
      </c>
      <c r="I1180" s="16">
        <v>30</v>
      </c>
      <c r="J1180" s="15" t="s">
        <v>1</v>
      </c>
      <c r="K1180" s="15" t="s">
        <v>2</v>
      </c>
      <c r="L1180" s="8">
        <f>InterspecUsage[[#This Row],[Used-MB]]-F1170</f>
        <v>17</v>
      </c>
      <c r="M1180">
        <f>InterspecUsage[[#This Row],[Max]]-InterspecUsage[[#This Row],[Used-MB]]</f>
        <v>22965</v>
      </c>
      <c r="N1180" s="5">
        <f>IF($L1180&gt;0,InterspecUsage[[#This Row],[Free-of-Max]]/InterspecUsage[[#This Row],[Usage-Delta-MB]],InterspecUsage[[#This Row],[Free-of-Max]])</f>
        <v>1350.8823529411766</v>
      </c>
    </row>
    <row r="1181" spans="1:14" x14ac:dyDescent="0.25">
      <c r="A1181" s="3">
        <v>45404</v>
      </c>
      <c r="B1181" s="15" t="s">
        <v>29</v>
      </c>
      <c r="C1181" s="16">
        <v>0</v>
      </c>
      <c r="D1181" s="16">
        <v>500</v>
      </c>
      <c r="E1181" s="16">
        <v>499</v>
      </c>
      <c r="F1181" s="16">
        <v>1</v>
      </c>
      <c r="G1181" s="16">
        <v>100</v>
      </c>
      <c r="H1181" s="16">
        <v>500</v>
      </c>
      <c r="I1181" s="16">
        <v>0</v>
      </c>
      <c r="J1181" s="15" t="s">
        <v>1</v>
      </c>
      <c r="K1181" s="15" t="s">
        <v>2</v>
      </c>
      <c r="L1181" s="8">
        <f>InterspecUsage[[#This Row],[Used-MB]]-F1171</f>
        <v>0</v>
      </c>
      <c r="M1181">
        <f>InterspecUsage[[#This Row],[Max]]-InterspecUsage[[#This Row],[Used-MB]]</f>
        <v>499</v>
      </c>
      <c r="N1181" s="5">
        <f>IF($L1181&gt;0,InterspecUsage[[#This Row],[Free-of-Max]]/InterspecUsage[[#This Row],[Usage-Delta-MB]],InterspecUsage[[#This Row],[Free-of-Max]])</f>
        <v>499</v>
      </c>
    </row>
    <row r="1182" spans="1:14" x14ac:dyDescent="0.25">
      <c r="A1182" s="3">
        <v>45418</v>
      </c>
      <c r="B1182" s="15" t="s">
        <v>26</v>
      </c>
      <c r="C1182" s="16">
        <v>94</v>
      </c>
      <c r="D1182" s="16">
        <v>24288</v>
      </c>
      <c r="E1182" s="16">
        <v>1470</v>
      </c>
      <c r="F1182" s="16">
        <v>22818</v>
      </c>
      <c r="G1182" s="16">
        <v>6</v>
      </c>
      <c r="H1182" s="16">
        <v>40960</v>
      </c>
      <c r="I1182" s="16">
        <v>56</v>
      </c>
      <c r="J1182" s="15" t="s">
        <v>1</v>
      </c>
      <c r="K1182" s="15" t="s">
        <v>2</v>
      </c>
      <c r="L1182" s="8">
        <f>InterspecUsage[[#This Row],[Used-MB]]-F1172</f>
        <v>64</v>
      </c>
      <c r="M1182">
        <f>InterspecUsage[[#This Row],[Max]]-InterspecUsage[[#This Row],[Used-MB]]</f>
        <v>18142</v>
      </c>
      <c r="N1182" s="5">
        <f>IF($L1182&gt;0,InterspecUsage[[#This Row],[Free-of-Max]]/InterspecUsage[[#This Row],[Usage-Delta-MB]],InterspecUsage[[#This Row],[Free-of-Max]])</f>
        <v>283.46875</v>
      </c>
    </row>
    <row r="1183" spans="1:14" x14ac:dyDescent="0.25">
      <c r="A1183" s="3">
        <v>45418</v>
      </c>
      <c r="B1183" s="15" t="s">
        <v>24</v>
      </c>
      <c r="C1183" s="16">
        <v>97</v>
      </c>
      <c r="D1183" s="16">
        <v>58468</v>
      </c>
      <c r="E1183" s="16">
        <v>1545</v>
      </c>
      <c r="F1183" s="16">
        <v>56923</v>
      </c>
      <c r="G1183" s="16">
        <v>3</v>
      </c>
      <c r="H1183" s="16">
        <v>65536</v>
      </c>
      <c r="I1183" s="16">
        <v>87</v>
      </c>
      <c r="J1183" s="15" t="s">
        <v>1</v>
      </c>
      <c r="K1183" s="15" t="s">
        <v>2</v>
      </c>
      <c r="L1183" s="8">
        <f>InterspecUsage[[#This Row],[Used-MB]]-F1173</f>
        <v>202</v>
      </c>
      <c r="M1183">
        <f>InterspecUsage[[#This Row],[Max]]-InterspecUsage[[#This Row],[Used-MB]]</f>
        <v>8613</v>
      </c>
      <c r="N1183" s="5">
        <f>IF($L1183&gt;0,InterspecUsage[[#This Row],[Free-of-Max]]/InterspecUsage[[#This Row],[Usage-Delta-MB]],InterspecUsage[[#This Row],[Free-of-Max]])</f>
        <v>42.638613861386141</v>
      </c>
    </row>
    <row r="1184" spans="1:14" x14ac:dyDescent="0.25">
      <c r="A1184" s="3">
        <v>45418</v>
      </c>
      <c r="B1184" s="15" t="s">
        <v>35</v>
      </c>
      <c r="C1184" s="16">
        <v>96</v>
      </c>
      <c r="D1184" s="16">
        <v>30200</v>
      </c>
      <c r="E1184" s="16">
        <v>1333</v>
      </c>
      <c r="F1184" s="16">
        <v>28867</v>
      </c>
      <c r="G1184" s="16">
        <v>4</v>
      </c>
      <c r="H1184" s="16">
        <v>32768</v>
      </c>
      <c r="I1184" s="16">
        <v>88</v>
      </c>
      <c r="J1184" s="15" t="s">
        <v>1</v>
      </c>
      <c r="K1184" s="15" t="s">
        <v>2</v>
      </c>
      <c r="L1184" s="8">
        <f>InterspecUsage[[#This Row],[Used-MB]]-F1174</f>
        <v>64</v>
      </c>
      <c r="M1184">
        <f>InterspecUsage[[#This Row],[Max]]-InterspecUsage[[#This Row],[Used-MB]]</f>
        <v>3901</v>
      </c>
      <c r="N1184" s="5">
        <f>IF($L1184&gt;0,InterspecUsage[[#This Row],[Free-of-Max]]/InterspecUsage[[#This Row],[Usage-Delta-MB]],InterspecUsage[[#This Row],[Free-of-Max]])</f>
        <v>60.953125</v>
      </c>
    </row>
    <row r="1185" spans="1:14" x14ac:dyDescent="0.25">
      <c r="A1185" s="3">
        <v>45418</v>
      </c>
      <c r="B1185" s="15" t="s">
        <v>27</v>
      </c>
      <c r="C1185" s="16">
        <v>97</v>
      </c>
      <c r="D1185" s="16">
        <v>163840</v>
      </c>
      <c r="E1185" s="16">
        <v>4256</v>
      </c>
      <c r="F1185" s="16">
        <v>159584</v>
      </c>
      <c r="G1185" s="16">
        <v>3</v>
      </c>
      <c r="H1185" s="16">
        <v>163840</v>
      </c>
      <c r="I1185" s="16">
        <v>97</v>
      </c>
      <c r="J1185" s="15" t="s">
        <v>1</v>
      </c>
      <c r="K1185" s="15" t="s">
        <v>2</v>
      </c>
      <c r="L1185" s="8">
        <f>InterspecUsage[[#This Row],[Used-MB]]-F1175</f>
        <v>523</v>
      </c>
      <c r="M1185">
        <f>InterspecUsage[[#This Row],[Max]]-InterspecUsage[[#This Row],[Used-MB]]</f>
        <v>4256</v>
      </c>
      <c r="N1185" s="5">
        <f>IF($L1185&gt;0,InterspecUsage[[#This Row],[Free-of-Max]]/InterspecUsage[[#This Row],[Usage-Delta-MB]],InterspecUsage[[#This Row],[Free-of-Max]])</f>
        <v>8.1376673040152969</v>
      </c>
    </row>
    <row r="1186" spans="1:14" x14ac:dyDescent="0.25">
      <c r="A1186" s="3">
        <v>45418</v>
      </c>
      <c r="B1186" s="15" t="s">
        <v>7</v>
      </c>
      <c r="C1186" s="16">
        <v>95</v>
      </c>
      <c r="D1186" s="16">
        <v>1920</v>
      </c>
      <c r="E1186" s="16">
        <v>93</v>
      </c>
      <c r="F1186" s="16">
        <v>1827</v>
      </c>
      <c r="G1186" s="16">
        <v>5</v>
      </c>
      <c r="H1186" s="16">
        <v>32768</v>
      </c>
      <c r="I1186" s="16">
        <v>6</v>
      </c>
      <c r="J1186" s="15" t="s">
        <v>1</v>
      </c>
      <c r="K1186" s="15" t="s">
        <v>2</v>
      </c>
      <c r="L1186" s="8">
        <f>InterspecUsage[[#This Row],[Used-MB]]-F1176</f>
        <v>9</v>
      </c>
      <c r="M1186">
        <f>InterspecUsage[[#This Row],[Max]]-InterspecUsage[[#This Row],[Used-MB]]</f>
        <v>30941</v>
      </c>
      <c r="N1186" s="5">
        <f>IF($L1186&gt;0,InterspecUsage[[#This Row],[Free-of-Max]]/InterspecUsage[[#This Row],[Usage-Delta-MB]],InterspecUsage[[#This Row],[Free-of-Max]])</f>
        <v>3437.8888888888887</v>
      </c>
    </row>
    <row r="1187" spans="1:14" x14ac:dyDescent="0.25">
      <c r="A1187" s="3">
        <v>45418</v>
      </c>
      <c r="B1187" s="15" t="s">
        <v>0</v>
      </c>
      <c r="C1187" s="16">
        <v>100</v>
      </c>
      <c r="D1187" s="16">
        <v>4610</v>
      </c>
      <c r="E1187" s="16">
        <v>1</v>
      </c>
      <c r="F1187" s="16">
        <v>4609</v>
      </c>
      <c r="G1187" s="16">
        <v>0</v>
      </c>
      <c r="H1187" s="16">
        <v>32768</v>
      </c>
      <c r="I1187" s="16">
        <v>14</v>
      </c>
      <c r="J1187" s="15" t="s">
        <v>1</v>
      </c>
      <c r="K1187" s="15" t="s">
        <v>2</v>
      </c>
      <c r="L1187" s="8">
        <f>InterspecUsage[[#This Row],[Used-MB]]-F1177</f>
        <v>64</v>
      </c>
      <c r="M1187">
        <f>InterspecUsage[[#This Row],[Max]]-InterspecUsage[[#This Row],[Used-MB]]</f>
        <v>28159</v>
      </c>
      <c r="N1187" s="5">
        <f>IF($L1187&gt;0,InterspecUsage[[#This Row],[Free-of-Max]]/InterspecUsage[[#This Row],[Usage-Delta-MB]],InterspecUsage[[#This Row],[Free-of-Max]])</f>
        <v>439.984375</v>
      </c>
    </row>
    <row r="1188" spans="1:14" x14ac:dyDescent="0.25">
      <c r="A1188" s="3">
        <v>45418</v>
      </c>
      <c r="B1188" s="15" t="s">
        <v>30</v>
      </c>
      <c r="C1188" s="16">
        <v>0</v>
      </c>
      <c r="D1188" s="16">
        <v>32767</v>
      </c>
      <c r="E1188" s="16">
        <v>32754</v>
      </c>
      <c r="F1188" s="16">
        <v>13</v>
      </c>
      <c r="G1188" s="16">
        <v>100</v>
      </c>
      <c r="H1188" s="16">
        <v>32768</v>
      </c>
      <c r="I1188" s="16">
        <v>0</v>
      </c>
      <c r="J1188" s="15" t="s">
        <v>1</v>
      </c>
      <c r="K1188" s="15" t="s">
        <v>13</v>
      </c>
      <c r="L1188" s="8">
        <f>InterspecUsage[[#This Row],[Used-MB]]-F1178</f>
        <v>2</v>
      </c>
      <c r="M1188">
        <f>InterspecUsage[[#This Row],[Max]]-InterspecUsage[[#This Row],[Used-MB]]</f>
        <v>32755</v>
      </c>
      <c r="N1188" s="5">
        <f>IF($L1188&gt;0,InterspecUsage[[#This Row],[Free-of-Max]]/InterspecUsage[[#This Row],[Usage-Delta-MB]],InterspecUsage[[#This Row],[Free-of-Max]])</f>
        <v>16377.5</v>
      </c>
    </row>
    <row r="1189" spans="1:14" x14ac:dyDescent="0.25">
      <c r="A1189" s="3">
        <v>45418</v>
      </c>
      <c r="B1189" s="15" t="s">
        <v>28</v>
      </c>
      <c r="C1189" s="16">
        <v>2</v>
      </c>
      <c r="D1189" s="16">
        <v>23320</v>
      </c>
      <c r="E1189" s="16">
        <v>22911</v>
      </c>
      <c r="F1189" s="16">
        <v>409</v>
      </c>
      <c r="G1189" s="16">
        <v>98</v>
      </c>
      <c r="H1189" s="16">
        <v>32768</v>
      </c>
      <c r="I1189" s="16">
        <v>1</v>
      </c>
      <c r="J1189" s="15" t="s">
        <v>1</v>
      </c>
      <c r="K1189" s="15" t="s">
        <v>10</v>
      </c>
      <c r="L1189" s="8">
        <f>InterspecUsage[[#This Row],[Used-MB]]-F1179</f>
        <v>161</v>
      </c>
      <c r="M1189">
        <f>InterspecUsage[[#This Row],[Max]]-InterspecUsage[[#This Row],[Used-MB]]</f>
        <v>32359</v>
      </c>
      <c r="N1189" s="5">
        <f>IF($L1189&gt;0,InterspecUsage[[#This Row],[Free-of-Max]]/InterspecUsage[[#This Row],[Usage-Delta-MB]],InterspecUsage[[#This Row],[Free-of-Max]])</f>
        <v>200.98757763975155</v>
      </c>
    </row>
    <row r="1190" spans="1:14" x14ac:dyDescent="0.25">
      <c r="A1190" s="3">
        <v>45418</v>
      </c>
      <c r="B1190" s="15" t="s">
        <v>25</v>
      </c>
      <c r="C1190" s="16">
        <v>78</v>
      </c>
      <c r="D1190" s="16">
        <v>12700</v>
      </c>
      <c r="E1190" s="16">
        <v>2854</v>
      </c>
      <c r="F1190" s="16">
        <v>9846</v>
      </c>
      <c r="G1190" s="16">
        <v>22</v>
      </c>
      <c r="H1190" s="16">
        <v>32768</v>
      </c>
      <c r="I1190" s="16">
        <v>30</v>
      </c>
      <c r="J1190" s="15" t="s">
        <v>1</v>
      </c>
      <c r="K1190" s="15" t="s">
        <v>2</v>
      </c>
      <c r="L1190" s="8">
        <f>InterspecUsage[[#This Row],[Used-MB]]-F1180</f>
        <v>43</v>
      </c>
      <c r="M1190">
        <f>InterspecUsage[[#This Row],[Max]]-InterspecUsage[[#This Row],[Used-MB]]</f>
        <v>22922</v>
      </c>
      <c r="N1190" s="5">
        <f>IF($L1190&gt;0,InterspecUsage[[#This Row],[Free-of-Max]]/InterspecUsage[[#This Row],[Usage-Delta-MB]],InterspecUsage[[#This Row],[Free-of-Max]])</f>
        <v>533.06976744186045</v>
      </c>
    </row>
    <row r="1191" spans="1:14" x14ac:dyDescent="0.25">
      <c r="A1191" s="3">
        <v>45418</v>
      </c>
      <c r="B1191" s="15" t="s">
        <v>29</v>
      </c>
      <c r="C1191" s="16">
        <v>0</v>
      </c>
      <c r="D1191" s="16">
        <v>500</v>
      </c>
      <c r="E1191" s="16">
        <v>499</v>
      </c>
      <c r="F1191" s="16">
        <v>1</v>
      </c>
      <c r="G1191" s="16">
        <v>100</v>
      </c>
      <c r="H1191" s="16">
        <v>500</v>
      </c>
      <c r="I1191" s="16">
        <v>0</v>
      </c>
      <c r="J1191" s="15" t="s">
        <v>1</v>
      </c>
      <c r="K1191" s="15" t="s">
        <v>2</v>
      </c>
      <c r="L1191" s="8">
        <f>InterspecUsage[[#This Row],[Used-MB]]-F1181</f>
        <v>0</v>
      </c>
      <c r="M1191">
        <f>InterspecUsage[[#This Row],[Max]]-InterspecUsage[[#This Row],[Used-MB]]</f>
        <v>499</v>
      </c>
      <c r="N1191" s="5">
        <f>IF($L1191&gt;0,InterspecUsage[[#This Row],[Free-of-Max]]/InterspecUsage[[#This Row],[Usage-Delta-MB]],InterspecUsage[[#This Row],[Free-of-Max]])</f>
        <v>499</v>
      </c>
    </row>
    <row r="1192" spans="1:14" x14ac:dyDescent="0.25">
      <c r="A1192" s="3">
        <v>45425</v>
      </c>
      <c r="B1192" s="15" t="s">
        <v>26</v>
      </c>
      <c r="C1192" s="16">
        <v>94</v>
      </c>
      <c r="D1192" s="16">
        <v>24288</v>
      </c>
      <c r="E1192" s="16">
        <v>1470</v>
      </c>
      <c r="F1192" s="16">
        <v>22818</v>
      </c>
      <c r="G1192" s="16">
        <v>6</v>
      </c>
      <c r="H1192" s="16">
        <v>40960</v>
      </c>
      <c r="I1192" s="16">
        <v>56</v>
      </c>
      <c r="J1192" s="15" t="s">
        <v>1</v>
      </c>
      <c r="K1192" s="15" t="s">
        <v>2</v>
      </c>
      <c r="L1192" s="8">
        <f>InterspecUsage[[#This Row],[Used-MB]]-F1182</f>
        <v>0</v>
      </c>
      <c r="M1192">
        <f>InterspecUsage[[#This Row],[Max]]-InterspecUsage[[#This Row],[Used-MB]]</f>
        <v>18142</v>
      </c>
      <c r="N1192" s="5">
        <f>IF($L1192&gt;0,InterspecUsage[[#This Row],[Free-of-Max]]/InterspecUsage[[#This Row],[Usage-Delta-MB]],InterspecUsage[[#This Row],[Free-of-Max]])</f>
        <v>18142</v>
      </c>
    </row>
    <row r="1193" spans="1:14" x14ac:dyDescent="0.25">
      <c r="A1193" s="3">
        <v>45425</v>
      </c>
      <c r="B1193" s="15" t="s">
        <v>24</v>
      </c>
      <c r="C1193" s="16">
        <v>98</v>
      </c>
      <c r="D1193" s="16">
        <v>58468</v>
      </c>
      <c r="E1193" s="16">
        <v>1375</v>
      </c>
      <c r="F1193" s="16">
        <v>57093</v>
      </c>
      <c r="G1193" s="16">
        <v>2</v>
      </c>
      <c r="H1193" s="16">
        <v>65536</v>
      </c>
      <c r="I1193" s="16">
        <v>87</v>
      </c>
      <c r="J1193" s="15" t="s">
        <v>1</v>
      </c>
      <c r="K1193" s="15" t="s">
        <v>2</v>
      </c>
      <c r="L1193" s="8">
        <f>InterspecUsage[[#This Row],[Used-MB]]-F1183</f>
        <v>170</v>
      </c>
      <c r="M1193">
        <f>InterspecUsage[[#This Row],[Max]]-InterspecUsage[[#This Row],[Used-MB]]</f>
        <v>8443</v>
      </c>
      <c r="N1193" s="5">
        <f>IF($L1193&gt;0,InterspecUsage[[#This Row],[Free-of-Max]]/InterspecUsage[[#This Row],[Usage-Delta-MB]],InterspecUsage[[#This Row],[Free-of-Max]])</f>
        <v>49.664705882352941</v>
      </c>
    </row>
    <row r="1194" spans="1:14" x14ac:dyDescent="0.25">
      <c r="A1194" s="3">
        <v>45425</v>
      </c>
      <c r="B1194" s="15" t="s">
        <v>35</v>
      </c>
      <c r="C1194" s="16">
        <v>96</v>
      </c>
      <c r="D1194" s="16">
        <v>30200</v>
      </c>
      <c r="E1194" s="16">
        <v>1269</v>
      </c>
      <c r="F1194" s="16">
        <v>28931</v>
      </c>
      <c r="G1194" s="16">
        <v>4</v>
      </c>
      <c r="H1194" s="16">
        <v>32768</v>
      </c>
      <c r="I1194" s="16">
        <v>88</v>
      </c>
      <c r="J1194" s="15" t="s">
        <v>1</v>
      </c>
      <c r="K1194" s="15" t="s">
        <v>2</v>
      </c>
      <c r="L1194" s="8">
        <f>InterspecUsage[[#This Row],[Used-MB]]-F1184</f>
        <v>64</v>
      </c>
      <c r="M1194">
        <f>InterspecUsage[[#This Row],[Max]]-InterspecUsage[[#This Row],[Used-MB]]</f>
        <v>3837</v>
      </c>
      <c r="N1194" s="5">
        <f>IF($L1194&gt;0,InterspecUsage[[#This Row],[Free-of-Max]]/InterspecUsage[[#This Row],[Usage-Delta-MB]],InterspecUsage[[#This Row],[Free-of-Max]])</f>
        <v>59.953125</v>
      </c>
    </row>
    <row r="1195" spans="1:14" x14ac:dyDescent="0.25">
      <c r="A1195" s="3">
        <v>45425</v>
      </c>
      <c r="B1195" s="15" t="s">
        <v>27</v>
      </c>
      <c r="C1195" s="16">
        <v>98</v>
      </c>
      <c r="D1195" s="16">
        <v>163840</v>
      </c>
      <c r="E1195" s="16">
        <v>4063</v>
      </c>
      <c r="F1195" s="16">
        <v>159777</v>
      </c>
      <c r="G1195" s="16">
        <v>2</v>
      </c>
      <c r="H1195" s="16">
        <v>163840</v>
      </c>
      <c r="I1195" s="16">
        <v>98</v>
      </c>
      <c r="J1195" s="15" t="s">
        <v>1</v>
      </c>
      <c r="K1195" s="15" t="s">
        <v>2</v>
      </c>
      <c r="L1195" s="8">
        <f>InterspecUsage[[#This Row],[Used-MB]]-F1185</f>
        <v>193</v>
      </c>
      <c r="M1195">
        <f>InterspecUsage[[#This Row],[Max]]-InterspecUsage[[#This Row],[Used-MB]]</f>
        <v>4063</v>
      </c>
      <c r="N1195" s="5">
        <f>IF($L1195&gt;0,InterspecUsage[[#This Row],[Free-of-Max]]/InterspecUsage[[#This Row],[Usage-Delta-MB]],InterspecUsage[[#This Row],[Free-of-Max]])</f>
        <v>21.051813471502591</v>
      </c>
    </row>
    <row r="1196" spans="1:14" x14ac:dyDescent="0.25">
      <c r="A1196" s="3">
        <v>45425</v>
      </c>
      <c r="B1196" s="15" t="s">
        <v>7</v>
      </c>
      <c r="C1196" s="16">
        <v>95</v>
      </c>
      <c r="D1196" s="16">
        <v>1920</v>
      </c>
      <c r="E1196" s="16">
        <v>93</v>
      </c>
      <c r="F1196" s="16">
        <v>1827</v>
      </c>
      <c r="G1196" s="16">
        <v>5</v>
      </c>
      <c r="H1196" s="16">
        <v>32768</v>
      </c>
      <c r="I1196" s="16">
        <v>6</v>
      </c>
      <c r="J1196" s="15" t="s">
        <v>1</v>
      </c>
      <c r="K1196" s="15" t="s">
        <v>2</v>
      </c>
      <c r="L1196" s="8">
        <f>InterspecUsage[[#This Row],[Used-MB]]-F1186</f>
        <v>0</v>
      </c>
      <c r="M1196">
        <f>InterspecUsage[[#This Row],[Max]]-InterspecUsage[[#This Row],[Used-MB]]</f>
        <v>30941</v>
      </c>
      <c r="N1196" s="5">
        <f>IF($L1196&gt;0,InterspecUsage[[#This Row],[Free-of-Max]]/InterspecUsage[[#This Row],[Usage-Delta-MB]],InterspecUsage[[#This Row],[Free-of-Max]])</f>
        <v>30941</v>
      </c>
    </row>
    <row r="1197" spans="1:14" x14ac:dyDescent="0.25">
      <c r="A1197" s="3">
        <v>45425</v>
      </c>
      <c r="B1197" s="15" t="s">
        <v>0</v>
      </c>
      <c r="C1197" s="16">
        <v>100</v>
      </c>
      <c r="D1197" s="16">
        <v>4610</v>
      </c>
      <c r="E1197" s="16">
        <v>1</v>
      </c>
      <c r="F1197" s="16">
        <v>4609</v>
      </c>
      <c r="G1197" s="16">
        <v>0</v>
      </c>
      <c r="H1197" s="16">
        <v>32768</v>
      </c>
      <c r="I1197" s="16">
        <v>14</v>
      </c>
      <c r="J1197" s="15" t="s">
        <v>1</v>
      </c>
      <c r="K1197" s="15" t="s">
        <v>2</v>
      </c>
      <c r="L1197" s="8">
        <f>InterspecUsage[[#This Row],[Used-MB]]-F1187</f>
        <v>0</v>
      </c>
      <c r="M1197">
        <f>InterspecUsage[[#This Row],[Max]]-InterspecUsage[[#This Row],[Used-MB]]</f>
        <v>28159</v>
      </c>
      <c r="N1197" s="5">
        <f>IF($L1197&gt;0,InterspecUsage[[#This Row],[Free-of-Max]]/InterspecUsage[[#This Row],[Usage-Delta-MB]],InterspecUsage[[#This Row],[Free-of-Max]])</f>
        <v>28159</v>
      </c>
    </row>
    <row r="1198" spans="1:14" x14ac:dyDescent="0.25">
      <c r="A1198" s="3">
        <v>45425</v>
      </c>
      <c r="B1198" s="15" t="s">
        <v>30</v>
      </c>
      <c r="C1198" s="16">
        <v>0</v>
      </c>
      <c r="D1198" s="16">
        <v>32767</v>
      </c>
      <c r="E1198" s="16">
        <v>32751</v>
      </c>
      <c r="F1198" s="16">
        <v>16</v>
      </c>
      <c r="G1198" s="16">
        <v>100</v>
      </c>
      <c r="H1198" s="16">
        <v>32768</v>
      </c>
      <c r="I1198" s="16">
        <v>0</v>
      </c>
      <c r="J1198" s="15" t="s">
        <v>1</v>
      </c>
      <c r="K1198" s="15" t="s">
        <v>13</v>
      </c>
      <c r="L1198" s="8">
        <f>InterspecUsage[[#This Row],[Used-MB]]-F1188</f>
        <v>3</v>
      </c>
      <c r="M1198">
        <f>InterspecUsage[[#This Row],[Max]]-InterspecUsage[[#This Row],[Used-MB]]</f>
        <v>32752</v>
      </c>
      <c r="N1198" s="5">
        <f>IF($L1198&gt;0,InterspecUsage[[#This Row],[Free-of-Max]]/InterspecUsage[[#This Row],[Usage-Delta-MB]],InterspecUsage[[#This Row],[Free-of-Max]])</f>
        <v>10917.333333333334</v>
      </c>
    </row>
    <row r="1199" spans="1:14" x14ac:dyDescent="0.25">
      <c r="A1199" s="3">
        <v>45425</v>
      </c>
      <c r="B1199" s="15" t="s">
        <v>28</v>
      </c>
      <c r="C1199" s="16">
        <v>1</v>
      </c>
      <c r="D1199" s="16">
        <v>23320</v>
      </c>
      <c r="E1199" s="16">
        <v>23009</v>
      </c>
      <c r="F1199" s="16">
        <v>311</v>
      </c>
      <c r="G1199" s="16">
        <v>99</v>
      </c>
      <c r="H1199" s="16">
        <v>32768</v>
      </c>
      <c r="I1199" s="16">
        <v>1</v>
      </c>
      <c r="J1199" s="15" t="s">
        <v>1</v>
      </c>
      <c r="K1199" s="15" t="s">
        <v>10</v>
      </c>
      <c r="L1199" s="8">
        <f>InterspecUsage[[#This Row],[Used-MB]]-F1189</f>
        <v>-98</v>
      </c>
      <c r="M1199">
        <f>InterspecUsage[[#This Row],[Max]]-InterspecUsage[[#This Row],[Used-MB]]</f>
        <v>32457</v>
      </c>
      <c r="N1199" s="5">
        <f>IF($L1199&gt;0,InterspecUsage[[#This Row],[Free-of-Max]]/InterspecUsage[[#This Row],[Usage-Delta-MB]],InterspecUsage[[#This Row],[Free-of-Max]])</f>
        <v>32457</v>
      </c>
    </row>
    <row r="1200" spans="1:14" x14ac:dyDescent="0.25">
      <c r="A1200" s="3">
        <v>45425</v>
      </c>
      <c r="B1200" s="15" t="s">
        <v>25</v>
      </c>
      <c r="C1200" s="16">
        <v>82</v>
      </c>
      <c r="D1200" s="16">
        <v>12700</v>
      </c>
      <c r="E1200" s="16">
        <v>2276</v>
      </c>
      <c r="F1200" s="16">
        <v>10424</v>
      </c>
      <c r="G1200" s="16">
        <v>18</v>
      </c>
      <c r="H1200" s="16">
        <v>32768</v>
      </c>
      <c r="I1200" s="16">
        <v>32</v>
      </c>
      <c r="J1200" s="15" t="s">
        <v>1</v>
      </c>
      <c r="K1200" s="15" t="s">
        <v>2</v>
      </c>
      <c r="L1200" s="8">
        <f>InterspecUsage[[#This Row],[Used-MB]]-F1190</f>
        <v>578</v>
      </c>
      <c r="M1200">
        <f>InterspecUsage[[#This Row],[Max]]-InterspecUsage[[#This Row],[Used-MB]]</f>
        <v>22344</v>
      </c>
      <c r="N1200" s="5">
        <f>IF($L1200&gt;0,InterspecUsage[[#This Row],[Free-of-Max]]/InterspecUsage[[#This Row],[Usage-Delta-MB]],InterspecUsage[[#This Row],[Free-of-Max]])</f>
        <v>38.65743944636678</v>
      </c>
    </row>
    <row r="1201" spans="1:14" x14ac:dyDescent="0.25">
      <c r="A1201" s="3">
        <v>45425</v>
      </c>
      <c r="B1201" s="15" t="s">
        <v>29</v>
      </c>
      <c r="C1201" s="16">
        <v>0</v>
      </c>
      <c r="D1201" s="16">
        <v>500</v>
      </c>
      <c r="E1201" s="16">
        <v>499</v>
      </c>
      <c r="F1201" s="16">
        <v>1</v>
      </c>
      <c r="G1201" s="16">
        <v>100</v>
      </c>
      <c r="H1201" s="16">
        <v>500</v>
      </c>
      <c r="I1201" s="16">
        <v>0</v>
      </c>
      <c r="J1201" s="15" t="s">
        <v>1</v>
      </c>
      <c r="K1201" s="15" t="s">
        <v>2</v>
      </c>
      <c r="L1201" s="8">
        <f>InterspecUsage[[#This Row],[Used-MB]]-F1191</f>
        <v>0</v>
      </c>
      <c r="M1201">
        <f>InterspecUsage[[#This Row],[Max]]-InterspecUsage[[#This Row],[Used-MB]]</f>
        <v>499</v>
      </c>
      <c r="N1201" s="5">
        <f>IF($L1201&gt;0,InterspecUsage[[#This Row],[Free-of-Max]]/InterspecUsage[[#This Row],[Usage-Delta-MB]],InterspecUsage[[#This Row],[Free-of-Max]])</f>
        <v>499</v>
      </c>
    </row>
    <row r="1202" spans="1:14" x14ac:dyDescent="0.25">
      <c r="A1202" s="3">
        <v>45433</v>
      </c>
      <c r="B1202" s="15" t="s">
        <v>26</v>
      </c>
      <c r="C1202" s="16">
        <v>94</v>
      </c>
      <c r="D1202" s="16">
        <v>24288</v>
      </c>
      <c r="E1202" s="16">
        <v>1406</v>
      </c>
      <c r="F1202" s="16">
        <v>22882</v>
      </c>
      <c r="G1202" s="16">
        <v>6</v>
      </c>
      <c r="H1202" s="16">
        <v>40960</v>
      </c>
      <c r="I1202" s="16">
        <v>56</v>
      </c>
      <c r="J1202" s="15" t="s">
        <v>1</v>
      </c>
      <c r="K1202" s="15" t="s">
        <v>2</v>
      </c>
      <c r="L1202" s="8">
        <f>InterspecUsage[[#This Row],[Used-MB]]-F1192</f>
        <v>64</v>
      </c>
      <c r="M1202" s="22">
        <f>InterspecUsage[[#This Row],[Max]]-InterspecUsage[[#This Row],[Used-MB]]</f>
        <v>18078</v>
      </c>
      <c r="N1202" s="5">
        <f>IF($L1202&gt;0,InterspecUsage[[#This Row],[Free-of-Max]]/InterspecUsage[[#This Row],[Usage-Delta-MB]],InterspecUsage[[#This Row],[Free-of-Max]])</f>
        <v>282.46875</v>
      </c>
    </row>
    <row r="1203" spans="1:14" x14ac:dyDescent="0.25">
      <c r="A1203" s="3">
        <v>45433</v>
      </c>
      <c r="B1203" s="15" t="s">
        <v>24</v>
      </c>
      <c r="C1203" s="16">
        <v>98</v>
      </c>
      <c r="D1203" s="16">
        <v>58468</v>
      </c>
      <c r="E1203" s="16">
        <v>1205</v>
      </c>
      <c r="F1203" s="16">
        <v>57263</v>
      </c>
      <c r="G1203" s="16">
        <v>2</v>
      </c>
      <c r="H1203" s="16">
        <v>65536</v>
      </c>
      <c r="I1203" s="16">
        <v>87</v>
      </c>
      <c r="J1203" s="15" t="s">
        <v>1</v>
      </c>
      <c r="K1203" s="15" t="s">
        <v>2</v>
      </c>
      <c r="L1203" s="8">
        <f>InterspecUsage[[#This Row],[Used-MB]]-F1193</f>
        <v>170</v>
      </c>
      <c r="M1203" s="22">
        <f>InterspecUsage[[#This Row],[Max]]-InterspecUsage[[#This Row],[Used-MB]]</f>
        <v>8273</v>
      </c>
      <c r="N1203" s="5">
        <f>IF($L1203&gt;0,InterspecUsage[[#This Row],[Free-of-Max]]/InterspecUsage[[#This Row],[Usage-Delta-MB]],InterspecUsage[[#This Row],[Free-of-Max]])</f>
        <v>48.664705882352941</v>
      </c>
    </row>
    <row r="1204" spans="1:14" x14ac:dyDescent="0.25">
      <c r="A1204" s="3">
        <v>45433</v>
      </c>
      <c r="B1204" s="15" t="s">
        <v>35</v>
      </c>
      <c r="C1204" s="16">
        <v>96</v>
      </c>
      <c r="D1204" s="16">
        <v>30200</v>
      </c>
      <c r="E1204" s="16">
        <v>1205</v>
      </c>
      <c r="F1204" s="16">
        <v>28995</v>
      </c>
      <c r="G1204" s="16">
        <v>4</v>
      </c>
      <c r="H1204" s="16">
        <v>32768</v>
      </c>
      <c r="I1204" s="16">
        <v>88</v>
      </c>
      <c r="J1204" s="15" t="s">
        <v>1</v>
      </c>
      <c r="K1204" s="15" t="s">
        <v>2</v>
      </c>
      <c r="L1204" s="8">
        <f>InterspecUsage[[#This Row],[Used-MB]]-F1194</f>
        <v>64</v>
      </c>
      <c r="M1204" s="22">
        <f>InterspecUsage[[#This Row],[Max]]-InterspecUsage[[#This Row],[Used-MB]]</f>
        <v>3773</v>
      </c>
      <c r="N1204" s="5">
        <f>IF($L1204&gt;0,InterspecUsage[[#This Row],[Free-of-Max]]/InterspecUsage[[#This Row],[Usage-Delta-MB]],InterspecUsage[[#This Row],[Free-of-Max]])</f>
        <v>58.953125</v>
      </c>
    </row>
    <row r="1205" spans="1:14" x14ac:dyDescent="0.25">
      <c r="A1205" s="3">
        <v>45433</v>
      </c>
      <c r="B1205" s="15" t="s">
        <v>27</v>
      </c>
      <c r="C1205" s="16">
        <v>98</v>
      </c>
      <c r="D1205" s="16">
        <v>163840</v>
      </c>
      <c r="E1205" s="16">
        <v>3404</v>
      </c>
      <c r="F1205" s="16">
        <v>160436</v>
      </c>
      <c r="G1205" s="16">
        <v>2</v>
      </c>
      <c r="H1205" s="16">
        <v>163840</v>
      </c>
      <c r="I1205" s="16">
        <v>98</v>
      </c>
      <c r="J1205" s="15" t="s">
        <v>1</v>
      </c>
      <c r="K1205" s="15" t="s">
        <v>2</v>
      </c>
      <c r="L1205" s="8">
        <f>InterspecUsage[[#This Row],[Used-MB]]-F1195</f>
        <v>659</v>
      </c>
      <c r="M1205" s="22">
        <f>InterspecUsage[[#This Row],[Max]]-InterspecUsage[[#This Row],[Used-MB]]</f>
        <v>3404</v>
      </c>
      <c r="N1205" s="5">
        <f>IF($L1205&gt;0,InterspecUsage[[#This Row],[Free-of-Max]]/InterspecUsage[[#This Row],[Usage-Delta-MB]],InterspecUsage[[#This Row],[Free-of-Max]])</f>
        <v>5.1654021244309556</v>
      </c>
    </row>
    <row r="1206" spans="1:14" x14ac:dyDescent="0.25">
      <c r="A1206" s="3">
        <v>45433</v>
      </c>
      <c r="B1206" s="15" t="s">
        <v>7</v>
      </c>
      <c r="C1206" s="16">
        <v>95</v>
      </c>
      <c r="D1206" s="16">
        <v>1930</v>
      </c>
      <c r="E1206" s="16">
        <v>88</v>
      </c>
      <c r="F1206" s="16">
        <v>1842</v>
      </c>
      <c r="G1206" s="16">
        <v>5</v>
      </c>
      <c r="H1206" s="16">
        <v>32768</v>
      </c>
      <c r="I1206" s="16">
        <v>6</v>
      </c>
      <c r="J1206" s="15" t="s">
        <v>1</v>
      </c>
      <c r="K1206" s="15" t="s">
        <v>2</v>
      </c>
      <c r="L1206" s="8">
        <f>InterspecUsage[[#This Row],[Used-MB]]-F1196</f>
        <v>15</v>
      </c>
      <c r="M1206" s="22">
        <f>InterspecUsage[[#This Row],[Max]]-InterspecUsage[[#This Row],[Used-MB]]</f>
        <v>30926</v>
      </c>
      <c r="N1206" s="5">
        <f>IF($L1206&gt;0,InterspecUsage[[#This Row],[Free-of-Max]]/InterspecUsage[[#This Row],[Usage-Delta-MB]],InterspecUsage[[#This Row],[Free-of-Max]])</f>
        <v>2061.7333333333331</v>
      </c>
    </row>
    <row r="1207" spans="1:14" x14ac:dyDescent="0.25">
      <c r="A1207" s="3">
        <v>45433</v>
      </c>
      <c r="B1207" s="15" t="s">
        <v>0</v>
      </c>
      <c r="C1207" s="16">
        <v>100</v>
      </c>
      <c r="D1207" s="16">
        <v>4610</v>
      </c>
      <c r="E1207" s="16">
        <v>1</v>
      </c>
      <c r="F1207" s="16">
        <v>4609</v>
      </c>
      <c r="G1207" s="16">
        <v>0</v>
      </c>
      <c r="H1207" s="16">
        <v>32768</v>
      </c>
      <c r="I1207" s="16">
        <v>14</v>
      </c>
      <c r="J1207" s="15" t="s">
        <v>1</v>
      </c>
      <c r="K1207" s="15" t="s">
        <v>2</v>
      </c>
      <c r="L1207" s="8">
        <f>InterspecUsage[[#This Row],[Used-MB]]-F1197</f>
        <v>0</v>
      </c>
      <c r="M1207" s="22">
        <f>InterspecUsage[[#This Row],[Max]]-InterspecUsage[[#This Row],[Used-MB]]</f>
        <v>28159</v>
      </c>
      <c r="N1207" s="5">
        <f>IF($L1207&gt;0,InterspecUsage[[#This Row],[Free-of-Max]]/InterspecUsage[[#This Row],[Usage-Delta-MB]],InterspecUsage[[#This Row],[Free-of-Max]])</f>
        <v>28159</v>
      </c>
    </row>
    <row r="1208" spans="1:14" x14ac:dyDescent="0.25">
      <c r="A1208" s="3">
        <v>45433</v>
      </c>
      <c r="B1208" s="15" t="s">
        <v>30</v>
      </c>
      <c r="C1208" s="16">
        <v>0</v>
      </c>
      <c r="D1208" s="16">
        <v>32767</v>
      </c>
      <c r="E1208" s="16">
        <v>32749</v>
      </c>
      <c r="F1208" s="16">
        <v>18</v>
      </c>
      <c r="G1208" s="16">
        <v>100</v>
      </c>
      <c r="H1208" s="16">
        <v>32768</v>
      </c>
      <c r="I1208" s="16">
        <v>0</v>
      </c>
      <c r="J1208" s="15" t="s">
        <v>1</v>
      </c>
      <c r="K1208" s="15" t="s">
        <v>13</v>
      </c>
      <c r="L1208" s="8">
        <f>InterspecUsage[[#This Row],[Used-MB]]-F1198</f>
        <v>2</v>
      </c>
      <c r="M1208" s="22">
        <f>InterspecUsage[[#This Row],[Max]]-InterspecUsage[[#This Row],[Used-MB]]</f>
        <v>32750</v>
      </c>
      <c r="N1208" s="5">
        <f>IF($L1208&gt;0,InterspecUsage[[#This Row],[Free-of-Max]]/InterspecUsage[[#This Row],[Usage-Delta-MB]],InterspecUsage[[#This Row],[Free-of-Max]])</f>
        <v>16375</v>
      </c>
    </row>
    <row r="1209" spans="1:14" x14ac:dyDescent="0.25">
      <c r="A1209" s="3">
        <v>45433</v>
      </c>
      <c r="B1209" s="15" t="s">
        <v>28</v>
      </c>
      <c r="C1209" s="16">
        <v>7</v>
      </c>
      <c r="D1209" s="16">
        <v>23320</v>
      </c>
      <c r="E1209" s="16">
        <v>21646</v>
      </c>
      <c r="F1209" s="16">
        <v>1674</v>
      </c>
      <c r="G1209" s="16">
        <v>93</v>
      </c>
      <c r="H1209" s="16">
        <v>32768</v>
      </c>
      <c r="I1209" s="16">
        <v>5</v>
      </c>
      <c r="J1209" s="15" t="s">
        <v>1</v>
      </c>
      <c r="K1209" s="15" t="s">
        <v>10</v>
      </c>
      <c r="L1209" s="8">
        <f>InterspecUsage[[#This Row],[Used-MB]]-F1199</f>
        <v>1363</v>
      </c>
      <c r="M1209" s="22">
        <f>InterspecUsage[[#This Row],[Max]]-InterspecUsage[[#This Row],[Used-MB]]</f>
        <v>31094</v>
      </c>
      <c r="N1209" s="5">
        <f>IF($L1209&gt;0,InterspecUsage[[#This Row],[Free-of-Max]]/InterspecUsage[[#This Row],[Usage-Delta-MB]],InterspecUsage[[#This Row],[Free-of-Max]])</f>
        <v>22.812912692589876</v>
      </c>
    </row>
    <row r="1210" spans="1:14" x14ac:dyDescent="0.25">
      <c r="A1210" s="3">
        <v>45433</v>
      </c>
      <c r="B1210" s="15" t="s">
        <v>25</v>
      </c>
      <c r="C1210" s="16">
        <v>82</v>
      </c>
      <c r="D1210" s="16">
        <v>12700</v>
      </c>
      <c r="E1210" s="16">
        <v>2259</v>
      </c>
      <c r="F1210" s="16">
        <v>10441</v>
      </c>
      <c r="G1210" s="16">
        <v>18</v>
      </c>
      <c r="H1210" s="16">
        <v>32768</v>
      </c>
      <c r="I1210" s="16">
        <v>32</v>
      </c>
      <c r="J1210" s="15" t="s">
        <v>1</v>
      </c>
      <c r="K1210" s="15" t="s">
        <v>2</v>
      </c>
      <c r="L1210" s="8">
        <f>InterspecUsage[[#This Row],[Used-MB]]-F1200</f>
        <v>17</v>
      </c>
      <c r="M1210" s="22">
        <f>InterspecUsage[[#This Row],[Max]]-InterspecUsage[[#This Row],[Used-MB]]</f>
        <v>22327</v>
      </c>
      <c r="N1210" s="5">
        <f>IF($L1210&gt;0,InterspecUsage[[#This Row],[Free-of-Max]]/InterspecUsage[[#This Row],[Usage-Delta-MB]],InterspecUsage[[#This Row],[Free-of-Max]])</f>
        <v>1313.3529411764705</v>
      </c>
    </row>
    <row r="1211" spans="1:14" x14ac:dyDescent="0.25">
      <c r="A1211" s="3">
        <v>45433</v>
      </c>
      <c r="B1211" s="15" t="s">
        <v>29</v>
      </c>
      <c r="C1211" s="16">
        <v>0</v>
      </c>
      <c r="D1211" s="16">
        <v>500</v>
      </c>
      <c r="E1211" s="16">
        <v>499</v>
      </c>
      <c r="F1211" s="16">
        <v>1</v>
      </c>
      <c r="G1211" s="16">
        <v>100</v>
      </c>
      <c r="H1211" s="16">
        <v>500</v>
      </c>
      <c r="I1211" s="16">
        <v>0</v>
      </c>
      <c r="J1211" s="15" t="s">
        <v>1</v>
      </c>
      <c r="K1211" s="15" t="s">
        <v>2</v>
      </c>
      <c r="L1211" s="8">
        <f>InterspecUsage[[#This Row],[Used-MB]]-F1201</f>
        <v>0</v>
      </c>
      <c r="M1211" s="22">
        <f>InterspecUsage[[#This Row],[Max]]-InterspecUsage[[#This Row],[Used-MB]]</f>
        <v>499</v>
      </c>
      <c r="N1211" s="5">
        <f>IF($L1211&gt;0,InterspecUsage[[#This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1" priority="1" operator="containsText" text="SPECDATA">
      <formula>NOT(ISERROR(SEARCH("SPECDATA",B1)))</formula>
    </cfRule>
    <cfRule type="cellIs" dxfId="20" priority="6" operator="equal">
      <formula>"SPECI"</formula>
    </cfRule>
    <cfRule type="cellIs" dxfId="19" priority="7" operator="equal">
      <formula>"SPECD"</formula>
    </cfRule>
  </conditionalFormatting>
  <conditionalFormatting sqref="AJ1">
    <cfRule type="cellIs" dxfId="18" priority="4" operator="equal">
      <formula>"UNI_DATAO"</formula>
    </cfRule>
    <cfRule type="cellIs" dxfId="17" priority="5" operator="equal">
      <formula>"UNI_INDEXO"</formula>
    </cfRule>
  </conditionalFormatting>
  <conditionalFormatting sqref="S1">
    <cfRule type="cellIs" dxfId="16" priority="2" operator="equal">
      <formula>"UNI_DATAO"</formula>
    </cfRule>
    <cfRule type="cellIs" dxfId="15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tabSelected="1" topLeftCell="A7" workbookViewId="0">
      <selection activeCell="AC40" sqref="AC4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2024-05-21T06:54:51Z</dcterms:modified>
</cp:coreProperties>
</file>