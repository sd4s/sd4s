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DBA/oracle/tablespaces/"/>
    </mc:Choice>
  </mc:AlternateContent>
  <xr:revisionPtr revIDLastSave="40" documentId="8_{1068EF2A-F888-48ED-98F0-5E482BE89B34}" xr6:coauthVersionLast="47" xr6:coauthVersionMax="47" xr10:uidLastSave="{913474A9-8CBF-44EC-91E7-D04E6D3C96F4}"/>
  <bookViews>
    <workbookView xWindow="43695" yWindow="315" windowWidth="34635" windowHeight="19530" tabRatio="354" activeTab="2" xr2:uid="{BED9AB09-E871-442E-A767-D3021D5EF263}"/>
  </bookViews>
  <sheets>
    <sheet name="UNILAB" sheetId="1" r:id="rId1"/>
    <sheet name="UNILAB-GRAPH" sheetId="3" r:id="rId2"/>
    <sheet name="INTERSPC" sheetId="2" r:id="rId3"/>
    <sheet name="INTERSPC-GRAPH" sheetId="4" r:id="rId4"/>
  </sheets>
  <definedNames>
    <definedName name="_xlnm._FilterDatabase" localSheetId="2" hidden="1">INTERSPC!$A$1:$N$901</definedName>
    <definedName name="_xlnm._FilterDatabase" localSheetId="0" hidden="1">UNILAB!$A$1:$N$901</definedName>
    <definedName name="_xlnm.Criteria" localSheetId="2">INTERSPC!$AG$1:$AG$2</definedName>
    <definedName name="_xlnm.Criteria" localSheetId="0">UNILAB!$AG$1:$AG$2</definedName>
    <definedName name="Criteria_DATAO">UNILAB!$P$1:$P$2</definedName>
    <definedName name="Criteria_INDEXO" localSheetId="0">UNILAB!$AG$1:$AG$2</definedName>
    <definedName name="Criteria_SEPCI">INTERSPC!$AG$1:$AG$2</definedName>
    <definedName name="Criteria_SPECD">INTERSPC!$P$1:$P$2</definedName>
    <definedName name="_xlnm.Extract" localSheetId="2">INTERSPC!$AI$1:$AV$10</definedName>
    <definedName name="_xlnm.Extract" localSheetId="0">UNILAB!$AI$1:$AV$7</definedName>
    <definedName name="Ophalen_DATAO">UNILAB!$R$1:$AE$7</definedName>
    <definedName name="Ophalen_INDEXO" localSheetId="0">UNILAB!$AI$1:$AV$7</definedName>
    <definedName name="Ophalen_SPECD">INTERSPC!$R$1:$AE$10</definedName>
    <definedName name="Ophalen_SPECI">INTERSPC!$AI$1:$AV$10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892" i="2" l="1"/>
  <c r="L893" i="2"/>
  <c r="L894" i="2"/>
  <c r="L895" i="2"/>
  <c r="L896" i="2"/>
  <c r="L897" i="2"/>
  <c r="L898" i="2"/>
  <c r="L899" i="2"/>
  <c r="L900" i="2"/>
  <c r="L901" i="2"/>
  <c r="M892" i="2"/>
  <c r="M893" i="2"/>
  <c r="M894" i="2"/>
  <c r="N894" i="2" s="1"/>
  <c r="M895" i="2"/>
  <c r="M896" i="2"/>
  <c r="M897" i="2"/>
  <c r="M898" i="2"/>
  <c r="N898" i="2" s="1"/>
  <c r="M899" i="2"/>
  <c r="M900" i="2"/>
  <c r="M901" i="2"/>
  <c r="N892" i="2"/>
  <c r="N893" i="2"/>
  <c r="N896" i="2"/>
  <c r="N897" i="2"/>
  <c r="N900" i="2"/>
  <c r="N901" i="2"/>
  <c r="L892" i="1"/>
  <c r="L893" i="1"/>
  <c r="L894" i="1"/>
  <c r="L895" i="1"/>
  <c r="N895" i="1" s="1"/>
  <c r="L896" i="1"/>
  <c r="L897" i="1"/>
  <c r="L898" i="1"/>
  <c r="L899" i="1"/>
  <c r="L900" i="1"/>
  <c r="L901" i="1"/>
  <c r="M892" i="1"/>
  <c r="M893" i="1"/>
  <c r="M894" i="1"/>
  <c r="M895" i="1"/>
  <c r="M896" i="1"/>
  <c r="M897" i="1"/>
  <c r="M898" i="1"/>
  <c r="M899" i="1"/>
  <c r="M900" i="1"/>
  <c r="M901" i="1"/>
  <c r="N892" i="1"/>
  <c r="N893" i="1"/>
  <c r="N894" i="1"/>
  <c r="N896" i="1"/>
  <c r="N897" i="1"/>
  <c r="N898" i="1"/>
  <c r="N899" i="1"/>
  <c r="N900" i="1"/>
  <c r="N901" i="1"/>
  <c r="L882" i="2"/>
  <c r="L883" i="2"/>
  <c r="L884" i="2"/>
  <c r="L885" i="2"/>
  <c r="L886" i="2"/>
  <c r="L887" i="2"/>
  <c r="N887" i="2" s="1"/>
  <c r="L888" i="2"/>
  <c r="L889" i="2"/>
  <c r="L890" i="2"/>
  <c r="L891" i="2"/>
  <c r="M882" i="2"/>
  <c r="N882" i="2" s="1"/>
  <c r="M883" i="2"/>
  <c r="M884" i="2"/>
  <c r="M885" i="2"/>
  <c r="M886" i="2"/>
  <c r="M887" i="2"/>
  <c r="M888" i="2"/>
  <c r="M889" i="2"/>
  <c r="M890" i="2"/>
  <c r="N890" i="2" s="1"/>
  <c r="M891" i="2"/>
  <c r="N883" i="2"/>
  <c r="N886" i="2"/>
  <c r="N891" i="2"/>
  <c r="L882" i="1"/>
  <c r="L883" i="1"/>
  <c r="N883" i="1" s="1"/>
  <c r="L884" i="1"/>
  <c r="N884" i="1" s="1"/>
  <c r="L885" i="1"/>
  <c r="L886" i="1"/>
  <c r="L887" i="1"/>
  <c r="L888" i="1"/>
  <c r="N888" i="1" s="1"/>
  <c r="L889" i="1"/>
  <c r="L890" i="1"/>
  <c r="L891" i="1"/>
  <c r="N891" i="1" s="1"/>
  <c r="M882" i="1"/>
  <c r="N882" i="1" s="1"/>
  <c r="M883" i="1"/>
  <c r="M884" i="1"/>
  <c r="M885" i="1"/>
  <c r="M886" i="1"/>
  <c r="N886" i="1" s="1"/>
  <c r="M887" i="1"/>
  <c r="M888" i="1"/>
  <c r="M889" i="1"/>
  <c r="M890" i="1"/>
  <c r="N890" i="1" s="1"/>
  <c r="M891" i="1"/>
  <c r="N887" i="1"/>
  <c r="L872" i="2"/>
  <c r="L873" i="2"/>
  <c r="L874" i="2"/>
  <c r="L875" i="2"/>
  <c r="L876" i="2"/>
  <c r="L877" i="2"/>
  <c r="L878" i="2"/>
  <c r="L879" i="2"/>
  <c r="L880" i="2"/>
  <c r="L881" i="2"/>
  <c r="M872" i="2"/>
  <c r="N872" i="2" s="1"/>
  <c r="M873" i="2"/>
  <c r="N873" i="2" s="1"/>
  <c r="M874" i="2"/>
  <c r="M875" i="2"/>
  <c r="M876" i="2"/>
  <c r="M877" i="2"/>
  <c r="N877" i="2" s="1"/>
  <c r="M878" i="2"/>
  <c r="M879" i="2"/>
  <c r="M880" i="2"/>
  <c r="N880" i="2" s="1"/>
  <c r="M881" i="2"/>
  <c r="N881" i="2" s="1"/>
  <c r="L872" i="1"/>
  <c r="L873" i="1"/>
  <c r="L874" i="1"/>
  <c r="L875" i="1"/>
  <c r="L876" i="1"/>
  <c r="L877" i="1"/>
  <c r="L878" i="1"/>
  <c r="L879" i="1"/>
  <c r="L880" i="1"/>
  <c r="L881" i="1"/>
  <c r="M872" i="1"/>
  <c r="M873" i="1"/>
  <c r="M874" i="1"/>
  <c r="M875" i="1"/>
  <c r="M876" i="1"/>
  <c r="M877" i="1"/>
  <c r="M878" i="1"/>
  <c r="M879" i="1"/>
  <c r="M880" i="1"/>
  <c r="M881" i="1"/>
  <c r="L862" i="2"/>
  <c r="L863" i="2"/>
  <c r="L864" i="2"/>
  <c r="L865" i="2"/>
  <c r="L866" i="2"/>
  <c r="L867" i="2"/>
  <c r="L868" i="2"/>
  <c r="L869" i="2"/>
  <c r="L870" i="2"/>
  <c r="N870" i="2" s="1"/>
  <c r="L871" i="2"/>
  <c r="M862" i="2"/>
  <c r="M863" i="2"/>
  <c r="M864" i="2"/>
  <c r="M865" i="2"/>
  <c r="M866" i="2"/>
  <c r="M867" i="2"/>
  <c r="M868" i="2"/>
  <c r="M869" i="2"/>
  <c r="M870" i="2"/>
  <c r="M871" i="2"/>
  <c r="N863" i="2"/>
  <c r="L862" i="1"/>
  <c r="L863" i="1"/>
  <c r="N863" i="1" s="1"/>
  <c r="L864" i="1"/>
  <c r="L865" i="1"/>
  <c r="L866" i="1"/>
  <c r="L867" i="1"/>
  <c r="L868" i="1"/>
  <c r="L869" i="1"/>
  <c r="L870" i="1"/>
  <c r="L871" i="1"/>
  <c r="M862" i="1"/>
  <c r="M863" i="1"/>
  <c r="M864" i="1"/>
  <c r="M865" i="1"/>
  <c r="M866" i="1"/>
  <c r="M867" i="1"/>
  <c r="M868" i="1"/>
  <c r="M869" i="1"/>
  <c r="M870" i="1"/>
  <c r="M871" i="1"/>
  <c r="L852" i="2"/>
  <c r="L853" i="2"/>
  <c r="L854" i="2"/>
  <c r="L855" i="2"/>
  <c r="L856" i="2"/>
  <c r="L857" i="2"/>
  <c r="L858" i="2"/>
  <c r="L859" i="2"/>
  <c r="L860" i="2"/>
  <c r="L861" i="2"/>
  <c r="M852" i="2"/>
  <c r="N852" i="2" s="1"/>
  <c r="M853" i="2"/>
  <c r="M854" i="2"/>
  <c r="M855" i="2"/>
  <c r="M856" i="2"/>
  <c r="M857" i="2"/>
  <c r="M858" i="2"/>
  <c r="M859" i="2"/>
  <c r="M860" i="2"/>
  <c r="M861" i="2"/>
  <c r="N861" i="2"/>
  <c r="L852" i="1"/>
  <c r="L853" i="1"/>
  <c r="L854" i="1"/>
  <c r="L855" i="1"/>
  <c r="N855" i="1" s="1"/>
  <c r="L856" i="1"/>
  <c r="L857" i="1"/>
  <c r="L858" i="1"/>
  <c r="L859" i="1"/>
  <c r="N859" i="1" s="1"/>
  <c r="L860" i="1"/>
  <c r="L861" i="1"/>
  <c r="M852" i="1"/>
  <c r="N852" i="1" s="1"/>
  <c r="M853" i="1"/>
  <c r="N853" i="1" s="1"/>
  <c r="M854" i="1"/>
  <c r="M855" i="1"/>
  <c r="M856" i="1"/>
  <c r="M857" i="1"/>
  <c r="N857" i="1" s="1"/>
  <c r="M858" i="1"/>
  <c r="M859" i="1"/>
  <c r="M860" i="1"/>
  <c r="M861" i="1"/>
  <c r="N861" i="1" s="1"/>
  <c r="L842" i="2"/>
  <c r="L843" i="2"/>
  <c r="L844" i="2"/>
  <c r="L845" i="2"/>
  <c r="L846" i="2"/>
  <c r="L847" i="2"/>
  <c r="L848" i="2"/>
  <c r="L849" i="2"/>
  <c r="L850" i="2"/>
  <c r="L851" i="2"/>
  <c r="M842" i="2"/>
  <c r="M843" i="2"/>
  <c r="M844" i="2"/>
  <c r="M845" i="2"/>
  <c r="M846" i="2"/>
  <c r="M847" i="2"/>
  <c r="M848" i="2"/>
  <c r="M849" i="2"/>
  <c r="M850" i="2"/>
  <c r="M851" i="2"/>
  <c r="L842" i="1"/>
  <c r="L843" i="1"/>
  <c r="L844" i="1"/>
  <c r="L845" i="1"/>
  <c r="L846" i="1"/>
  <c r="L847" i="1"/>
  <c r="L848" i="1"/>
  <c r="N848" i="1" s="1"/>
  <c r="L849" i="1"/>
  <c r="L850" i="1"/>
  <c r="L851" i="1"/>
  <c r="M842" i="1"/>
  <c r="M843" i="1"/>
  <c r="M844" i="1"/>
  <c r="M845" i="1"/>
  <c r="M846" i="1"/>
  <c r="M847" i="1"/>
  <c r="M848" i="1"/>
  <c r="M849" i="1"/>
  <c r="M850" i="1"/>
  <c r="M851" i="1"/>
  <c r="L832" i="2"/>
  <c r="L833" i="2"/>
  <c r="L834" i="2"/>
  <c r="L835" i="2"/>
  <c r="L836" i="2"/>
  <c r="L837" i="2"/>
  <c r="L838" i="2"/>
  <c r="L839" i="2"/>
  <c r="L840" i="2"/>
  <c r="L841" i="2"/>
  <c r="M832" i="2"/>
  <c r="M833" i="2"/>
  <c r="M834" i="2"/>
  <c r="M835" i="2"/>
  <c r="M836" i="2"/>
  <c r="M837" i="2"/>
  <c r="M838" i="2"/>
  <c r="M839" i="2"/>
  <c r="M840" i="2"/>
  <c r="M841" i="2"/>
  <c r="L832" i="1"/>
  <c r="L833" i="1"/>
  <c r="L834" i="1"/>
  <c r="L835" i="1"/>
  <c r="L836" i="1"/>
  <c r="L837" i="1"/>
  <c r="L838" i="1"/>
  <c r="L839" i="1"/>
  <c r="L840" i="1"/>
  <c r="L841" i="1"/>
  <c r="M832" i="1"/>
  <c r="M833" i="1"/>
  <c r="M834" i="1"/>
  <c r="M835" i="1"/>
  <c r="M836" i="1"/>
  <c r="M837" i="1"/>
  <c r="M838" i="1"/>
  <c r="M839" i="1"/>
  <c r="M840" i="1"/>
  <c r="M841" i="1"/>
  <c r="L822" i="2"/>
  <c r="L823" i="2"/>
  <c r="L824" i="2"/>
  <c r="L825" i="2"/>
  <c r="L826" i="2"/>
  <c r="L827" i="2"/>
  <c r="L828" i="2"/>
  <c r="L829" i="2"/>
  <c r="L830" i="2"/>
  <c r="L831" i="2"/>
  <c r="M822" i="2"/>
  <c r="M823" i="2"/>
  <c r="M824" i="2"/>
  <c r="M825" i="2"/>
  <c r="M826" i="2"/>
  <c r="M827" i="2"/>
  <c r="M828" i="2"/>
  <c r="M829" i="2"/>
  <c r="M830" i="2"/>
  <c r="M831" i="2"/>
  <c r="L822" i="1"/>
  <c r="L823" i="1"/>
  <c r="L824" i="1"/>
  <c r="L825" i="1"/>
  <c r="L826" i="1"/>
  <c r="L827" i="1"/>
  <c r="L828" i="1"/>
  <c r="L829" i="1"/>
  <c r="L830" i="1"/>
  <c r="L831" i="1"/>
  <c r="M822" i="1"/>
  <c r="M823" i="1"/>
  <c r="M824" i="1"/>
  <c r="M825" i="1"/>
  <c r="M826" i="1"/>
  <c r="M827" i="1"/>
  <c r="M828" i="1"/>
  <c r="M829" i="1"/>
  <c r="M830" i="1"/>
  <c r="M831" i="1"/>
  <c r="L812" i="2"/>
  <c r="L813" i="2"/>
  <c r="L814" i="2"/>
  <c r="L815" i="2"/>
  <c r="L816" i="2"/>
  <c r="L817" i="2"/>
  <c r="L818" i="2"/>
  <c r="L819" i="2"/>
  <c r="L820" i="2"/>
  <c r="L821" i="2"/>
  <c r="M812" i="2"/>
  <c r="M813" i="2"/>
  <c r="M814" i="2"/>
  <c r="M815" i="2"/>
  <c r="M816" i="2"/>
  <c r="M817" i="2"/>
  <c r="M818" i="2"/>
  <c r="M819" i="2"/>
  <c r="M820" i="2"/>
  <c r="M821" i="2"/>
  <c r="L812" i="1"/>
  <c r="L813" i="1"/>
  <c r="L814" i="1"/>
  <c r="L815" i="1"/>
  <c r="L816" i="1"/>
  <c r="L817" i="1"/>
  <c r="L818" i="1"/>
  <c r="L819" i="1"/>
  <c r="L820" i="1"/>
  <c r="L821" i="1"/>
  <c r="M812" i="1"/>
  <c r="M813" i="1"/>
  <c r="M814" i="1"/>
  <c r="M815" i="1"/>
  <c r="M816" i="1"/>
  <c r="M817" i="1"/>
  <c r="M818" i="1"/>
  <c r="M819" i="1"/>
  <c r="M820" i="1"/>
  <c r="M821" i="1"/>
  <c r="L802" i="2"/>
  <c r="L803" i="2"/>
  <c r="L804" i="2"/>
  <c r="L805" i="2"/>
  <c r="L806" i="2"/>
  <c r="L807" i="2"/>
  <c r="L808" i="2"/>
  <c r="L809" i="2"/>
  <c r="L810" i="2"/>
  <c r="L811" i="2"/>
  <c r="M803" i="2"/>
  <c r="M804" i="2"/>
  <c r="M805" i="2"/>
  <c r="M806" i="2"/>
  <c r="M807" i="2"/>
  <c r="M808" i="2"/>
  <c r="M809" i="2"/>
  <c r="M810" i="2"/>
  <c r="M811" i="2"/>
  <c r="M802" i="2"/>
  <c r="L802" i="1"/>
  <c r="L803" i="1"/>
  <c r="L804" i="1"/>
  <c r="L805" i="1"/>
  <c r="L806" i="1"/>
  <c r="L807" i="1"/>
  <c r="L808" i="1"/>
  <c r="L809" i="1"/>
  <c r="L810" i="1"/>
  <c r="L811" i="1"/>
  <c r="M803" i="1"/>
  <c r="M804" i="1"/>
  <c r="M805" i="1"/>
  <c r="N805" i="1" s="1"/>
  <c r="M806" i="1"/>
  <c r="M807" i="1"/>
  <c r="M808" i="1"/>
  <c r="M809" i="1"/>
  <c r="N809" i="1" s="1"/>
  <c r="M810" i="1"/>
  <c r="M811" i="1"/>
  <c r="M802" i="1"/>
  <c r="L792" i="2"/>
  <c r="L793" i="2"/>
  <c r="L794" i="2"/>
  <c r="L795" i="2"/>
  <c r="L796" i="2"/>
  <c r="L797" i="2"/>
  <c r="L798" i="2"/>
  <c r="L799" i="2"/>
  <c r="L800" i="2"/>
  <c r="L801" i="2"/>
  <c r="M792" i="2"/>
  <c r="M793" i="2"/>
  <c r="M794" i="2"/>
  <c r="M795" i="2"/>
  <c r="M796" i="2"/>
  <c r="M797" i="2"/>
  <c r="M798" i="2"/>
  <c r="M799" i="2"/>
  <c r="M800" i="2"/>
  <c r="M801" i="2"/>
  <c r="L792" i="1"/>
  <c r="L793" i="1"/>
  <c r="L794" i="1"/>
  <c r="L795" i="1"/>
  <c r="L796" i="1"/>
  <c r="L797" i="1"/>
  <c r="L798" i="1"/>
  <c r="L799" i="1"/>
  <c r="L800" i="1"/>
  <c r="L801" i="1"/>
  <c r="M792" i="1"/>
  <c r="M793" i="1"/>
  <c r="M794" i="1"/>
  <c r="M795" i="1"/>
  <c r="M796" i="1"/>
  <c r="M797" i="1"/>
  <c r="M798" i="1"/>
  <c r="M799" i="1"/>
  <c r="M800" i="1"/>
  <c r="M801" i="1"/>
  <c r="L782" i="2"/>
  <c r="L783" i="2"/>
  <c r="L784" i="2"/>
  <c r="L785" i="2"/>
  <c r="L786" i="2"/>
  <c r="L787" i="2"/>
  <c r="L788" i="2"/>
  <c r="L789" i="2"/>
  <c r="L790" i="2"/>
  <c r="L791" i="2"/>
  <c r="M782" i="2"/>
  <c r="M783" i="2"/>
  <c r="M784" i="2"/>
  <c r="M785" i="2"/>
  <c r="M786" i="2"/>
  <c r="M787" i="2"/>
  <c r="M788" i="2"/>
  <c r="M789" i="2"/>
  <c r="M790" i="2"/>
  <c r="M791" i="2"/>
  <c r="L782" i="1"/>
  <c r="L783" i="1"/>
  <c r="L784" i="1"/>
  <c r="L785" i="1"/>
  <c r="L786" i="1"/>
  <c r="L787" i="1"/>
  <c r="L788" i="1"/>
  <c r="L789" i="1"/>
  <c r="L790" i="1"/>
  <c r="L791" i="1"/>
  <c r="M782" i="1"/>
  <c r="M783" i="1"/>
  <c r="M784" i="1"/>
  <c r="M785" i="1"/>
  <c r="M786" i="1"/>
  <c r="M787" i="1"/>
  <c r="M788" i="1"/>
  <c r="M789" i="1"/>
  <c r="M790" i="1"/>
  <c r="M791" i="1"/>
  <c r="L772" i="2"/>
  <c r="L773" i="2"/>
  <c r="L774" i="2"/>
  <c r="L775" i="2"/>
  <c r="L776" i="2"/>
  <c r="L777" i="2"/>
  <c r="L778" i="2"/>
  <c r="L779" i="2"/>
  <c r="L780" i="2"/>
  <c r="L781" i="2"/>
  <c r="M772" i="2"/>
  <c r="M773" i="2"/>
  <c r="M774" i="2"/>
  <c r="M775" i="2"/>
  <c r="M776" i="2"/>
  <c r="M777" i="2"/>
  <c r="M778" i="2"/>
  <c r="M779" i="2"/>
  <c r="M780" i="2"/>
  <c r="M781" i="2"/>
  <c r="L772" i="1"/>
  <c r="L773" i="1"/>
  <c r="L774" i="1"/>
  <c r="L775" i="1"/>
  <c r="L776" i="1"/>
  <c r="L777" i="1"/>
  <c r="L778" i="1"/>
  <c r="L779" i="1"/>
  <c r="L780" i="1"/>
  <c r="L781" i="1"/>
  <c r="M772" i="1"/>
  <c r="M773" i="1"/>
  <c r="M774" i="1"/>
  <c r="M775" i="1"/>
  <c r="M776" i="1"/>
  <c r="M777" i="1"/>
  <c r="M778" i="1"/>
  <c r="M779" i="1"/>
  <c r="M780" i="1"/>
  <c r="M781" i="1"/>
  <c r="L762" i="2"/>
  <c r="L763" i="2"/>
  <c r="L764" i="2"/>
  <c r="L765" i="2"/>
  <c r="L766" i="2"/>
  <c r="L767" i="2"/>
  <c r="L768" i="2"/>
  <c r="L769" i="2"/>
  <c r="L770" i="2"/>
  <c r="L771" i="2"/>
  <c r="M762" i="2"/>
  <c r="M763" i="2"/>
  <c r="M764" i="2"/>
  <c r="M765" i="2"/>
  <c r="M766" i="2"/>
  <c r="M767" i="2"/>
  <c r="M768" i="2"/>
  <c r="M769" i="2"/>
  <c r="M770" i="2"/>
  <c r="M771" i="2"/>
  <c r="L762" i="1"/>
  <c r="L763" i="1"/>
  <c r="L764" i="1"/>
  <c r="L765" i="1"/>
  <c r="L766" i="1"/>
  <c r="L767" i="1"/>
  <c r="L768" i="1"/>
  <c r="L769" i="1"/>
  <c r="L770" i="1"/>
  <c r="L771" i="1"/>
  <c r="M762" i="1"/>
  <c r="M763" i="1"/>
  <c r="M764" i="1"/>
  <c r="M765" i="1"/>
  <c r="M766" i="1"/>
  <c r="M767" i="1"/>
  <c r="M768" i="1"/>
  <c r="M769" i="1"/>
  <c r="M770" i="1"/>
  <c r="M771" i="1"/>
  <c r="L752" i="2"/>
  <c r="L753" i="2"/>
  <c r="L754" i="2"/>
  <c r="L755" i="2"/>
  <c r="L756" i="2"/>
  <c r="L757" i="2"/>
  <c r="L758" i="2"/>
  <c r="L759" i="2"/>
  <c r="L760" i="2"/>
  <c r="L761" i="2"/>
  <c r="M752" i="2"/>
  <c r="M753" i="2"/>
  <c r="M754" i="2"/>
  <c r="M755" i="2"/>
  <c r="M756" i="2"/>
  <c r="M757" i="2"/>
  <c r="M758" i="2"/>
  <c r="M759" i="2"/>
  <c r="M760" i="2"/>
  <c r="M761" i="2"/>
  <c r="L752" i="1"/>
  <c r="L753" i="1"/>
  <c r="L754" i="1"/>
  <c r="L755" i="1"/>
  <c r="L756" i="1"/>
  <c r="L757" i="1"/>
  <c r="L758" i="1"/>
  <c r="L759" i="1"/>
  <c r="L760" i="1"/>
  <c r="L761" i="1"/>
  <c r="M752" i="1"/>
  <c r="M753" i="1"/>
  <c r="M754" i="1"/>
  <c r="M755" i="1"/>
  <c r="M756" i="1"/>
  <c r="M757" i="1"/>
  <c r="M758" i="1"/>
  <c r="M759" i="1"/>
  <c r="M760" i="1"/>
  <c r="M761" i="1"/>
  <c r="L742" i="2"/>
  <c r="L743" i="2"/>
  <c r="L744" i="2"/>
  <c r="L745" i="2"/>
  <c r="L746" i="2"/>
  <c r="L747" i="2"/>
  <c r="L748" i="2"/>
  <c r="L749" i="2"/>
  <c r="L750" i="2"/>
  <c r="L751" i="2"/>
  <c r="M742" i="2"/>
  <c r="M743" i="2"/>
  <c r="M744" i="2"/>
  <c r="M745" i="2"/>
  <c r="M746" i="2"/>
  <c r="M747" i="2"/>
  <c r="M748" i="2"/>
  <c r="M749" i="2"/>
  <c r="M750" i="2"/>
  <c r="M751" i="2"/>
  <c r="L742" i="1"/>
  <c r="L743" i="1"/>
  <c r="L744" i="1"/>
  <c r="L745" i="1"/>
  <c r="L746" i="1"/>
  <c r="L747" i="1"/>
  <c r="L748" i="1"/>
  <c r="L749" i="1"/>
  <c r="L750" i="1"/>
  <c r="L751" i="1"/>
  <c r="M742" i="1"/>
  <c r="M743" i="1"/>
  <c r="M744" i="1"/>
  <c r="M745" i="1"/>
  <c r="M746" i="1"/>
  <c r="M747" i="1"/>
  <c r="M748" i="1"/>
  <c r="M749" i="1"/>
  <c r="M750" i="1"/>
  <c r="M751" i="1"/>
  <c r="L732" i="2"/>
  <c r="L733" i="2"/>
  <c r="L734" i="2"/>
  <c r="L735" i="2"/>
  <c r="L736" i="2"/>
  <c r="L737" i="2"/>
  <c r="L738" i="2"/>
  <c r="L739" i="2"/>
  <c r="L740" i="2"/>
  <c r="L741" i="2"/>
  <c r="M732" i="2"/>
  <c r="M733" i="2"/>
  <c r="M734" i="2"/>
  <c r="M735" i="2"/>
  <c r="M736" i="2"/>
  <c r="M737" i="2"/>
  <c r="M738" i="2"/>
  <c r="M739" i="2"/>
  <c r="M740" i="2"/>
  <c r="M741" i="2"/>
  <c r="L732" i="1"/>
  <c r="L733" i="1"/>
  <c r="L734" i="1"/>
  <c r="L735" i="1"/>
  <c r="L736" i="1"/>
  <c r="L737" i="1"/>
  <c r="L738" i="1"/>
  <c r="L739" i="1"/>
  <c r="L740" i="1"/>
  <c r="L741" i="1"/>
  <c r="M732" i="1"/>
  <c r="M733" i="1"/>
  <c r="M734" i="1"/>
  <c r="M735" i="1"/>
  <c r="M736" i="1"/>
  <c r="M737" i="1"/>
  <c r="M738" i="1"/>
  <c r="M739" i="1"/>
  <c r="M740" i="1"/>
  <c r="M741" i="1"/>
  <c r="L722" i="2"/>
  <c r="L723" i="2"/>
  <c r="L724" i="2"/>
  <c r="L725" i="2"/>
  <c r="L726" i="2"/>
  <c r="L727" i="2"/>
  <c r="L728" i="2"/>
  <c r="L729" i="2"/>
  <c r="L730" i="2"/>
  <c r="L731" i="2"/>
  <c r="M722" i="2"/>
  <c r="M723" i="2"/>
  <c r="M724" i="2"/>
  <c r="M725" i="2"/>
  <c r="M726" i="2"/>
  <c r="M727" i="2"/>
  <c r="M728" i="2"/>
  <c r="M729" i="2"/>
  <c r="M730" i="2"/>
  <c r="M731" i="2"/>
  <c r="L722" i="1"/>
  <c r="L723" i="1"/>
  <c r="L724" i="1"/>
  <c r="L725" i="1"/>
  <c r="L726" i="1"/>
  <c r="L727" i="1"/>
  <c r="L728" i="1"/>
  <c r="L729" i="1"/>
  <c r="L730" i="1"/>
  <c r="L731" i="1"/>
  <c r="M722" i="1"/>
  <c r="M723" i="1"/>
  <c r="M724" i="1"/>
  <c r="M725" i="1"/>
  <c r="M726" i="1"/>
  <c r="M727" i="1"/>
  <c r="M728" i="1"/>
  <c r="M729" i="1"/>
  <c r="M730" i="1"/>
  <c r="M731" i="1"/>
  <c r="L712" i="2"/>
  <c r="L713" i="2"/>
  <c r="L714" i="2"/>
  <c r="L715" i="2"/>
  <c r="L716" i="2"/>
  <c r="L717" i="2"/>
  <c r="L718" i="2"/>
  <c r="L719" i="2"/>
  <c r="L720" i="2"/>
  <c r="L721" i="2"/>
  <c r="M712" i="2"/>
  <c r="M713" i="2"/>
  <c r="M714" i="2"/>
  <c r="M715" i="2"/>
  <c r="M716" i="2"/>
  <c r="M717" i="2"/>
  <c r="M718" i="2"/>
  <c r="M719" i="2"/>
  <c r="M720" i="2"/>
  <c r="M721" i="2"/>
  <c r="L712" i="1"/>
  <c r="L713" i="1"/>
  <c r="L714" i="1"/>
  <c r="L715" i="1"/>
  <c r="L716" i="1"/>
  <c r="L717" i="1"/>
  <c r="L718" i="1"/>
  <c r="L719" i="1"/>
  <c r="L720" i="1"/>
  <c r="L721" i="1"/>
  <c r="M712" i="1"/>
  <c r="M713" i="1"/>
  <c r="M714" i="1"/>
  <c r="M715" i="1"/>
  <c r="M716" i="1"/>
  <c r="M717" i="1"/>
  <c r="M718" i="1"/>
  <c r="M719" i="1"/>
  <c r="M720" i="1"/>
  <c r="M721" i="1"/>
  <c r="L702" i="1"/>
  <c r="L703" i="1"/>
  <c r="L704" i="1"/>
  <c r="L705" i="1"/>
  <c r="L706" i="1"/>
  <c r="L707" i="1"/>
  <c r="L708" i="1"/>
  <c r="L709" i="1"/>
  <c r="L710" i="1"/>
  <c r="L711" i="1"/>
  <c r="M702" i="1"/>
  <c r="M703" i="1"/>
  <c r="M704" i="1"/>
  <c r="M705" i="1"/>
  <c r="M706" i="1"/>
  <c r="M707" i="1"/>
  <c r="M708" i="1"/>
  <c r="M709" i="1"/>
  <c r="M710" i="1"/>
  <c r="M711" i="1"/>
  <c r="L702" i="2"/>
  <c r="L703" i="2"/>
  <c r="L704" i="2"/>
  <c r="L705" i="2"/>
  <c r="L706" i="2"/>
  <c r="L707" i="2"/>
  <c r="L708" i="2"/>
  <c r="L709" i="2"/>
  <c r="L710" i="2"/>
  <c r="L711" i="2"/>
  <c r="M702" i="2"/>
  <c r="M703" i="2"/>
  <c r="M704" i="2"/>
  <c r="M705" i="2"/>
  <c r="M706" i="2"/>
  <c r="M707" i="2"/>
  <c r="M708" i="2"/>
  <c r="M709" i="2"/>
  <c r="M710" i="2"/>
  <c r="M711" i="2"/>
  <c r="L692" i="2"/>
  <c r="L693" i="2"/>
  <c r="L694" i="2"/>
  <c r="L695" i="2"/>
  <c r="L696" i="2"/>
  <c r="L697" i="2"/>
  <c r="L698" i="2"/>
  <c r="L699" i="2"/>
  <c r="L700" i="2"/>
  <c r="L701" i="2"/>
  <c r="M692" i="2"/>
  <c r="M693" i="2"/>
  <c r="M694" i="2"/>
  <c r="M695" i="2"/>
  <c r="M696" i="2"/>
  <c r="M697" i="2"/>
  <c r="M698" i="2"/>
  <c r="M699" i="2"/>
  <c r="M700" i="2"/>
  <c r="M701" i="2"/>
  <c r="L692" i="1"/>
  <c r="L693" i="1"/>
  <c r="L694" i="1"/>
  <c r="L695" i="1"/>
  <c r="L696" i="1"/>
  <c r="L697" i="1"/>
  <c r="L698" i="1"/>
  <c r="L699" i="1"/>
  <c r="L700" i="1"/>
  <c r="L701" i="1"/>
  <c r="M692" i="1"/>
  <c r="M693" i="1"/>
  <c r="M694" i="1"/>
  <c r="M695" i="1"/>
  <c r="M696" i="1"/>
  <c r="M697" i="1"/>
  <c r="M698" i="1"/>
  <c r="M699" i="1"/>
  <c r="M700" i="1"/>
  <c r="M701" i="1"/>
  <c r="L682" i="1"/>
  <c r="L683" i="1"/>
  <c r="L684" i="1"/>
  <c r="L685" i="1"/>
  <c r="L686" i="1"/>
  <c r="L687" i="1"/>
  <c r="L688" i="1"/>
  <c r="L689" i="1"/>
  <c r="L690" i="1"/>
  <c r="L691" i="1"/>
  <c r="M682" i="1"/>
  <c r="M683" i="1"/>
  <c r="M684" i="1"/>
  <c r="M685" i="1"/>
  <c r="M686" i="1"/>
  <c r="M687" i="1"/>
  <c r="M688" i="1"/>
  <c r="M689" i="1"/>
  <c r="M690" i="1"/>
  <c r="M691" i="1"/>
  <c r="L682" i="2"/>
  <c r="L683" i="2"/>
  <c r="L684" i="2"/>
  <c r="L685" i="2"/>
  <c r="L686" i="2"/>
  <c r="L687" i="2"/>
  <c r="L688" i="2"/>
  <c r="L689" i="2"/>
  <c r="L690" i="2"/>
  <c r="L691" i="2"/>
  <c r="M682" i="2"/>
  <c r="M683" i="2"/>
  <c r="M684" i="2"/>
  <c r="M685" i="2"/>
  <c r="M686" i="2"/>
  <c r="M687" i="2"/>
  <c r="M688" i="2"/>
  <c r="M689" i="2"/>
  <c r="M690" i="2"/>
  <c r="M691" i="2"/>
  <c r="L672" i="2"/>
  <c r="L673" i="2"/>
  <c r="L674" i="2"/>
  <c r="L675" i="2"/>
  <c r="L676" i="2"/>
  <c r="L677" i="2"/>
  <c r="L678" i="2"/>
  <c r="L679" i="2"/>
  <c r="L680" i="2"/>
  <c r="L681" i="2"/>
  <c r="M672" i="2"/>
  <c r="M673" i="2"/>
  <c r="M674" i="2"/>
  <c r="M675" i="2"/>
  <c r="M676" i="2"/>
  <c r="M677" i="2"/>
  <c r="M678" i="2"/>
  <c r="M679" i="2"/>
  <c r="M680" i="2"/>
  <c r="M681" i="2"/>
  <c r="L672" i="1"/>
  <c r="L673" i="1"/>
  <c r="L674" i="1"/>
  <c r="L675" i="1"/>
  <c r="L676" i="1"/>
  <c r="L677" i="1"/>
  <c r="L678" i="1"/>
  <c r="L679" i="1"/>
  <c r="L680" i="1"/>
  <c r="L681" i="1"/>
  <c r="M673" i="1"/>
  <c r="M674" i="1"/>
  <c r="M675" i="1"/>
  <c r="M676" i="1"/>
  <c r="M677" i="1"/>
  <c r="M678" i="1"/>
  <c r="M679" i="1"/>
  <c r="M680" i="1"/>
  <c r="M681" i="1"/>
  <c r="M672" i="1"/>
  <c r="L662" i="2"/>
  <c r="L663" i="2"/>
  <c r="L664" i="2"/>
  <c r="L665" i="2"/>
  <c r="L666" i="2"/>
  <c r="L667" i="2"/>
  <c r="L668" i="2"/>
  <c r="L669" i="2"/>
  <c r="L670" i="2"/>
  <c r="L671" i="2"/>
  <c r="M662" i="2"/>
  <c r="M663" i="2"/>
  <c r="M664" i="2"/>
  <c r="M665" i="2"/>
  <c r="M666" i="2"/>
  <c r="M667" i="2"/>
  <c r="M668" i="2"/>
  <c r="M669" i="2"/>
  <c r="M670" i="2"/>
  <c r="M671" i="2"/>
  <c r="L662" i="1"/>
  <c r="L663" i="1"/>
  <c r="L664" i="1"/>
  <c r="L665" i="1"/>
  <c r="L666" i="1"/>
  <c r="L667" i="1"/>
  <c r="L668" i="1"/>
  <c r="L669" i="1"/>
  <c r="L670" i="1"/>
  <c r="L671" i="1"/>
  <c r="M662" i="1"/>
  <c r="M663" i="1"/>
  <c r="M664" i="1"/>
  <c r="M665" i="1"/>
  <c r="M666" i="1"/>
  <c r="M667" i="1"/>
  <c r="M668" i="1"/>
  <c r="M669" i="1"/>
  <c r="M670" i="1"/>
  <c r="M671" i="1"/>
  <c r="L652" i="2"/>
  <c r="L653" i="2"/>
  <c r="L654" i="2"/>
  <c r="L655" i="2"/>
  <c r="L656" i="2"/>
  <c r="L657" i="2"/>
  <c r="L658" i="2"/>
  <c r="L659" i="2"/>
  <c r="L660" i="2"/>
  <c r="L661" i="2"/>
  <c r="M652" i="2"/>
  <c r="M653" i="2"/>
  <c r="M654" i="2"/>
  <c r="M655" i="2"/>
  <c r="M656" i="2"/>
  <c r="M657" i="2"/>
  <c r="M658" i="2"/>
  <c r="M659" i="2"/>
  <c r="M660" i="2"/>
  <c r="M661" i="2"/>
  <c r="L652" i="1"/>
  <c r="L653" i="1"/>
  <c r="L654" i="1"/>
  <c r="L655" i="1"/>
  <c r="L656" i="1"/>
  <c r="L657" i="1"/>
  <c r="L658" i="1"/>
  <c r="L659" i="1"/>
  <c r="L660" i="1"/>
  <c r="L661" i="1"/>
  <c r="M652" i="1"/>
  <c r="M653" i="1"/>
  <c r="M654" i="1"/>
  <c r="M655" i="1"/>
  <c r="M656" i="1"/>
  <c r="M657" i="1"/>
  <c r="M658" i="1"/>
  <c r="M659" i="1"/>
  <c r="M660" i="1"/>
  <c r="M661" i="1"/>
  <c r="L642" i="2"/>
  <c r="L643" i="2"/>
  <c r="L644" i="2"/>
  <c r="L645" i="2"/>
  <c r="L646" i="2"/>
  <c r="L647" i="2"/>
  <c r="L648" i="2"/>
  <c r="L649" i="2"/>
  <c r="L650" i="2"/>
  <c r="L651" i="2"/>
  <c r="M642" i="2"/>
  <c r="M643" i="2"/>
  <c r="M644" i="2"/>
  <c r="M645" i="2"/>
  <c r="M646" i="2"/>
  <c r="M647" i="2"/>
  <c r="M648" i="2"/>
  <c r="M649" i="2"/>
  <c r="M650" i="2"/>
  <c r="M651" i="2"/>
  <c r="L642" i="1"/>
  <c r="L643" i="1"/>
  <c r="L644" i="1"/>
  <c r="L645" i="1"/>
  <c r="L646" i="1"/>
  <c r="L647" i="1"/>
  <c r="L648" i="1"/>
  <c r="L649" i="1"/>
  <c r="L650" i="1"/>
  <c r="L651" i="1"/>
  <c r="M642" i="1"/>
  <c r="M643" i="1"/>
  <c r="M644" i="1"/>
  <c r="M645" i="1"/>
  <c r="M646" i="1"/>
  <c r="M647" i="1"/>
  <c r="M648" i="1"/>
  <c r="M649" i="1"/>
  <c r="M650" i="1"/>
  <c r="M651" i="1"/>
  <c r="L632" i="2"/>
  <c r="L633" i="2"/>
  <c r="L634" i="2"/>
  <c r="L635" i="2"/>
  <c r="L636" i="2"/>
  <c r="L637" i="2"/>
  <c r="L638" i="2"/>
  <c r="L639" i="2"/>
  <c r="L640" i="2"/>
  <c r="L641" i="2"/>
  <c r="M632" i="2"/>
  <c r="M633" i="2"/>
  <c r="M634" i="2"/>
  <c r="M635" i="2"/>
  <c r="M636" i="2"/>
  <c r="M637" i="2"/>
  <c r="M638" i="2"/>
  <c r="M639" i="2"/>
  <c r="M640" i="2"/>
  <c r="M641" i="2"/>
  <c r="L632" i="1"/>
  <c r="L633" i="1"/>
  <c r="L634" i="1"/>
  <c r="L635" i="1"/>
  <c r="L636" i="1"/>
  <c r="L637" i="1"/>
  <c r="L638" i="1"/>
  <c r="L639" i="1"/>
  <c r="L640" i="1"/>
  <c r="L641" i="1"/>
  <c r="M632" i="1"/>
  <c r="M633" i="1"/>
  <c r="M634" i="1"/>
  <c r="M635" i="1"/>
  <c r="M636" i="1"/>
  <c r="M637" i="1"/>
  <c r="M638" i="1"/>
  <c r="M639" i="1"/>
  <c r="M640" i="1"/>
  <c r="M641" i="1"/>
  <c r="L622" i="2"/>
  <c r="L623" i="2"/>
  <c r="L624" i="2"/>
  <c r="L625" i="2"/>
  <c r="L626" i="2"/>
  <c r="L627" i="2"/>
  <c r="L628" i="2"/>
  <c r="L629" i="2"/>
  <c r="L630" i="2"/>
  <c r="L631" i="2"/>
  <c r="M622" i="2"/>
  <c r="M623" i="2"/>
  <c r="M624" i="2"/>
  <c r="M625" i="2"/>
  <c r="M626" i="2"/>
  <c r="M627" i="2"/>
  <c r="M628" i="2"/>
  <c r="M629" i="2"/>
  <c r="M630" i="2"/>
  <c r="M631" i="2"/>
  <c r="L622" i="1"/>
  <c r="L623" i="1"/>
  <c r="L624" i="1"/>
  <c r="L625" i="1"/>
  <c r="L626" i="1"/>
  <c r="L627" i="1"/>
  <c r="L628" i="1"/>
  <c r="L629" i="1"/>
  <c r="L630" i="1"/>
  <c r="L631" i="1"/>
  <c r="M622" i="1"/>
  <c r="M623" i="1"/>
  <c r="M624" i="1"/>
  <c r="M625" i="1"/>
  <c r="M626" i="1"/>
  <c r="M627" i="1"/>
  <c r="M628" i="1"/>
  <c r="M629" i="1"/>
  <c r="M630" i="1"/>
  <c r="M631" i="1"/>
  <c r="L612" i="2"/>
  <c r="L613" i="2"/>
  <c r="L614" i="2"/>
  <c r="L615" i="2"/>
  <c r="L616" i="2"/>
  <c r="L617" i="2"/>
  <c r="L618" i="2"/>
  <c r="L619" i="2"/>
  <c r="L620" i="2"/>
  <c r="L621" i="2"/>
  <c r="M612" i="2"/>
  <c r="M613" i="2"/>
  <c r="M614" i="2"/>
  <c r="M615" i="2"/>
  <c r="M616" i="2"/>
  <c r="M617" i="2"/>
  <c r="M618" i="2"/>
  <c r="M619" i="2"/>
  <c r="M620" i="2"/>
  <c r="M621" i="2"/>
  <c r="L612" i="1"/>
  <c r="L613" i="1"/>
  <c r="L614" i="1"/>
  <c r="L615" i="1"/>
  <c r="L616" i="1"/>
  <c r="L617" i="1"/>
  <c r="L618" i="1"/>
  <c r="L619" i="1"/>
  <c r="L620" i="1"/>
  <c r="L621" i="1"/>
  <c r="M612" i="1"/>
  <c r="M613" i="1"/>
  <c r="M614" i="1"/>
  <c r="M615" i="1"/>
  <c r="M616" i="1"/>
  <c r="M617" i="1"/>
  <c r="M618" i="1"/>
  <c r="M619" i="1"/>
  <c r="M620" i="1"/>
  <c r="M621" i="1"/>
  <c r="L602" i="2"/>
  <c r="L603" i="2"/>
  <c r="L604" i="2"/>
  <c r="L605" i="2"/>
  <c r="L606" i="2"/>
  <c r="L607" i="2"/>
  <c r="L608" i="2"/>
  <c r="L609" i="2"/>
  <c r="L610" i="2"/>
  <c r="L611" i="2"/>
  <c r="M602" i="2"/>
  <c r="M603" i="2"/>
  <c r="M604" i="2"/>
  <c r="M605" i="2"/>
  <c r="M606" i="2"/>
  <c r="M607" i="2"/>
  <c r="M608" i="2"/>
  <c r="M609" i="2"/>
  <c r="M610" i="2"/>
  <c r="M611" i="2"/>
  <c r="L602" i="1"/>
  <c r="L603" i="1"/>
  <c r="L604" i="1"/>
  <c r="L605" i="1"/>
  <c r="L606" i="1"/>
  <c r="L607" i="1"/>
  <c r="L608" i="1"/>
  <c r="L609" i="1"/>
  <c r="L610" i="1"/>
  <c r="L611" i="1"/>
  <c r="M602" i="1"/>
  <c r="M603" i="1"/>
  <c r="M604" i="1"/>
  <c r="M605" i="1"/>
  <c r="M606" i="1"/>
  <c r="M607" i="1"/>
  <c r="M608" i="1"/>
  <c r="M609" i="1"/>
  <c r="M610" i="1"/>
  <c r="M611" i="1"/>
  <c r="L592" i="2"/>
  <c r="L593" i="2"/>
  <c r="L594" i="2"/>
  <c r="L595" i="2"/>
  <c r="L596" i="2"/>
  <c r="L597" i="2"/>
  <c r="L598" i="2"/>
  <c r="L599" i="2"/>
  <c r="L600" i="2"/>
  <c r="L601" i="2"/>
  <c r="M592" i="2"/>
  <c r="M593" i="2"/>
  <c r="M594" i="2"/>
  <c r="M595" i="2"/>
  <c r="M596" i="2"/>
  <c r="M597" i="2"/>
  <c r="M598" i="2"/>
  <c r="M599" i="2"/>
  <c r="M600" i="2"/>
  <c r="M601" i="2"/>
  <c r="L592" i="1"/>
  <c r="L593" i="1"/>
  <c r="L594" i="1"/>
  <c r="L595" i="1"/>
  <c r="L596" i="1"/>
  <c r="L597" i="1"/>
  <c r="L598" i="1"/>
  <c r="L599" i="1"/>
  <c r="L600" i="1"/>
  <c r="L601" i="1"/>
  <c r="M592" i="1"/>
  <c r="M593" i="1"/>
  <c r="M594" i="1"/>
  <c r="M595" i="1"/>
  <c r="M596" i="1"/>
  <c r="M597" i="1"/>
  <c r="M598" i="1"/>
  <c r="M599" i="1"/>
  <c r="M600" i="1"/>
  <c r="M601" i="1"/>
  <c r="L582" i="2"/>
  <c r="L583" i="2"/>
  <c r="L584" i="2"/>
  <c r="L585" i="2"/>
  <c r="L586" i="2"/>
  <c r="L587" i="2"/>
  <c r="L588" i="2"/>
  <c r="L589" i="2"/>
  <c r="L590" i="2"/>
  <c r="L591" i="2"/>
  <c r="M582" i="2"/>
  <c r="M583" i="2"/>
  <c r="M584" i="2"/>
  <c r="M585" i="2"/>
  <c r="M586" i="2"/>
  <c r="M587" i="2"/>
  <c r="M588" i="2"/>
  <c r="M589" i="2"/>
  <c r="M590" i="2"/>
  <c r="M591" i="2"/>
  <c r="L582" i="1"/>
  <c r="L583" i="1"/>
  <c r="L584" i="1"/>
  <c r="L585" i="1"/>
  <c r="L586" i="1"/>
  <c r="L587" i="1"/>
  <c r="L588" i="1"/>
  <c r="L589" i="1"/>
  <c r="L590" i="1"/>
  <c r="L591" i="1"/>
  <c r="M582" i="1"/>
  <c r="M583" i="1"/>
  <c r="M584" i="1"/>
  <c r="M585" i="1"/>
  <c r="M586" i="1"/>
  <c r="M587" i="1"/>
  <c r="M588" i="1"/>
  <c r="M589" i="1"/>
  <c r="M590" i="1"/>
  <c r="M591" i="1"/>
  <c r="L572" i="2"/>
  <c r="L573" i="2"/>
  <c r="L574" i="2"/>
  <c r="L575" i="2"/>
  <c r="L576" i="2"/>
  <c r="L577" i="2"/>
  <c r="L578" i="2"/>
  <c r="L579" i="2"/>
  <c r="L580" i="2"/>
  <c r="L581" i="2"/>
  <c r="M572" i="2"/>
  <c r="M573" i="2"/>
  <c r="M574" i="2"/>
  <c r="M575" i="2"/>
  <c r="M576" i="2"/>
  <c r="M577" i="2"/>
  <c r="M578" i="2"/>
  <c r="M579" i="2"/>
  <c r="M580" i="2"/>
  <c r="M581" i="2"/>
  <c r="L572" i="1"/>
  <c r="L573" i="1"/>
  <c r="L574" i="1"/>
  <c r="L575" i="1"/>
  <c r="L576" i="1"/>
  <c r="L577" i="1"/>
  <c r="L578" i="1"/>
  <c r="L579" i="1"/>
  <c r="L580" i="1"/>
  <c r="L581" i="1"/>
  <c r="M572" i="1"/>
  <c r="M573" i="1"/>
  <c r="M574" i="1"/>
  <c r="M575" i="1"/>
  <c r="M576" i="1"/>
  <c r="M577" i="1"/>
  <c r="M578" i="1"/>
  <c r="M579" i="1"/>
  <c r="M580" i="1"/>
  <c r="M581" i="1"/>
  <c r="L562" i="2"/>
  <c r="L563" i="2"/>
  <c r="L564" i="2"/>
  <c r="L565" i="2"/>
  <c r="L566" i="2"/>
  <c r="L567" i="2"/>
  <c r="L568" i="2"/>
  <c r="L569" i="2"/>
  <c r="L570" i="2"/>
  <c r="L571" i="2"/>
  <c r="M562" i="2"/>
  <c r="M563" i="2"/>
  <c r="M564" i="2"/>
  <c r="M565" i="2"/>
  <c r="M566" i="2"/>
  <c r="M567" i="2"/>
  <c r="M568" i="2"/>
  <c r="M569" i="2"/>
  <c r="M570" i="2"/>
  <c r="M571" i="2"/>
  <c r="L562" i="1"/>
  <c r="L563" i="1"/>
  <c r="L564" i="1"/>
  <c r="L565" i="1"/>
  <c r="L566" i="1"/>
  <c r="L567" i="1"/>
  <c r="L568" i="1"/>
  <c r="L569" i="1"/>
  <c r="L570" i="1"/>
  <c r="L571" i="1"/>
  <c r="M562" i="1"/>
  <c r="M563" i="1"/>
  <c r="M564" i="1"/>
  <c r="M565" i="1"/>
  <c r="M566" i="1"/>
  <c r="M567" i="1"/>
  <c r="M568" i="1"/>
  <c r="M569" i="1"/>
  <c r="M570" i="1"/>
  <c r="M571" i="1"/>
  <c r="L552" i="2"/>
  <c r="L553" i="2"/>
  <c r="L554" i="2"/>
  <c r="L555" i="2"/>
  <c r="L556" i="2"/>
  <c r="L557" i="2"/>
  <c r="L558" i="2"/>
  <c r="L559" i="2"/>
  <c r="L560" i="2"/>
  <c r="L561" i="2"/>
  <c r="M552" i="2"/>
  <c r="M553" i="2"/>
  <c r="M554" i="2"/>
  <c r="M555" i="2"/>
  <c r="M556" i="2"/>
  <c r="M557" i="2"/>
  <c r="M558" i="2"/>
  <c r="M559" i="2"/>
  <c r="M560" i="2"/>
  <c r="M561" i="2"/>
  <c r="L552" i="1"/>
  <c r="L553" i="1"/>
  <c r="L554" i="1"/>
  <c r="L555" i="1"/>
  <c r="L556" i="1"/>
  <c r="L557" i="1"/>
  <c r="L558" i="1"/>
  <c r="L559" i="1"/>
  <c r="L560" i="1"/>
  <c r="L561" i="1"/>
  <c r="M552" i="1"/>
  <c r="M553" i="1"/>
  <c r="M554" i="1"/>
  <c r="M555" i="1"/>
  <c r="M556" i="1"/>
  <c r="M557" i="1"/>
  <c r="M558" i="1"/>
  <c r="M559" i="1"/>
  <c r="M560" i="1"/>
  <c r="M561" i="1"/>
  <c r="L542" i="2"/>
  <c r="L543" i="2"/>
  <c r="L544" i="2"/>
  <c r="L545" i="2"/>
  <c r="L546" i="2"/>
  <c r="L547" i="2"/>
  <c r="L548" i="2"/>
  <c r="L549" i="2"/>
  <c r="L550" i="2"/>
  <c r="L551" i="2"/>
  <c r="M542" i="2"/>
  <c r="M543" i="2"/>
  <c r="M544" i="2"/>
  <c r="M545" i="2"/>
  <c r="M546" i="2"/>
  <c r="M547" i="2"/>
  <c r="M548" i="2"/>
  <c r="M549" i="2"/>
  <c r="M550" i="2"/>
  <c r="M551" i="2"/>
  <c r="L542" i="1"/>
  <c r="L543" i="1"/>
  <c r="L544" i="1"/>
  <c r="L545" i="1"/>
  <c r="L546" i="1"/>
  <c r="L547" i="1"/>
  <c r="L548" i="1"/>
  <c r="L549" i="1"/>
  <c r="L550" i="1"/>
  <c r="L551" i="1"/>
  <c r="M542" i="1"/>
  <c r="M543" i="1"/>
  <c r="M544" i="1"/>
  <c r="M545" i="1"/>
  <c r="M546" i="1"/>
  <c r="M547" i="1"/>
  <c r="M548" i="1"/>
  <c r="M549" i="1"/>
  <c r="M550" i="1"/>
  <c r="M551" i="1"/>
  <c r="L532" i="2"/>
  <c r="L533" i="2"/>
  <c r="L534" i="2"/>
  <c r="L535" i="2"/>
  <c r="L536" i="2"/>
  <c r="L537" i="2"/>
  <c r="L538" i="2"/>
  <c r="L539" i="2"/>
  <c r="L540" i="2"/>
  <c r="L541" i="2"/>
  <c r="M532" i="2"/>
  <c r="M533" i="2"/>
  <c r="M534" i="2"/>
  <c r="M535" i="2"/>
  <c r="M536" i="2"/>
  <c r="M537" i="2"/>
  <c r="M538" i="2"/>
  <c r="M539" i="2"/>
  <c r="M540" i="2"/>
  <c r="M541" i="2"/>
  <c r="L532" i="1"/>
  <c r="L533" i="1"/>
  <c r="L534" i="1"/>
  <c r="L535" i="1"/>
  <c r="L536" i="1"/>
  <c r="L537" i="1"/>
  <c r="L538" i="1"/>
  <c r="L539" i="1"/>
  <c r="L540" i="1"/>
  <c r="L541" i="1"/>
  <c r="M532" i="1"/>
  <c r="M533" i="1"/>
  <c r="M534" i="1"/>
  <c r="M535" i="1"/>
  <c r="M536" i="1"/>
  <c r="M537" i="1"/>
  <c r="M538" i="1"/>
  <c r="M539" i="1"/>
  <c r="M540" i="1"/>
  <c r="M541" i="1"/>
  <c r="L522" i="2"/>
  <c r="L523" i="2"/>
  <c r="L524" i="2"/>
  <c r="L525" i="2"/>
  <c r="L526" i="2"/>
  <c r="L527" i="2"/>
  <c r="L528" i="2"/>
  <c r="L529" i="2"/>
  <c r="L530" i="2"/>
  <c r="L531" i="2"/>
  <c r="M522" i="2"/>
  <c r="M523" i="2"/>
  <c r="M524" i="2"/>
  <c r="M525" i="2"/>
  <c r="M526" i="2"/>
  <c r="M527" i="2"/>
  <c r="M528" i="2"/>
  <c r="M529" i="2"/>
  <c r="M530" i="2"/>
  <c r="M531" i="2"/>
  <c r="L522" i="1"/>
  <c r="L523" i="1"/>
  <c r="L524" i="1"/>
  <c r="L525" i="1"/>
  <c r="L526" i="1"/>
  <c r="L527" i="1"/>
  <c r="L528" i="1"/>
  <c r="L529" i="1"/>
  <c r="L530" i="1"/>
  <c r="L531" i="1"/>
  <c r="M523" i="1"/>
  <c r="M524" i="1"/>
  <c r="M525" i="1"/>
  <c r="M526" i="1"/>
  <c r="M527" i="1"/>
  <c r="M528" i="1"/>
  <c r="M529" i="1"/>
  <c r="M530" i="1"/>
  <c r="M531" i="1"/>
  <c r="M522" i="1"/>
  <c r="L512" i="2"/>
  <c r="L513" i="2"/>
  <c r="L514" i="2"/>
  <c r="L515" i="2"/>
  <c r="L516" i="2"/>
  <c r="L517" i="2"/>
  <c r="L518" i="2"/>
  <c r="L519" i="2"/>
  <c r="L520" i="2"/>
  <c r="L521" i="2"/>
  <c r="M512" i="2"/>
  <c r="M513" i="2"/>
  <c r="M514" i="2"/>
  <c r="M515" i="2"/>
  <c r="M516" i="2"/>
  <c r="M517" i="2"/>
  <c r="M518" i="2"/>
  <c r="M519" i="2"/>
  <c r="M520" i="2"/>
  <c r="M521" i="2"/>
  <c r="L512" i="1"/>
  <c r="L513" i="1"/>
  <c r="L514" i="1"/>
  <c r="L515" i="1"/>
  <c r="L516" i="1"/>
  <c r="L517" i="1"/>
  <c r="L518" i="1"/>
  <c r="L519" i="1"/>
  <c r="L520" i="1"/>
  <c r="L521" i="1"/>
  <c r="M512" i="1"/>
  <c r="M513" i="1"/>
  <c r="M514" i="1"/>
  <c r="M515" i="1"/>
  <c r="M516" i="1"/>
  <c r="M517" i="1"/>
  <c r="M518" i="1"/>
  <c r="M519" i="1"/>
  <c r="M520" i="1"/>
  <c r="M521" i="1"/>
  <c r="L502" i="2"/>
  <c r="L503" i="2"/>
  <c r="L504" i="2"/>
  <c r="L505" i="2"/>
  <c r="L506" i="2"/>
  <c r="L507" i="2"/>
  <c r="L508" i="2"/>
  <c r="L509" i="2"/>
  <c r="L510" i="2"/>
  <c r="L511" i="2"/>
  <c r="M502" i="2"/>
  <c r="M503" i="2"/>
  <c r="M504" i="2"/>
  <c r="M505" i="2"/>
  <c r="M506" i="2"/>
  <c r="M507" i="2"/>
  <c r="M508" i="2"/>
  <c r="M509" i="2"/>
  <c r="M510" i="2"/>
  <c r="M511" i="2"/>
  <c r="L502" i="1"/>
  <c r="L503" i="1"/>
  <c r="L504" i="1"/>
  <c r="L505" i="1"/>
  <c r="L506" i="1"/>
  <c r="L507" i="1"/>
  <c r="L508" i="1"/>
  <c r="L509" i="1"/>
  <c r="L510" i="1"/>
  <c r="L511" i="1"/>
  <c r="M502" i="1"/>
  <c r="M503" i="1"/>
  <c r="M504" i="1"/>
  <c r="M505" i="1"/>
  <c r="M506" i="1"/>
  <c r="M507" i="1"/>
  <c r="M508" i="1"/>
  <c r="M509" i="1"/>
  <c r="M510" i="1"/>
  <c r="M511" i="1"/>
  <c r="L492" i="2"/>
  <c r="L493" i="2"/>
  <c r="L494" i="2"/>
  <c r="L495" i="2"/>
  <c r="L496" i="2"/>
  <c r="L497" i="2"/>
  <c r="L498" i="2"/>
  <c r="L499" i="2"/>
  <c r="L500" i="2"/>
  <c r="L501" i="2"/>
  <c r="M492" i="2"/>
  <c r="M493" i="2"/>
  <c r="M494" i="2"/>
  <c r="M495" i="2"/>
  <c r="M496" i="2"/>
  <c r="M497" i="2"/>
  <c r="M498" i="2"/>
  <c r="M499" i="2"/>
  <c r="M500" i="2"/>
  <c r="M501" i="2"/>
  <c r="L492" i="1"/>
  <c r="L493" i="1"/>
  <c r="L494" i="1"/>
  <c r="L495" i="1"/>
  <c r="L496" i="1"/>
  <c r="L497" i="1"/>
  <c r="L498" i="1"/>
  <c r="L499" i="1"/>
  <c r="L500" i="1"/>
  <c r="L501" i="1"/>
  <c r="M492" i="1"/>
  <c r="M493" i="1"/>
  <c r="M494" i="1"/>
  <c r="M495" i="1"/>
  <c r="M496" i="1"/>
  <c r="M497" i="1"/>
  <c r="M498" i="1"/>
  <c r="M499" i="1"/>
  <c r="M500" i="1"/>
  <c r="M501" i="1"/>
  <c r="L482" i="2"/>
  <c r="L483" i="2"/>
  <c r="L484" i="2"/>
  <c r="L485" i="2"/>
  <c r="L486" i="2"/>
  <c r="L487" i="2"/>
  <c r="L488" i="2"/>
  <c r="L489" i="2"/>
  <c r="L490" i="2"/>
  <c r="L491" i="2"/>
  <c r="M482" i="2"/>
  <c r="M483" i="2"/>
  <c r="M484" i="2"/>
  <c r="M485" i="2"/>
  <c r="M486" i="2"/>
  <c r="M487" i="2"/>
  <c r="M488" i="2"/>
  <c r="M489" i="2"/>
  <c r="M490" i="2"/>
  <c r="M491" i="2"/>
  <c r="L482" i="1"/>
  <c r="L483" i="1"/>
  <c r="L484" i="1"/>
  <c r="L485" i="1"/>
  <c r="L486" i="1"/>
  <c r="L487" i="1"/>
  <c r="L488" i="1"/>
  <c r="L489" i="1"/>
  <c r="L490" i="1"/>
  <c r="L491" i="1"/>
  <c r="M482" i="1"/>
  <c r="M483" i="1"/>
  <c r="M484" i="1"/>
  <c r="M485" i="1"/>
  <c r="M486" i="1"/>
  <c r="M487" i="1"/>
  <c r="M488" i="1"/>
  <c r="M489" i="1"/>
  <c r="M490" i="1"/>
  <c r="M491" i="1"/>
  <c r="L476" i="1"/>
  <c r="L472" i="2"/>
  <c r="L473" i="2"/>
  <c r="L474" i="2"/>
  <c r="L475" i="2"/>
  <c r="L476" i="2"/>
  <c r="L477" i="2"/>
  <c r="L478" i="2"/>
  <c r="L479" i="2"/>
  <c r="L480" i="2"/>
  <c r="L481" i="2"/>
  <c r="M472" i="2"/>
  <c r="M473" i="2"/>
  <c r="M474" i="2"/>
  <c r="M475" i="2"/>
  <c r="M476" i="2"/>
  <c r="M477" i="2"/>
  <c r="M478" i="2"/>
  <c r="M479" i="2"/>
  <c r="M480" i="2"/>
  <c r="M481" i="2"/>
  <c r="L472" i="1"/>
  <c r="L473" i="1"/>
  <c r="L474" i="1"/>
  <c r="L475" i="1"/>
  <c r="L477" i="1"/>
  <c r="L478" i="1"/>
  <c r="L479" i="1"/>
  <c r="L480" i="1"/>
  <c r="L481" i="1"/>
  <c r="M472" i="1"/>
  <c r="M473" i="1"/>
  <c r="M474" i="1"/>
  <c r="M475" i="1"/>
  <c r="M476" i="1"/>
  <c r="M477" i="1"/>
  <c r="M478" i="1"/>
  <c r="M479" i="1"/>
  <c r="M480" i="1"/>
  <c r="M481" i="1"/>
  <c r="L462" i="2"/>
  <c r="L463" i="2"/>
  <c r="L464" i="2"/>
  <c r="L465" i="2"/>
  <c r="L466" i="2"/>
  <c r="L467" i="2"/>
  <c r="L468" i="2"/>
  <c r="L469" i="2"/>
  <c r="L470" i="2"/>
  <c r="L471" i="2"/>
  <c r="M462" i="2"/>
  <c r="M463" i="2"/>
  <c r="M464" i="2"/>
  <c r="M465" i="2"/>
  <c r="M466" i="2"/>
  <c r="M467" i="2"/>
  <c r="M468" i="2"/>
  <c r="M469" i="2"/>
  <c r="M470" i="2"/>
  <c r="M471" i="2"/>
  <c r="L462" i="1"/>
  <c r="L463" i="1"/>
  <c r="L464" i="1"/>
  <c r="L465" i="1"/>
  <c r="L466" i="1"/>
  <c r="L467" i="1"/>
  <c r="L468" i="1"/>
  <c r="L469" i="1"/>
  <c r="L470" i="1"/>
  <c r="L471" i="1"/>
  <c r="M462" i="1"/>
  <c r="M463" i="1"/>
  <c r="M464" i="1"/>
  <c r="M465" i="1"/>
  <c r="M466" i="1"/>
  <c r="M467" i="1"/>
  <c r="M468" i="1"/>
  <c r="M469" i="1"/>
  <c r="M470" i="1"/>
  <c r="M471" i="1"/>
  <c r="L452" i="2"/>
  <c r="L453" i="2"/>
  <c r="L454" i="2"/>
  <c r="L455" i="2"/>
  <c r="L456" i="2"/>
  <c r="L457" i="2"/>
  <c r="L458" i="2"/>
  <c r="L459" i="2"/>
  <c r="L460" i="2"/>
  <c r="L461" i="2"/>
  <c r="M452" i="2"/>
  <c r="M453" i="2"/>
  <c r="M454" i="2"/>
  <c r="M455" i="2"/>
  <c r="M456" i="2"/>
  <c r="M457" i="2"/>
  <c r="M458" i="2"/>
  <c r="M459" i="2"/>
  <c r="M460" i="2"/>
  <c r="M461" i="2"/>
  <c r="L452" i="1"/>
  <c r="L453" i="1"/>
  <c r="L454" i="1"/>
  <c r="L455" i="1"/>
  <c r="L456" i="1"/>
  <c r="L457" i="1"/>
  <c r="L458" i="1"/>
  <c r="L459" i="1"/>
  <c r="L460" i="1"/>
  <c r="L461" i="1"/>
  <c r="M452" i="1"/>
  <c r="M453" i="1"/>
  <c r="M454" i="1"/>
  <c r="M455" i="1"/>
  <c r="M456" i="1"/>
  <c r="M457" i="1"/>
  <c r="M458" i="1"/>
  <c r="M459" i="1"/>
  <c r="M460" i="1"/>
  <c r="M461" i="1"/>
  <c r="L442" i="2"/>
  <c r="L443" i="2"/>
  <c r="L444" i="2"/>
  <c r="L445" i="2"/>
  <c r="L446" i="2"/>
  <c r="L447" i="2"/>
  <c r="L448" i="2"/>
  <c r="L449" i="2"/>
  <c r="L450" i="2"/>
  <c r="L451" i="2"/>
  <c r="M442" i="2"/>
  <c r="M443" i="2"/>
  <c r="M444" i="2"/>
  <c r="M445" i="2"/>
  <c r="M446" i="2"/>
  <c r="M447" i="2"/>
  <c r="M448" i="2"/>
  <c r="M449" i="2"/>
  <c r="M450" i="2"/>
  <c r="M451" i="2"/>
  <c r="L442" i="1"/>
  <c r="L443" i="1"/>
  <c r="L444" i="1"/>
  <c r="L445" i="1"/>
  <c r="L446" i="1"/>
  <c r="L447" i="1"/>
  <c r="L448" i="1"/>
  <c r="L449" i="1"/>
  <c r="L450" i="1"/>
  <c r="L451" i="1"/>
  <c r="M442" i="1"/>
  <c r="M443" i="1"/>
  <c r="M444" i="1"/>
  <c r="M445" i="1"/>
  <c r="M446" i="1"/>
  <c r="M447" i="1"/>
  <c r="M448" i="1"/>
  <c r="M449" i="1"/>
  <c r="M450" i="1"/>
  <c r="M451" i="1"/>
  <c r="L432" i="2"/>
  <c r="L433" i="2"/>
  <c r="L434" i="2"/>
  <c r="L435" i="2"/>
  <c r="L436" i="2"/>
  <c r="L437" i="2"/>
  <c r="L438" i="2"/>
  <c r="L439" i="2"/>
  <c r="L440" i="2"/>
  <c r="L441" i="2"/>
  <c r="M432" i="2"/>
  <c r="M433" i="2"/>
  <c r="M434" i="2"/>
  <c r="M435" i="2"/>
  <c r="M436" i="2"/>
  <c r="M437" i="2"/>
  <c r="M438" i="2"/>
  <c r="M439" i="2"/>
  <c r="M440" i="2"/>
  <c r="M441" i="2"/>
  <c r="L432" i="1"/>
  <c r="L433" i="1"/>
  <c r="L434" i="1"/>
  <c r="L435" i="1"/>
  <c r="L436" i="1"/>
  <c r="L437" i="1"/>
  <c r="L438" i="1"/>
  <c r="L439" i="1"/>
  <c r="L440" i="1"/>
  <c r="L441" i="1"/>
  <c r="M432" i="1"/>
  <c r="M433" i="1"/>
  <c r="M434" i="1"/>
  <c r="M435" i="1"/>
  <c r="M436" i="1"/>
  <c r="M437" i="1"/>
  <c r="M438" i="1"/>
  <c r="M439" i="1"/>
  <c r="M440" i="1"/>
  <c r="M441" i="1"/>
  <c r="L422" i="2"/>
  <c r="L423" i="2"/>
  <c r="L424" i="2"/>
  <c r="L425" i="2"/>
  <c r="L426" i="2"/>
  <c r="L427" i="2"/>
  <c r="L428" i="2"/>
  <c r="L429" i="2"/>
  <c r="L430" i="2"/>
  <c r="L431" i="2"/>
  <c r="M422" i="2"/>
  <c r="M423" i="2"/>
  <c r="M424" i="2"/>
  <c r="M425" i="2"/>
  <c r="M426" i="2"/>
  <c r="M427" i="2"/>
  <c r="M428" i="2"/>
  <c r="M429" i="2"/>
  <c r="M430" i="2"/>
  <c r="M431" i="2"/>
  <c r="L422" i="1"/>
  <c r="L423" i="1"/>
  <c r="L424" i="1"/>
  <c r="L425" i="1"/>
  <c r="L426" i="1"/>
  <c r="L427" i="1"/>
  <c r="L428" i="1"/>
  <c r="L429" i="1"/>
  <c r="L430" i="1"/>
  <c r="L431" i="1"/>
  <c r="M422" i="1"/>
  <c r="M423" i="1"/>
  <c r="M424" i="1"/>
  <c r="M425" i="1"/>
  <c r="M426" i="1"/>
  <c r="M427" i="1"/>
  <c r="M428" i="1"/>
  <c r="M429" i="1"/>
  <c r="M430" i="1"/>
  <c r="M431" i="1"/>
  <c r="L412" i="2"/>
  <c r="L413" i="2"/>
  <c r="L414" i="2"/>
  <c r="L415" i="2"/>
  <c r="L416" i="2"/>
  <c r="L417" i="2"/>
  <c r="L418" i="2"/>
  <c r="L419" i="2"/>
  <c r="L420" i="2"/>
  <c r="L421" i="2"/>
  <c r="M412" i="2"/>
  <c r="M413" i="2"/>
  <c r="M414" i="2"/>
  <c r="M415" i="2"/>
  <c r="M416" i="2"/>
  <c r="M417" i="2"/>
  <c r="M418" i="2"/>
  <c r="M419" i="2"/>
  <c r="M420" i="2"/>
  <c r="M421" i="2"/>
  <c r="L412" i="1"/>
  <c r="L413" i="1"/>
  <c r="L414" i="1"/>
  <c r="L415" i="1"/>
  <c r="L416" i="1"/>
  <c r="L417" i="1"/>
  <c r="L418" i="1"/>
  <c r="L419" i="1"/>
  <c r="L420" i="1"/>
  <c r="L421" i="1"/>
  <c r="M412" i="1"/>
  <c r="M413" i="1"/>
  <c r="M414" i="1"/>
  <c r="M415" i="1"/>
  <c r="M416" i="1"/>
  <c r="M417" i="1"/>
  <c r="M418" i="1"/>
  <c r="M419" i="1"/>
  <c r="M420" i="1"/>
  <c r="M421" i="1"/>
  <c r="L402" i="2"/>
  <c r="L403" i="2"/>
  <c r="L404" i="2"/>
  <c r="L405" i="2"/>
  <c r="L406" i="2"/>
  <c r="L407" i="2"/>
  <c r="L408" i="2"/>
  <c r="L409" i="2"/>
  <c r="L410" i="2"/>
  <c r="L411" i="2"/>
  <c r="M402" i="2"/>
  <c r="M403" i="2"/>
  <c r="M404" i="2"/>
  <c r="M405" i="2"/>
  <c r="M406" i="2"/>
  <c r="M407" i="2"/>
  <c r="M408" i="2"/>
  <c r="M409" i="2"/>
  <c r="M410" i="2"/>
  <c r="M411" i="2"/>
  <c r="L402" i="1"/>
  <c r="L403" i="1"/>
  <c r="L404" i="1"/>
  <c r="L405" i="1"/>
  <c r="L406" i="1"/>
  <c r="L407" i="1"/>
  <c r="L408" i="1"/>
  <c r="L409" i="1"/>
  <c r="L410" i="1"/>
  <c r="L411" i="1"/>
  <c r="M402" i="1"/>
  <c r="M403" i="1"/>
  <c r="M404" i="1"/>
  <c r="M405" i="1"/>
  <c r="M406" i="1"/>
  <c r="M407" i="1"/>
  <c r="M408" i="1"/>
  <c r="M409" i="1"/>
  <c r="M410" i="1"/>
  <c r="M411" i="1"/>
  <c r="L392" i="2"/>
  <c r="L393" i="2"/>
  <c r="L394" i="2"/>
  <c r="L395" i="2"/>
  <c r="L396" i="2"/>
  <c r="L397" i="2"/>
  <c r="L398" i="2"/>
  <c r="L399" i="2"/>
  <c r="L400" i="2"/>
  <c r="L401" i="2"/>
  <c r="M392" i="2"/>
  <c r="M393" i="2"/>
  <c r="M394" i="2"/>
  <c r="M395" i="2"/>
  <c r="M396" i="2"/>
  <c r="M397" i="2"/>
  <c r="M398" i="2"/>
  <c r="M399" i="2"/>
  <c r="M400" i="2"/>
  <c r="M401" i="2"/>
  <c r="L392" i="1"/>
  <c r="L393" i="1"/>
  <c r="L394" i="1"/>
  <c r="L395" i="1"/>
  <c r="L396" i="1"/>
  <c r="L397" i="1"/>
  <c r="L398" i="1"/>
  <c r="L399" i="1"/>
  <c r="L400" i="1"/>
  <c r="L401" i="1"/>
  <c r="M392" i="1"/>
  <c r="M393" i="1"/>
  <c r="M394" i="1"/>
  <c r="M395" i="1"/>
  <c r="M396" i="1"/>
  <c r="M397" i="1"/>
  <c r="M398" i="1"/>
  <c r="M399" i="1"/>
  <c r="M400" i="1"/>
  <c r="M401" i="1"/>
  <c r="L382" i="2"/>
  <c r="L383" i="2"/>
  <c r="L384" i="2"/>
  <c r="L385" i="2"/>
  <c r="L386" i="2"/>
  <c r="L387" i="2"/>
  <c r="L388" i="2"/>
  <c r="L389" i="2"/>
  <c r="L390" i="2"/>
  <c r="L391" i="2"/>
  <c r="M382" i="2"/>
  <c r="M383" i="2"/>
  <c r="M384" i="2"/>
  <c r="M385" i="2"/>
  <c r="M386" i="2"/>
  <c r="M387" i="2"/>
  <c r="M388" i="2"/>
  <c r="M389" i="2"/>
  <c r="M390" i="2"/>
  <c r="M391" i="2"/>
  <c r="L382" i="1"/>
  <c r="L383" i="1"/>
  <c r="L384" i="1"/>
  <c r="L385" i="1"/>
  <c r="L386" i="1"/>
  <c r="L387" i="1"/>
  <c r="L388" i="1"/>
  <c r="L389" i="1"/>
  <c r="L390" i="1"/>
  <c r="L391" i="1"/>
  <c r="M382" i="1"/>
  <c r="M383" i="1"/>
  <c r="M384" i="1"/>
  <c r="M385" i="1"/>
  <c r="M386" i="1"/>
  <c r="M387" i="1"/>
  <c r="M388" i="1"/>
  <c r="M389" i="1"/>
  <c r="M390" i="1"/>
  <c r="M391" i="1"/>
  <c r="L372" i="2"/>
  <c r="L373" i="2"/>
  <c r="L374" i="2"/>
  <c r="L375" i="2"/>
  <c r="L376" i="2"/>
  <c r="L377" i="2"/>
  <c r="L378" i="2"/>
  <c r="L379" i="2"/>
  <c r="L380" i="2"/>
  <c r="L381" i="2"/>
  <c r="M372" i="2"/>
  <c r="M373" i="2"/>
  <c r="M374" i="2"/>
  <c r="M375" i="2"/>
  <c r="M376" i="2"/>
  <c r="M377" i="2"/>
  <c r="M378" i="2"/>
  <c r="M379" i="2"/>
  <c r="M380" i="2"/>
  <c r="M381" i="2"/>
  <c r="L372" i="1"/>
  <c r="L373" i="1"/>
  <c r="L374" i="1"/>
  <c r="L375" i="1"/>
  <c r="L376" i="1"/>
  <c r="L377" i="1"/>
  <c r="L378" i="1"/>
  <c r="L379" i="1"/>
  <c r="L380" i="1"/>
  <c r="L381" i="1"/>
  <c r="M372" i="1"/>
  <c r="M373" i="1"/>
  <c r="M374" i="1"/>
  <c r="M375" i="1"/>
  <c r="M376" i="1"/>
  <c r="M377" i="1"/>
  <c r="M378" i="1"/>
  <c r="M379" i="1"/>
  <c r="M380" i="1"/>
  <c r="M381" i="1"/>
  <c r="L362" i="2"/>
  <c r="L363" i="2"/>
  <c r="L364" i="2"/>
  <c r="L365" i="2"/>
  <c r="L366" i="2"/>
  <c r="L367" i="2"/>
  <c r="L368" i="2"/>
  <c r="L369" i="2"/>
  <c r="L370" i="2"/>
  <c r="L371" i="2"/>
  <c r="M362" i="2"/>
  <c r="M363" i="2"/>
  <c r="M364" i="2"/>
  <c r="M365" i="2"/>
  <c r="M366" i="2"/>
  <c r="M367" i="2"/>
  <c r="M368" i="2"/>
  <c r="M369" i="2"/>
  <c r="M370" i="2"/>
  <c r="M371" i="2"/>
  <c r="L362" i="1"/>
  <c r="L363" i="1"/>
  <c r="L364" i="1"/>
  <c r="L365" i="1"/>
  <c r="L366" i="1"/>
  <c r="L367" i="1"/>
  <c r="L368" i="1"/>
  <c r="L369" i="1"/>
  <c r="L370" i="1"/>
  <c r="L371" i="1"/>
  <c r="M362" i="1"/>
  <c r="M363" i="1"/>
  <c r="M364" i="1"/>
  <c r="M365" i="1"/>
  <c r="M366" i="1"/>
  <c r="M367" i="1"/>
  <c r="M368" i="1"/>
  <c r="M369" i="1"/>
  <c r="M370" i="1"/>
  <c r="M371" i="1"/>
  <c r="L352" i="2"/>
  <c r="L353" i="2"/>
  <c r="L354" i="2"/>
  <c r="L355" i="2"/>
  <c r="L356" i="2"/>
  <c r="L357" i="2"/>
  <c r="L358" i="2"/>
  <c r="L359" i="2"/>
  <c r="L360" i="2"/>
  <c r="L361" i="2"/>
  <c r="M352" i="2"/>
  <c r="M353" i="2"/>
  <c r="M354" i="2"/>
  <c r="M355" i="2"/>
  <c r="M356" i="2"/>
  <c r="M357" i="2"/>
  <c r="M358" i="2"/>
  <c r="M359" i="2"/>
  <c r="M360" i="2"/>
  <c r="M361" i="2"/>
  <c r="L352" i="1"/>
  <c r="L353" i="1"/>
  <c r="L354" i="1"/>
  <c r="L355" i="1"/>
  <c r="L356" i="1"/>
  <c r="L357" i="1"/>
  <c r="L358" i="1"/>
  <c r="L359" i="1"/>
  <c r="L360" i="1"/>
  <c r="L361" i="1"/>
  <c r="M352" i="1"/>
  <c r="M353" i="1"/>
  <c r="M354" i="1"/>
  <c r="M355" i="1"/>
  <c r="M356" i="1"/>
  <c r="M357" i="1"/>
  <c r="M358" i="1"/>
  <c r="M359" i="1"/>
  <c r="M360" i="1"/>
  <c r="M361" i="1"/>
  <c r="L342" i="2"/>
  <c r="L343" i="2"/>
  <c r="L344" i="2"/>
  <c r="L345" i="2"/>
  <c r="L346" i="2"/>
  <c r="L347" i="2"/>
  <c r="L348" i="2"/>
  <c r="L349" i="2"/>
  <c r="L350" i="2"/>
  <c r="L351" i="2"/>
  <c r="M342" i="2"/>
  <c r="M343" i="2"/>
  <c r="M344" i="2"/>
  <c r="M345" i="2"/>
  <c r="M346" i="2"/>
  <c r="M347" i="2"/>
  <c r="M348" i="2"/>
  <c r="M349" i="2"/>
  <c r="M350" i="2"/>
  <c r="M351" i="2"/>
  <c r="L342" i="1"/>
  <c r="L343" i="1"/>
  <c r="L344" i="1"/>
  <c r="L345" i="1"/>
  <c r="L346" i="1"/>
  <c r="L347" i="1"/>
  <c r="L348" i="1"/>
  <c r="L349" i="1"/>
  <c r="L350" i="1"/>
  <c r="L351" i="1"/>
  <c r="M342" i="1"/>
  <c r="M343" i="1"/>
  <c r="M344" i="1"/>
  <c r="M345" i="1"/>
  <c r="M346" i="1"/>
  <c r="M347" i="1"/>
  <c r="M348" i="1"/>
  <c r="M349" i="1"/>
  <c r="M350" i="1"/>
  <c r="M351" i="1"/>
  <c r="L332" i="2"/>
  <c r="L333" i="2"/>
  <c r="L334" i="2"/>
  <c r="L335" i="2"/>
  <c r="L336" i="2"/>
  <c r="L337" i="2"/>
  <c r="L338" i="2"/>
  <c r="L339" i="2"/>
  <c r="L340" i="2"/>
  <c r="L341" i="2"/>
  <c r="M332" i="2"/>
  <c r="M333" i="2"/>
  <c r="M334" i="2"/>
  <c r="M335" i="2"/>
  <c r="M336" i="2"/>
  <c r="M337" i="2"/>
  <c r="M338" i="2"/>
  <c r="M339" i="2"/>
  <c r="M340" i="2"/>
  <c r="M341" i="2"/>
  <c r="L332" i="1"/>
  <c r="L333" i="1"/>
  <c r="L334" i="1"/>
  <c r="L335" i="1"/>
  <c r="L336" i="1"/>
  <c r="L337" i="1"/>
  <c r="L338" i="1"/>
  <c r="L339" i="1"/>
  <c r="L340" i="1"/>
  <c r="L341" i="1"/>
  <c r="M332" i="1"/>
  <c r="M333" i="1"/>
  <c r="M334" i="1"/>
  <c r="M335" i="1"/>
  <c r="M336" i="1"/>
  <c r="M337" i="1"/>
  <c r="M338" i="1"/>
  <c r="M339" i="1"/>
  <c r="M340" i="1"/>
  <c r="M341" i="1"/>
  <c r="L322" i="2"/>
  <c r="L323" i="2"/>
  <c r="L324" i="2"/>
  <c r="L325" i="2"/>
  <c r="L326" i="2"/>
  <c r="L327" i="2"/>
  <c r="L328" i="2"/>
  <c r="L329" i="2"/>
  <c r="L330" i="2"/>
  <c r="L331" i="2"/>
  <c r="M322" i="2"/>
  <c r="M323" i="2"/>
  <c r="M324" i="2"/>
  <c r="M325" i="2"/>
  <c r="M326" i="2"/>
  <c r="M327" i="2"/>
  <c r="M328" i="2"/>
  <c r="M329" i="2"/>
  <c r="M330" i="2"/>
  <c r="M331" i="2"/>
  <c r="L322" i="1"/>
  <c r="L323" i="1"/>
  <c r="L324" i="1"/>
  <c r="L325" i="1"/>
  <c r="L326" i="1"/>
  <c r="L327" i="1"/>
  <c r="L328" i="1"/>
  <c r="L329" i="1"/>
  <c r="L330" i="1"/>
  <c r="L331" i="1"/>
  <c r="M322" i="1"/>
  <c r="M323" i="1"/>
  <c r="M324" i="1"/>
  <c r="M325" i="1"/>
  <c r="M326" i="1"/>
  <c r="M327" i="1"/>
  <c r="M328" i="1"/>
  <c r="M329" i="1"/>
  <c r="M330" i="1"/>
  <c r="M331" i="1"/>
  <c r="L312" i="2"/>
  <c r="L313" i="2"/>
  <c r="L314" i="2"/>
  <c r="L315" i="2"/>
  <c r="L316" i="2"/>
  <c r="L317" i="2"/>
  <c r="L318" i="2"/>
  <c r="L319" i="2"/>
  <c r="L320" i="2"/>
  <c r="L321" i="2"/>
  <c r="M312" i="2"/>
  <c r="M313" i="2"/>
  <c r="M314" i="2"/>
  <c r="M315" i="2"/>
  <c r="M316" i="2"/>
  <c r="M317" i="2"/>
  <c r="M318" i="2"/>
  <c r="M319" i="2"/>
  <c r="M320" i="2"/>
  <c r="M321" i="2"/>
  <c r="L312" i="1"/>
  <c r="L313" i="1"/>
  <c r="L314" i="1"/>
  <c r="L315" i="1"/>
  <c r="L316" i="1"/>
  <c r="L317" i="1"/>
  <c r="L318" i="1"/>
  <c r="L319" i="1"/>
  <c r="L320" i="1"/>
  <c r="L321" i="1"/>
  <c r="M312" i="1"/>
  <c r="M313" i="1"/>
  <c r="M314" i="1"/>
  <c r="M315" i="1"/>
  <c r="M316" i="1"/>
  <c r="M317" i="1"/>
  <c r="M318" i="1"/>
  <c r="M319" i="1"/>
  <c r="M320" i="1"/>
  <c r="M321" i="1"/>
  <c r="L302" i="2"/>
  <c r="L303" i="2"/>
  <c r="L304" i="2"/>
  <c r="L305" i="2"/>
  <c r="L306" i="2"/>
  <c r="L307" i="2"/>
  <c r="L308" i="2"/>
  <c r="L309" i="2"/>
  <c r="L310" i="2"/>
  <c r="L311" i="2"/>
  <c r="M302" i="2"/>
  <c r="M303" i="2"/>
  <c r="M304" i="2"/>
  <c r="M305" i="2"/>
  <c r="M306" i="2"/>
  <c r="M307" i="2"/>
  <c r="M308" i="2"/>
  <c r="M309" i="2"/>
  <c r="M310" i="2"/>
  <c r="M311" i="2"/>
  <c r="L302" i="1"/>
  <c r="L303" i="1"/>
  <c r="L304" i="1"/>
  <c r="L305" i="1"/>
  <c r="L306" i="1"/>
  <c r="L307" i="1"/>
  <c r="L308" i="1"/>
  <c r="L309" i="1"/>
  <c r="L310" i="1"/>
  <c r="L311" i="1"/>
  <c r="M302" i="1"/>
  <c r="M303" i="1"/>
  <c r="M304" i="1"/>
  <c r="M305" i="1"/>
  <c r="M306" i="1"/>
  <c r="M307" i="1"/>
  <c r="M308" i="1"/>
  <c r="M309" i="1"/>
  <c r="M310" i="1"/>
  <c r="M311" i="1"/>
  <c r="L292" i="2"/>
  <c r="L293" i="2"/>
  <c r="L294" i="2"/>
  <c r="L295" i="2"/>
  <c r="L296" i="2"/>
  <c r="L297" i="2"/>
  <c r="L298" i="2"/>
  <c r="L299" i="2"/>
  <c r="L300" i="2"/>
  <c r="L301" i="2"/>
  <c r="M292" i="2"/>
  <c r="M293" i="2"/>
  <c r="M294" i="2"/>
  <c r="M295" i="2"/>
  <c r="M296" i="2"/>
  <c r="M297" i="2"/>
  <c r="M298" i="2"/>
  <c r="M299" i="2"/>
  <c r="M300" i="2"/>
  <c r="M301" i="2"/>
  <c r="L292" i="1"/>
  <c r="L293" i="1"/>
  <c r="L294" i="1"/>
  <c r="L295" i="1"/>
  <c r="L296" i="1"/>
  <c r="L297" i="1"/>
  <c r="L298" i="1"/>
  <c r="L299" i="1"/>
  <c r="L300" i="1"/>
  <c r="L301" i="1"/>
  <c r="M292" i="1"/>
  <c r="M293" i="1"/>
  <c r="M294" i="1"/>
  <c r="M295" i="1"/>
  <c r="M296" i="1"/>
  <c r="M297" i="1"/>
  <c r="M298" i="1"/>
  <c r="M299" i="1"/>
  <c r="M300" i="1"/>
  <c r="M301" i="1"/>
  <c r="L282" i="2"/>
  <c r="L283" i="2"/>
  <c r="L284" i="2"/>
  <c r="L285" i="2"/>
  <c r="L286" i="2"/>
  <c r="L287" i="2"/>
  <c r="L288" i="2"/>
  <c r="L289" i="2"/>
  <c r="L290" i="2"/>
  <c r="L291" i="2"/>
  <c r="M282" i="2"/>
  <c r="M283" i="2"/>
  <c r="M284" i="2"/>
  <c r="M285" i="2"/>
  <c r="M286" i="2"/>
  <c r="M287" i="2"/>
  <c r="M288" i="2"/>
  <c r="M289" i="2"/>
  <c r="M290" i="2"/>
  <c r="M291" i="2"/>
  <c r="L282" i="1"/>
  <c r="L283" i="1"/>
  <c r="L284" i="1"/>
  <c r="L285" i="1"/>
  <c r="L286" i="1"/>
  <c r="L287" i="1"/>
  <c r="L288" i="1"/>
  <c r="L289" i="1"/>
  <c r="L290" i="1"/>
  <c r="L291" i="1"/>
  <c r="M282" i="1"/>
  <c r="M283" i="1"/>
  <c r="M284" i="1"/>
  <c r="M285" i="1"/>
  <c r="M286" i="1"/>
  <c r="M287" i="1"/>
  <c r="M288" i="1"/>
  <c r="M289" i="1"/>
  <c r="M290" i="1"/>
  <c r="M291" i="1"/>
  <c r="L272" i="2"/>
  <c r="L273" i="2"/>
  <c r="L274" i="2"/>
  <c r="L275" i="2"/>
  <c r="L276" i="2"/>
  <c r="L277" i="2"/>
  <c r="L278" i="2"/>
  <c r="L279" i="2"/>
  <c r="L280" i="2"/>
  <c r="L281" i="2"/>
  <c r="M272" i="2"/>
  <c r="M273" i="2"/>
  <c r="M274" i="2"/>
  <c r="M275" i="2"/>
  <c r="M276" i="2"/>
  <c r="M277" i="2"/>
  <c r="M278" i="2"/>
  <c r="M279" i="2"/>
  <c r="M280" i="2"/>
  <c r="M281" i="2"/>
  <c r="L272" i="1"/>
  <c r="L273" i="1"/>
  <c r="L274" i="1"/>
  <c r="L275" i="1"/>
  <c r="L276" i="1"/>
  <c r="L277" i="1"/>
  <c r="L278" i="1"/>
  <c r="L279" i="1"/>
  <c r="L280" i="1"/>
  <c r="L281" i="1"/>
  <c r="M272" i="1"/>
  <c r="M273" i="1"/>
  <c r="M274" i="1"/>
  <c r="M275" i="1"/>
  <c r="M276" i="1"/>
  <c r="M277" i="1"/>
  <c r="M278" i="1"/>
  <c r="M279" i="1"/>
  <c r="M280" i="1"/>
  <c r="M281" i="1"/>
  <c r="L262" i="2"/>
  <c r="L263" i="2"/>
  <c r="L264" i="2"/>
  <c r="L265" i="2"/>
  <c r="L266" i="2"/>
  <c r="L267" i="2"/>
  <c r="L268" i="2"/>
  <c r="L269" i="2"/>
  <c r="L270" i="2"/>
  <c r="L271" i="2"/>
  <c r="M262" i="2"/>
  <c r="M263" i="2"/>
  <c r="M264" i="2"/>
  <c r="M265" i="2"/>
  <c r="M266" i="2"/>
  <c r="M267" i="2"/>
  <c r="M268" i="2"/>
  <c r="M269" i="2"/>
  <c r="M270" i="2"/>
  <c r="M271" i="2"/>
  <c r="L262" i="1"/>
  <c r="L263" i="1"/>
  <c r="L264" i="1"/>
  <c r="L265" i="1"/>
  <c r="L266" i="1"/>
  <c r="L267" i="1"/>
  <c r="L268" i="1"/>
  <c r="L269" i="1"/>
  <c r="L270" i="1"/>
  <c r="L271" i="1"/>
  <c r="M262" i="1"/>
  <c r="M263" i="1"/>
  <c r="M264" i="1"/>
  <c r="M265" i="1"/>
  <c r="M266" i="1"/>
  <c r="M267" i="1"/>
  <c r="M268" i="1"/>
  <c r="M269" i="1"/>
  <c r="M270" i="1"/>
  <c r="M271" i="1"/>
  <c r="L252" i="2"/>
  <c r="L253" i="2"/>
  <c r="L254" i="2"/>
  <c r="L255" i="2"/>
  <c r="L256" i="2"/>
  <c r="L257" i="2"/>
  <c r="L258" i="2"/>
  <c r="L259" i="2"/>
  <c r="L260" i="2"/>
  <c r="L261" i="2"/>
  <c r="M252" i="2"/>
  <c r="M253" i="2"/>
  <c r="M254" i="2"/>
  <c r="M255" i="2"/>
  <c r="M256" i="2"/>
  <c r="M257" i="2"/>
  <c r="M258" i="2"/>
  <c r="M259" i="2"/>
  <c r="M260" i="2"/>
  <c r="M261" i="2"/>
  <c r="L252" i="1"/>
  <c r="L253" i="1"/>
  <c r="L254" i="1"/>
  <c r="L255" i="1"/>
  <c r="L256" i="1"/>
  <c r="L257" i="1"/>
  <c r="L258" i="1"/>
  <c r="L259" i="1"/>
  <c r="L260" i="1"/>
  <c r="L261" i="1"/>
  <c r="M252" i="1"/>
  <c r="M253" i="1"/>
  <c r="M254" i="1"/>
  <c r="M255" i="1"/>
  <c r="M256" i="1"/>
  <c r="M257" i="1"/>
  <c r="M258" i="1"/>
  <c r="M259" i="1"/>
  <c r="M260" i="1"/>
  <c r="M261" i="1"/>
  <c r="L242" i="1"/>
  <c r="L243" i="1"/>
  <c r="L244" i="1"/>
  <c r="L245" i="1"/>
  <c r="L246" i="1"/>
  <c r="L247" i="1"/>
  <c r="L248" i="1"/>
  <c r="L249" i="1"/>
  <c r="L250" i="1"/>
  <c r="L251" i="1"/>
  <c r="M242" i="1"/>
  <c r="M243" i="1"/>
  <c r="M244" i="1"/>
  <c r="M245" i="1"/>
  <c r="M246" i="1"/>
  <c r="M247" i="1"/>
  <c r="M248" i="1"/>
  <c r="M249" i="1"/>
  <c r="M250" i="1"/>
  <c r="M251" i="1"/>
  <c r="L242" i="2"/>
  <c r="L243" i="2"/>
  <c r="L244" i="2"/>
  <c r="L245" i="2"/>
  <c r="L246" i="2"/>
  <c r="L247" i="2"/>
  <c r="L248" i="2"/>
  <c r="L249" i="2"/>
  <c r="L250" i="2"/>
  <c r="L251" i="2"/>
  <c r="M242" i="2"/>
  <c r="M243" i="2"/>
  <c r="M244" i="2"/>
  <c r="M245" i="2"/>
  <c r="M246" i="2"/>
  <c r="M247" i="2"/>
  <c r="M248" i="2"/>
  <c r="M249" i="2"/>
  <c r="M250" i="2"/>
  <c r="M251" i="2"/>
  <c r="L232" i="2"/>
  <c r="L233" i="2"/>
  <c r="L234" i="2"/>
  <c r="L235" i="2"/>
  <c r="L236" i="2"/>
  <c r="L237" i="2"/>
  <c r="L238" i="2"/>
  <c r="L239" i="2"/>
  <c r="L240" i="2"/>
  <c r="L241" i="2"/>
  <c r="M232" i="2"/>
  <c r="M233" i="2"/>
  <c r="M234" i="2"/>
  <c r="M235" i="2"/>
  <c r="M236" i="2"/>
  <c r="M237" i="2"/>
  <c r="M238" i="2"/>
  <c r="M239" i="2"/>
  <c r="M240" i="2"/>
  <c r="M241" i="2"/>
  <c r="L232" i="1"/>
  <c r="L233" i="1"/>
  <c r="L234" i="1"/>
  <c r="L235" i="1"/>
  <c r="L236" i="1"/>
  <c r="L237" i="1"/>
  <c r="L238" i="1"/>
  <c r="L239" i="1"/>
  <c r="L240" i="1"/>
  <c r="L241" i="1"/>
  <c r="M232" i="1"/>
  <c r="M233" i="1"/>
  <c r="M234" i="1"/>
  <c r="M235" i="1"/>
  <c r="M236" i="1"/>
  <c r="M237" i="1"/>
  <c r="M238" i="1"/>
  <c r="M239" i="1"/>
  <c r="M240" i="1"/>
  <c r="M241" i="1"/>
  <c r="L222" i="2"/>
  <c r="L223" i="2"/>
  <c r="L224" i="2"/>
  <c r="L225" i="2"/>
  <c r="L226" i="2"/>
  <c r="L227" i="2"/>
  <c r="L228" i="2"/>
  <c r="L229" i="2"/>
  <c r="L230" i="2"/>
  <c r="L231" i="2"/>
  <c r="M222" i="2"/>
  <c r="M223" i="2"/>
  <c r="M224" i="2"/>
  <c r="M225" i="2"/>
  <c r="M226" i="2"/>
  <c r="M227" i="2"/>
  <c r="M228" i="2"/>
  <c r="M229" i="2"/>
  <c r="M230" i="2"/>
  <c r="M231" i="2"/>
  <c r="L222" i="1"/>
  <c r="L223" i="1"/>
  <c r="L224" i="1"/>
  <c r="L225" i="1"/>
  <c r="L226" i="1"/>
  <c r="L227" i="1"/>
  <c r="L228" i="1"/>
  <c r="L229" i="1"/>
  <c r="L230" i="1"/>
  <c r="L231" i="1"/>
  <c r="M222" i="1"/>
  <c r="M223" i="1"/>
  <c r="M224" i="1"/>
  <c r="M225" i="1"/>
  <c r="M226" i="1"/>
  <c r="M227" i="1"/>
  <c r="M228" i="1"/>
  <c r="M229" i="1"/>
  <c r="M230" i="1"/>
  <c r="M231" i="1"/>
  <c r="L212" i="2"/>
  <c r="L213" i="2"/>
  <c r="L214" i="2"/>
  <c r="L215" i="2"/>
  <c r="L216" i="2"/>
  <c r="L217" i="2"/>
  <c r="L218" i="2"/>
  <c r="L219" i="2"/>
  <c r="L220" i="2"/>
  <c r="L221" i="2"/>
  <c r="M212" i="2"/>
  <c r="M213" i="2"/>
  <c r="M214" i="2"/>
  <c r="M215" i="2"/>
  <c r="M216" i="2"/>
  <c r="M217" i="2"/>
  <c r="M218" i="2"/>
  <c r="M219" i="2"/>
  <c r="M220" i="2"/>
  <c r="M221" i="2"/>
  <c r="L212" i="1"/>
  <c r="L213" i="1"/>
  <c r="L214" i="1"/>
  <c r="L215" i="1"/>
  <c r="L216" i="1"/>
  <c r="L217" i="1"/>
  <c r="L218" i="1"/>
  <c r="L219" i="1"/>
  <c r="L220" i="1"/>
  <c r="L221" i="1"/>
  <c r="M212" i="1"/>
  <c r="M213" i="1"/>
  <c r="M214" i="1"/>
  <c r="M215" i="1"/>
  <c r="M216" i="1"/>
  <c r="M217" i="1"/>
  <c r="M218" i="1"/>
  <c r="M219" i="1"/>
  <c r="M220" i="1"/>
  <c r="M221" i="1"/>
  <c r="L202" i="2"/>
  <c r="L203" i="2"/>
  <c r="L204" i="2"/>
  <c r="L205" i="2"/>
  <c r="L206" i="2"/>
  <c r="L207" i="2"/>
  <c r="L208" i="2"/>
  <c r="L209" i="2"/>
  <c r="L210" i="2"/>
  <c r="L211" i="2"/>
  <c r="M202" i="2"/>
  <c r="M203" i="2"/>
  <c r="M204" i="2"/>
  <c r="M205" i="2"/>
  <c r="M206" i="2"/>
  <c r="M207" i="2"/>
  <c r="M208" i="2"/>
  <c r="M209" i="2"/>
  <c r="M210" i="2"/>
  <c r="M211" i="2"/>
  <c r="L202" i="1"/>
  <c r="L203" i="1"/>
  <c r="L204" i="1"/>
  <c r="L205" i="1"/>
  <c r="L206" i="1"/>
  <c r="L207" i="1"/>
  <c r="L208" i="1"/>
  <c r="L209" i="1"/>
  <c r="L210" i="1"/>
  <c r="L211" i="1"/>
  <c r="M202" i="1"/>
  <c r="M203" i="1"/>
  <c r="M204" i="1"/>
  <c r="M205" i="1"/>
  <c r="M206" i="1"/>
  <c r="M207" i="1"/>
  <c r="M208" i="1"/>
  <c r="M209" i="1"/>
  <c r="M210" i="1"/>
  <c r="M211" i="1"/>
  <c r="L192" i="2"/>
  <c r="L193" i="2"/>
  <c r="L194" i="2"/>
  <c r="L195" i="2"/>
  <c r="L196" i="2"/>
  <c r="L197" i="2"/>
  <c r="L198" i="2"/>
  <c r="L199" i="2"/>
  <c r="L200" i="2"/>
  <c r="L201" i="2"/>
  <c r="M192" i="2"/>
  <c r="M193" i="2"/>
  <c r="M194" i="2"/>
  <c r="M195" i="2"/>
  <c r="M196" i="2"/>
  <c r="M197" i="2"/>
  <c r="M198" i="2"/>
  <c r="M199" i="2"/>
  <c r="M200" i="2"/>
  <c r="M201" i="2"/>
  <c r="L192" i="1"/>
  <c r="L193" i="1"/>
  <c r="L194" i="1"/>
  <c r="L195" i="1"/>
  <c r="L196" i="1"/>
  <c r="L197" i="1"/>
  <c r="L198" i="1"/>
  <c r="L199" i="1"/>
  <c r="L200" i="1"/>
  <c r="L201" i="1"/>
  <c r="M192" i="1"/>
  <c r="M193" i="1"/>
  <c r="M194" i="1"/>
  <c r="M195" i="1"/>
  <c r="M196" i="1"/>
  <c r="M197" i="1"/>
  <c r="M198" i="1"/>
  <c r="M199" i="1"/>
  <c r="M200" i="1"/>
  <c r="M201" i="1"/>
  <c r="L182" i="2"/>
  <c r="L183" i="2"/>
  <c r="L184" i="2"/>
  <c r="L185" i="2"/>
  <c r="L186" i="2"/>
  <c r="L187" i="2"/>
  <c r="L188" i="2"/>
  <c r="L189" i="2"/>
  <c r="L190" i="2"/>
  <c r="L191" i="2"/>
  <c r="M182" i="2"/>
  <c r="M183" i="2"/>
  <c r="M184" i="2"/>
  <c r="M185" i="2"/>
  <c r="M186" i="2"/>
  <c r="M187" i="2"/>
  <c r="M188" i="2"/>
  <c r="M189" i="2"/>
  <c r="M190" i="2"/>
  <c r="M191" i="2"/>
  <c r="L182" i="1"/>
  <c r="L183" i="1"/>
  <c r="L184" i="1"/>
  <c r="L185" i="1"/>
  <c r="L186" i="1"/>
  <c r="L187" i="1"/>
  <c r="L188" i="1"/>
  <c r="L189" i="1"/>
  <c r="L190" i="1"/>
  <c r="L191" i="1"/>
  <c r="M182" i="1"/>
  <c r="M183" i="1"/>
  <c r="M184" i="1"/>
  <c r="M185" i="1"/>
  <c r="M186" i="1"/>
  <c r="M187" i="1"/>
  <c r="M188" i="1"/>
  <c r="M189" i="1"/>
  <c r="M190" i="1"/>
  <c r="M191" i="1"/>
  <c r="L172" i="1"/>
  <c r="L173" i="1"/>
  <c r="L174" i="1"/>
  <c r="L175" i="1"/>
  <c r="L176" i="1"/>
  <c r="L177" i="1"/>
  <c r="L178" i="1"/>
  <c r="L179" i="1"/>
  <c r="L180" i="1"/>
  <c r="L181" i="1"/>
  <c r="M172" i="1"/>
  <c r="M173" i="1"/>
  <c r="M174" i="1"/>
  <c r="M175" i="1"/>
  <c r="M176" i="1"/>
  <c r="M177" i="1"/>
  <c r="M178" i="1"/>
  <c r="M179" i="1"/>
  <c r="M180" i="1"/>
  <c r="M181" i="1"/>
  <c r="L172" i="2"/>
  <c r="L173" i="2"/>
  <c r="L174" i="2"/>
  <c r="L175" i="2"/>
  <c r="L176" i="2"/>
  <c r="L177" i="2"/>
  <c r="L178" i="2"/>
  <c r="L179" i="2"/>
  <c r="L180" i="2"/>
  <c r="L181" i="2"/>
  <c r="M172" i="2"/>
  <c r="M173" i="2"/>
  <c r="M174" i="2"/>
  <c r="M175" i="2"/>
  <c r="M176" i="2"/>
  <c r="M177" i="2"/>
  <c r="M178" i="2"/>
  <c r="M179" i="2"/>
  <c r="M180" i="2"/>
  <c r="M181" i="2"/>
  <c r="L162" i="2"/>
  <c r="L163" i="2"/>
  <c r="L164" i="2"/>
  <c r="L165" i="2"/>
  <c r="L166" i="2"/>
  <c r="L167" i="2"/>
  <c r="L168" i="2"/>
  <c r="L169" i="2"/>
  <c r="L170" i="2"/>
  <c r="L171" i="2"/>
  <c r="M162" i="2"/>
  <c r="M163" i="2"/>
  <c r="M164" i="2"/>
  <c r="M165" i="2"/>
  <c r="M166" i="2"/>
  <c r="M167" i="2"/>
  <c r="M168" i="2"/>
  <c r="M169" i="2"/>
  <c r="M170" i="2"/>
  <c r="M171" i="2"/>
  <c r="L162" i="1"/>
  <c r="L163" i="1"/>
  <c r="L164" i="1"/>
  <c r="L165" i="1"/>
  <c r="L166" i="1"/>
  <c r="L167" i="1"/>
  <c r="L168" i="1"/>
  <c r="L169" i="1"/>
  <c r="L170" i="1"/>
  <c r="L171" i="1"/>
  <c r="M162" i="1"/>
  <c r="M163" i="1"/>
  <c r="M164" i="1"/>
  <c r="M165" i="1"/>
  <c r="M166" i="1"/>
  <c r="M167" i="1"/>
  <c r="M168" i="1"/>
  <c r="M169" i="1"/>
  <c r="M170" i="1"/>
  <c r="M171" i="1"/>
  <c r="L153" i="2"/>
  <c r="L152" i="2"/>
  <c r="L154" i="2"/>
  <c r="L155" i="2"/>
  <c r="L156" i="2"/>
  <c r="L157" i="2"/>
  <c r="L158" i="2"/>
  <c r="L159" i="2"/>
  <c r="L160" i="2"/>
  <c r="L161" i="2"/>
  <c r="M152" i="2"/>
  <c r="M153" i="2"/>
  <c r="M154" i="2"/>
  <c r="M155" i="2"/>
  <c r="M156" i="2"/>
  <c r="M157" i="2"/>
  <c r="M158" i="2"/>
  <c r="M159" i="2"/>
  <c r="M160" i="2"/>
  <c r="M161" i="2"/>
  <c r="L152" i="1"/>
  <c r="L153" i="1"/>
  <c r="L154" i="1"/>
  <c r="L155" i="1"/>
  <c r="L156" i="1"/>
  <c r="L157" i="1"/>
  <c r="L158" i="1"/>
  <c r="L159" i="1"/>
  <c r="L160" i="1"/>
  <c r="L161" i="1"/>
  <c r="M152" i="1"/>
  <c r="M153" i="1"/>
  <c r="M154" i="1"/>
  <c r="M155" i="1"/>
  <c r="M156" i="1"/>
  <c r="M157" i="1"/>
  <c r="M158" i="1"/>
  <c r="M159" i="1"/>
  <c r="M160" i="1"/>
  <c r="M161" i="1"/>
  <c r="L142" i="2"/>
  <c r="L143" i="2"/>
  <c r="L144" i="2"/>
  <c r="L145" i="2"/>
  <c r="L146" i="2"/>
  <c r="L147" i="2"/>
  <c r="L148" i="2"/>
  <c r="L149" i="2"/>
  <c r="L150" i="2"/>
  <c r="L151" i="2"/>
  <c r="M142" i="2"/>
  <c r="M143" i="2"/>
  <c r="M144" i="2"/>
  <c r="M145" i="2"/>
  <c r="M146" i="2"/>
  <c r="M147" i="2"/>
  <c r="M148" i="2"/>
  <c r="M149" i="2"/>
  <c r="M150" i="2"/>
  <c r="M151" i="2"/>
  <c r="L142" i="1"/>
  <c r="L143" i="1"/>
  <c r="L144" i="1"/>
  <c r="L145" i="1"/>
  <c r="L146" i="1"/>
  <c r="L147" i="1"/>
  <c r="L148" i="1"/>
  <c r="L149" i="1"/>
  <c r="L150" i="1"/>
  <c r="L151" i="1"/>
  <c r="M142" i="1"/>
  <c r="M143" i="1"/>
  <c r="M144" i="1"/>
  <c r="M145" i="1"/>
  <c r="M146" i="1"/>
  <c r="M147" i="1"/>
  <c r="M148" i="1"/>
  <c r="M149" i="1"/>
  <c r="M150" i="1"/>
  <c r="M151" i="1"/>
  <c r="L132" i="1"/>
  <c r="L133" i="1"/>
  <c r="L134" i="1"/>
  <c r="L135" i="1"/>
  <c r="L136" i="1"/>
  <c r="L137" i="1"/>
  <c r="L138" i="1"/>
  <c r="L139" i="1"/>
  <c r="L140" i="1"/>
  <c r="L141" i="1"/>
  <c r="M132" i="1"/>
  <c r="M133" i="1"/>
  <c r="M134" i="1"/>
  <c r="M135" i="1"/>
  <c r="M136" i="1"/>
  <c r="M137" i="1"/>
  <c r="M138" i="1"/>
  <c r="M139" i="1"/>
  <c r="M140" i="1"/>
  <c r="M141" i="1"/>
  <c r="L132" i="2"/>
  <c r="L133" i="2"/>
  <c r="L134" i="2"/>
  <c r="L135" i="2"/>
  <c r="L136" i="2"/>
  <c r="L137" i="2"/>
  <c r="L138" i="2"/>
  <c r="L139" i="2"/>
  <c r="L140" i="2"/>
  <c r="L141" i="2"/>
  <c r="M132" i="2"/>
  <c r="M133" i="2"/>
  <c r="M134" i="2"/>
  <c r="M135" i="2"/>
  <c r="M136" i="2"/>
  <c r="M137" i="2"/>
  <c r="M138" i="2"/>
  <c r="M139" i="2"/>
  <c r="M140" i="2"/>
  <c r="M141" i="2"/>
  <c r="L122" i="2"/>
  <c r="L123" i="2"/>
  <c r="L124" i="2"/>
  <c r="L125" i="2"/>
  <c r="L126" i="2"/>
  <c r="L127" i="2"/>
  <c r="L128" i="2"/>
  <c r="L129" i="2"/>
  <c r="L130" i="2"/>
  <c r="L131" i="2"/>
  <c r="M122" i="2"/>
  <c r="M123" i="2"/>
  <c r="M124" i="2"/>
  <c r="M125" i="2"/>
  <c r="M126" i="2"/>
  <c r="M127" i="2"/>
  <c r="M128" i="2"/>
  <c r="M129" i="2"/>
  <c r="M130" i="2"/>
  <c r="M131" i="2"/>
  <c r="L122" i="1"/>
  <c r="L123" i="1"/>
  <c r="L124" i="1"/>
  <c r="L125" i="1"/>
  <c r="L126" i="1"/>
  <c r="L127" i="1"/>
  <c r="L128" i="1"/>
  <c r="L129" i="1"/>
  <c r="L130" i="1"/>
  <c r="L131" i="1"/>
  <c r="M122" i="1"/>
  <c r="M123" i="1"/>
  <c r="M124" i="1"/>
  <c r="M125" i="1"/>
  <c r="M126" i="1"/>
  <c r="M127" i="1"/>
  <c r="M128" i="1"/>
  <c r="M129" i="1"/>
  <c r="M130" i="1"/>
  <c r="M131" i="1"/>
  <c r="L121" i="2"/>
  <c r="L120" i="2"/>
  <c r="L119" i="2"/>
  <c r="L118" i="2"/>
  <c r="L117" i="2"/>
  <c r="L116" i="2"/>
  <c r="L115" i="2"/>
  <c r="L114" i="2"/>
  <c r="L113" i="2"/>
  <c r="L112" i="2"/>
  <c r="M112" i="2"/>
  <c r="M113" i="2"/>
  <c r="M114" i="2"/>
  <c r="M115" i="2"/>
  <c r="M116" i="2"/>
  <c r="M117" i="2"/>
  <c r="M118" i="2"/>
  <c r="M119" i="2"/>
  <c r="M120" i="2"/>
  <c r="M121" i="2"/>
  <c r="L121" i="1"/>
  <c r="L120" i="1"/>
  <c r="L119" i="1"/>
  <c r="L118" i="1"/>
  <c r="L117" i="1"/>
  <c r="L116" i="1"/>
  <c r="L115" i="1"/>
  <c r="L114" i="1"/>
  <c r="L113" i="1"/>
  <c r="L112" i="1"/>
  <c r="M112" i="1"/>
  <c r="M113" i="1"/>
  <c r="M114" i="1"/>
  <c r="M115" i="1"/>
  <c r="M116" i="1"/>
  <c r="M117" i="1"/>
  <c r="M118" i="1"/>
  <c r="M119" i="1"/>
  <c r="M120" i="1"/>
  <c r="M121" i="1"/>
  <c r="L111" i="2"/>
  <c r="L110" i="2"/>
  <c r="L109" i="2"/>
  <c r="L108" i="2"/>
  <c r="L107" i="2"/>
  <c r="L106" i="2"/>
  <c r="L105" i="2"/>
  <c r="L104" i="2"/>
  <c r="L103" i="2"/>
  <c r="L102" i="2"/>
  <c r="M102" i="2"/>
  <c r="M103" i="2"/>
  <c r="M104" i="2"/>
  <c r="M105" i="2"/>
  <c r="M106" i="2"/>
  <c r="M107" i="2"/>
  <c r="M108" i="2"/>
  <c r="M109" i="2"/>
  <c r="M110" i="2"/>
  <c r="M111" i="2"/>
  <c r="L111" i="1"/>
  <c r="L110" i="1"/>
  <c r="L109" i="1"/>
  <c r="L108" i="1"/>
  <c r="L107" i="1"/>
  <c r="L106" i="1"/>
  <c r="L105" i="1"/>
  <c r="L104" i="1"/>
  <c r="L103" i="1"/>
  <c r="L102" i="1"/>
  <c r="M102" i="1"/>
  <c r="M103" i="1"/>
  <c r="M104" i="1"/>
  <c r="M105" i="1"/>
  <c r="M106" i="1"/>
  <c r="M107" i="1"/>
  <c r="M108" i="1"/>
  <c r="M109" i="1"/>
  <c r="M110" i="1"/>
  <c r="M111" i="1"/>
  <c r="L101" i="2"/>
  <c r="L100" i="2"/>
  <c r="L99" i="2"/>
  <c r="L98" i="2"/>
  <c r="L97" i="2"/>
  <c r="L96" i="2"/>
  <c r="L95" i="2"/>
  <c r="L94" i="2"/>
  <c r="L93" i="2"/>
  <c r="L92" i="2"/>
  <c r="M92" i="2"/>
  <c r="M93" i="2"/>
  <c r="M94" i="2"/>
  <c r="M95" i="2"/>
  <c r="M96" i="2"/>
  <c r="M97" i="2"/>
  <c r="M98" i="2"/>
  <c r="M99" i="2"/>
  <c r="M100" i="2"/>
  <c r="M101" i="2"/>
  <c r="L101" i="1"/>
  <c r="L100" i="1"/>
  <c r="L99" i="1"/>
  <c r="L98" i="1"/>
  <c r="L97" i="1"/>
  <c r="L96" i="1"/>
  <c r="L95" i="1"/>
  <c r="L94" i="1"/>
  <c r="L93" i="1"/>
  <c r="L92" i="1"/>
  <c r="M92" i="1"/>
  <c r="M93" i="1"/>
  <c r="M94" i="1"/>
  <c r="M95" i="1"/>
  <c r="M96" i="1"/>
  <c r="M97" i="1"/>
  <c r="M98" i="1"/>
  <c r="M99" i="1"/>
  <c r="M100" i="1"/>
  <c r="M101" i="1"/>
  <c r="L91" i="2"/>
  <c r="L90" i="2"/>
  <c r="L89" i="2"/>
  <c r="L88" i="2"/>
  <c r="L87" i="2"/>
  <c r="L86" i="2"/>
  <c r="L85" i="2"/>
  <c r="L84" i="2"/>
  <c r="L83" i="2"/>
  <c r="L82" i="2"/>
  <c r="M82" i="2"/>
  <c r="M83" i="2"/>
  <c r="M84" i="2"/>
  <c r="M85" i="2"/>
  <c r="M86" i="2"/>
  <c r="M87" i="2"/>
  <c r="M88" i="2"/>
  <c r="M89" i="2"/>
  <c r="M90" i="2"/>
  <c r="M91" i="2"/>
  <c r="L91" i="1"/>
  <c r="L90" i="1"/>
  <c r="L89" i="1"/>
  <c r="L88" i="1"/>
  <c r="L87" i="1"/>
  <c r="L86" i="1"/>
  <c r="L85" i="1"/>
  <c r="L84" i="1"/>
  <c r="L83" i="1"/>
  <c r="L82" i="1"/>
  <c r="M82" i="1"/>
  <c r="M83" i="1"/>
  <c r="M84" i="1"/>
  <c r="M85" i="1"/>
  <c r="M86" i="1"/>
  <c r="M87" i="1"/>
  <c r="M88" i="1"/>
  <c r="M89" i="1"/>
  <c r="M90" i="1"/>
  <c r="M91" i="1"/>
  <c r="L81" i="1"/>
  <c r="L80" i="1"/>
  <c r="L79" i="1"/>
  <c r="L78" i="1"/>
  <c r="L77" i="1"/>
  <c r="L76" i="1"/>
  <c r="L75" i="1"/>
  <c r="L74" i="1"/>
  <c r="L73" i="1"/>
  <c r="L72" i="1"/>
  <c r="M72" i="1"/>
  <c r="M73" i="1"/>
  <c r="M74" i="1"/>
  <c r="M75" i="1"/>
  <c r="M76" i="1"/>
  <c r="M77" i="1"/>
  <c r="M78" i="1"/>
  <c r="M79" i="1"/>
  <c r="M80" i="1"/>
  <c r="M81" i="1"/>
  <c r="L81" i="2"/>
  <c r="L80" i="2"/>
  <c r="L79" i="2"/>
  <c r="L78" i="2"/>
  <c r="L77" i="2"/>
  <c r="L76" i="2"/>
  <c r="L75" i="2"/>
  <c r="L74" i="2"/>
  <c r="L73" i="2"/>
  <c r="L72" i="2"/>
  <c r="M72" i="2"/>
  <c r="M73" i="2"/>
  <c r="M74" i="2"/>
  <c r="M75" i="2"/>
  <c r="M76" i="2"/>
  <c r="M77" i="2"/>
  <c r="M78" i="2"/>
  <c r="M79" i="2"/>
  <c r="M80" i="2"/>
  <c r="M81" i="2"/>
  <c r="M71" i="2"/>
  <c r="L71" i="2"/>
  <c r="M70" i="2"/>
  <c r="L70" i="2"/>
  <c r="M69" i="2"/>
  <c r="L69" i="2"/>
  <c r="M68" i="2"/>
  <c r="L68" i="2"/>
  <c r="M67" i="2"/>
  <c r="L67" i="2"/>
  <c r="M66" i="2"/>
  <c r="L66" i="2"/>
  <c r="M65" i="2"/>
  <c r="L65" i="2"/>
  <c r="M64" i="2"/>
  <c r="L64" i="2"/>
  <c r="M63" i="2"/>
  <c r="L63" i="2"/>
  <c r="M62" i="2"/>
  <c r="L62" i="2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L61" i="2"/>
  <c r="L60" i="2"/>
  <c r="L59" i="2"/>
  <c r="L58" i="2"/>
  <c r="L57" i="2"/>
  <c r="L56" i="2"/>
  <c r="L55" i="2"/>
  <c r="L54" i="2"/>
  <c r="L53" i="2"/>
  <c r="L52" i="2"/>
  <c r="M52" i="2"/>
  <c r="M53" i="2"/>
  <c r="M54" i="2"/>
  <c r="M55" i="2"/>
  <c r="M56" i="2"/>
  <c r="M57" i="2"/>
  <c r="M58" i="2"/>
  <c r="M59" i="2"/>
  <c r="M60" i="2"/>
  <c r="M61" i="2"/>
  <c r="L61" i="1"/>
  <c r="L60" i="1"/>
  <c r="L59" i="1"/>
  <c r="L58" i="1"/>
  <c r="L57" i="1"/>
  <c r="L56" i="1"/>
  <c r="L55" i="1"/>
  <c r="L54" i="1"/>
  <c r="L53" i="1"/>
  <c r="L52" i="1"/>
  <c r="M52" i="1"/>
  <c r="M53" i="1"/>
  <c r="M54" i="1"/>
  <c r="M55" i="1"/>
  <c r="M56" i="1"/>
  <c r="M57" i="1"/>
  <c r="M58" i="1"/>
  <c r="M59" i="1"/>
  <c r="M60" i="1"/>
  <c r="M61" i="1"/>
  <c r="L51" i="2"/>
  <c r="L50" i="2"/>
  <c r="L49" i="2"/>
  <c r="L48" i="2"/>
  <c r="L47" i="2"/>
  <c r="L46" i="2"/>
  <c r="L45" i="2"/>
  <c r="L44" i="2"/>
  <c r="L43" i="2"/>
  <c r="L42" i="2"/>
  <c r="M42" i="2"/>
  <c r="M43" i="2"/>
  <c r="M44" i="2"/>
  <c r="M45" i="2"/>
  <c r="M46" i="2"/>
  <c r="M47" i="2"/>
  <c r="M48" i="2"/>
  <c r="M49" i="2"/>
  <c r="M50" i="2"/>
  <c r="M51" i="2"/>
  <c r="L51" i="1"/>
  <c r="L50" i="1"/>
  <c r="L49" i="1"/>
  <c r="L48" i="1"/>
  <c r="L47" i="1"/>
  <c r="L46" i="1"/>
  <c r="L45" i="1"/>
  <c r="L44" i="1"/>
  <c r="L43" i="1"/>
  <c r="L42" i="1"/>
  <c r="M42" i="1"/>
  <c r="M43" i="1"/>
  <c r="M44" i="1"/>
  <c r="M45" i="1"/>
  <c r="M46" i="1"/>
  <c r="M47" i="1"/>
  <c r="M48" i="1"/>
  <c r="M49" i="1"/>
  <c r="M50" i="1"/>
  <c r="M51" i="1"/>
  <c r="L41" i="2"/>
  <c r="L40" i="2"/>
  <c r="L39" i="2"/>
  <c r="L38" i="2"/>
  <c r="L37" i="2"/>
  <c r="L36" i="2"/>
  <c r="L35" i="2"/>
  <c r="L34" i="2"/>
  <c r="L33" i="2"/>
  <c r="L32" i="2"/>
  <c r="M32" i="2"/>
  <c r="M33" i="2"/>
  <c r="M34" i="2"/>
  <c r="M35" i="2"/>
  <c r="M36" i="2"/>
  <c r="M37" i="2"/>
  <c r="M38" i="2"/>
  <c r="M39" i="2"/>
  <c r="M40" i="2"/>
  <c r="M41" i="2"/>
  <c r="L41" i="1"/>
  <c r="L40" i="1"/>
  <c r="L39" i="1"/>
  <c r="L38" i="1"/>
  <c r="L37" i="1"/>
  <c r="L36" i="1"/>
  <c r="L35" i="1"/>
  <c r="L34" i="1"/>
  <c r="L33" i="1"/>
  <c r="L32" i="1"/>
  <c r="M32" i="1"/>
  <c r="M33" i="1"/>
  <c r="M34" i="1"/>
  <c r="M35" i="1"/>
  <c r="M36" i="1"/>
  <c r="M37" i="1"/>
  <c r="M38" i="1"/>
  <c r="M39" i="1"/>
  <c r="M40" i="1"/>
  <c r="M41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M2" i="1"/>
  <c r="N2" i="1" s="1"/>
  <c r="M3" i="1"/>
  <c r="N3" i="1" s="1"/>
  <c r="M4" i="1"/>
  <c r="N4" i="1" s="1"/>
  <c r="M5" i="1"/>
  <c r="N5" i="1" s="1"/>
  <c r="M6" i="1"/>
  <c r="M7" i="1"/>
  <c r="N7" i="1" s="1"/>
  <c r="M8" i="1"/>
  <c r="M9" i="1"/>
  <c r="N9" i="1" s="1"/>
  <c r="M10" i="1"/>
  <c r="N10" i="1" s="1"/>
  <c r="M11" i="1"/>
  <c r="N11" i="1" s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2" i="2"/>
  <c r="N2" i="2" s="1"/>
  <c r="M3" i="2"/>
  <c r="M4" i="2"/>
  <c r="N4" i="2" s="1"/>
  <c r="M5" i="2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28" i="2"/>
  <c r="N28" i="2" s="1"/>
  <c r="L31" i="2"/>
  <c r="L29" i="2"/>
  <c r="L25" i="2"/>
  <c r="L23" i="2"/>
  <c r="L24" i="2"/>
  <c r="L30" i="2"/>
  <c r="N30" i="2" s="1"/>
  <c r="L22" i="2"/>
  <c r="L26" i="2"/>
  <c r="L27" i="2"/>
  <c r="L18" i="2"/>
  <c r="N18" i="2" s="1"/>
  <c r="L21" i="2"/>
  <c r="L19" i="2"/>
  <c r="L15" i="2"/>
  <c r="L12" i="2"/>
  <c r="L20" i="2"/>
  <c r="L13" i="2"/>
  <c r="L14" i="2"/>
  <c r="L16" i="2"/>
  <c r="L17" i="2"/>
  <c r="N899" i="2" l="1"/>
  <c r="N895" i="2"/>
  <c r="N850" i="2"/>
  <c r="N846" i="2"/>
  <c r="N842" i="2"/>
  <c r="N848" i="2"/>
  <c r="N858" i="2"/>
  <c r="N854" i="2"/>
  <c r="N860" i="2"/>
  <c r="N856" i="2"/>
  <c r="N862" i="2"/>
  <c r="N810" i="2"/>
  <c r="N806" i="2"/>
  <c r="N871" i="2"/>
  <c r="N867" i="2"/>
  <c r="N878" i="2"/>
  <c r="N874" i="2"/>
  <c r="N876" i="2"/>
  <c r="N866" i="1"/>
  <c r="N880" i="1"/>
  <c r="N876" i="1"/>
  <c r="N872" i="1"/>
  <c r="N878" i="1"/>
  <c r="N874" i="1"/>
  <c r="N837" i="1"/>
  <c r="N871" i="1"/>
  <c r="N881" i="1"/>
  <c r="N877" i="1"/>
  <c r="N873" i="1"/>
  <c r="N889" i="1"/>
  <c r="N885" i="1"/>
  <c r="N889" i="2"/>
  <c r="N885" i="2"/>
  <c r="N888" i="2"/>
  <c r="N884" i="2"/>
  <c r="N853" i="2"/>
  <c r="N868" i="2"/>
  <c r="N864" i="2"/>
  <c r="N866" i="2"/>
  <c r="N812" i="1"/>
  <c r="N824" i="1"/>
  <c r="N832" i="1"/>
  <c r="N870" i="1"/>
  <c r="N862" i="1"/>
  <c r="N829" i="1"/>
  <c r="N825" i="1"/>
  <c r="N858" i="1"/>
  <c r="N854" i="1"/>
  <c r="N860" i="1"/>
  <c r="N856" i="1"/>
  <c r="N867" i="1"/>
  <c r="N879" i="2"/>
  <c r="N875" i="2"/>
  <c r="N840" i="2"/>
  <c r="N836" i="2"/>
  <c r="N832" i="2"/>
  <c r="N834" i="2"/>
  <c r="N851" i="2"/>
  <c r="N843" i="2"/>
  <c r="N857" i="2"/>
  <c r="N879" i="1"/>
  <c r="N875" i="1"/>
  <c r="N840" i="1"/>
  <c r="N836" i="1"/>
  <c r="N869" i="1"/>
  <c r="N865" i="1"/>
  <c r="N869" i="2"/>
  <c r="N865" i="2"/>
  <c r="N847" i="2"/>
  <c r="N808" i="2"/>
  <c r="N821" i="2"/>
  <c r="N868" i="1"/>
  <c r="N864" i="1"/>
  <c r="N818" i="1"/>
  <c r="N814" i="1"/>
  <c r="N820" i="1"/>
  <c r="N816" i="1"/>
  <c r="N851" i="1"/>
  <c r="N847" i="1"/>
  <c r="N843" i="1"/>
  <c r="N849" i="1"/>
  <c r="N845" i="1"/>
  <c r="N859" i="2"/>
  <c r="N855" i="2"/>
  <c r="N830" i="2"/>
  <c r="N826" i="2"/>
  <c r="N822" i="2"/>
  <c r="N838" i="2"/>
  <c r="N808" i="1"/>
  <c r="N804" i="1"/>
  <c r="N813" i="1"/>
  <c r="N819" i="1"/>
  <c r="N841" i="1"/>
  <c r="N833" i="1"/>
  <c r="N850" i="1"/>
  <c r="N846" i="1"/>
  <c r="N842" i="1"/>
  <c r="N844" i="1"/>
  <c r="N810" i="1"/>
  <c r="N806" i="1"/>
  <c r="N849" i="2"/>
  <c r="N845" i="2"/>
  <c r="N844" i="2"/>
  <c r="N813" i="2"/>
  <c r="N820" i="2"/>
  <c r="N812" i="2"/>
  <c r="N831" i="2"/>
  <c r="N827" i="2"/>
  <c r="N823" i="2"/>
  <c r="N841" i="2"/>
  <c r="N837" i="2"/>
  <c r="N833" i="2"/>
  <c r="N828" i="1"/>
  <c r="N802" i="1"/>
  <c r="N815" i="1"/>
  <c r="N821" i="1"/>
  <c r="N817" i="1"/>
  <c r="N839" i="2"/>
  <c r="N835" i="2"/>
  <c r="N802" i="2"/>
  <c r="N817" i="2"/>
  <c r="N818" i="2"/>
  <c r="N814" i="2"/>
  <c r="N816" i="2"/>
  <c r="N839" i="1"/>
  <c r="N835" i="1"/>
  <c r="N838" i="1"/>
  <c r="N834" i="1"/>
  <c r="N831" i="1"/>
  <c r="N827" i="1"/>
  <c r="N823" i="1"/>
  <c r="N782" i="1"/>
  <c r="N800" i="1"/>
  <c r="N796" i="1"/>
  <c r="N792" i="1"/>
  <c r="N798" i="1"/>
  <c r="N830" i="1"/>
  <c r="N826" i="1"/>
  <c r="N822" i="1"/>
  <c r="N801" i="1"/>
  <c r="N793" i="1"/>
  <c r="N790" i="1"/>
  <c r="N786" i="1"/>
  <c r="N811" i="1"/>
  <c r="N807" i="1"/>
  <c r="N829" i="2"/>
  <c r="N825" i="2"/>
  <c r="N828" i="2"/>
  <c r="N824" i="2"/>
  <c r="N811" i="2"/>
  <c r="N803" i="2"/>
  <c r="N796" i="2"/>
  <c r="N783" i="1"/>
  <c r="N803" i="1"/>
  <c r="N761" i="1"/>
  <c r="N753" i="1"/>
  <c r="N771" i="1"/>
  <c r="N819" i="2"/>
  <c r="N815" i="2"/>
  <c r="N772" i="2"/>
  <c r="N809" i="2"/>
  <c r="N805" i="2"/>
  <c r="N751" i="2"/>
  <c r="N807" i="2"/>
  <c r="N804" i="2"/>
  <c r="N791" i="1"/>
  <c r="N782" i="2"/>
  <c r="N788" i="2"/>
  <c r="N801" i="2"/>
  <c r="N797" i="2"/>
  <c r="N793" i="2"/>
  <c r="N773" i="2"/>
  <c r="N783" i="2"/>
  <c r="N731" i="2"/>
  <c r="N723" i="2"/>
  <c r="N771" i="2"/>
  <c r="N767" i="2"/>
  <c r="N763" i="2"/>
  <c r="N781" i="2"/>
  <c r="N777" i="2"/>
  <c r="N791" i="2"/>
  <c r="N710" i="2"/>
  <c r="N752" i="2"/>
  <c r="N762" i="2"/>
  <c r="N780" i="2"/>
  <c r="N776" i="2"/>
  <c r="N800" i="2"/>
  <c r="N792" i="2"/>
  <c r="N787" i="2"/>
  <c r="N747" i="2"/>
  <c r="N784" i="2"/>
  <c r="N790" i="2"/>
  <c r="N786" i="2"/>
  <c r="N798" i="2"/>
  <c r="N794" i="2"/>
  <c r="N773" i="1"/>
  <c r="N797" i="1"/>
  <c r="N770" i="1"/>
  <c r="N766" i="1"/>
  <c r="N762" i="1"/>
  <c r="N780" i="1"/>
  <c r="N772" i="1"/>
  <c r="N787" i="1"/>
  <c r="N722" i="1"/>
  <c r="N750" i="1"/>
  <c r="N742" i="1"/>
  <c r="N767" i="1"/>
  <c r="N799" i="1"/>
  <c r="N799" i="2"/>
  <c r="N795" i="2"/>
  <c r="N758" i="2"/>
  <c r="N754" i="2"/>
  <c r="N760" i="2"/>
  <c r="N756" i="2"/>
  <c r="N753" i="2"/>
  <c r="N768" i="2"/>
  <c r="N764" i="2"/>
  <c r="N770" i="2"/>
  <c r="N766" i="2"/>
  <c r="N795" i="1"/>
  <c r="N794" i="1"/>
  <c r="N737" i="1"/>
  <c r="N763" i="1"/>
  <c r="N781" i="1"/>
  <c r="N777" i="1"/>
  <c r="N778" i="1"/>
  <c r="N774" i="1"/>
  <c r="N776" i="1"/>
  <c r="N789" i="2"/>
  <c r="N785" i="2"/>
  <c r="N743" i="2"/>
  <c r="N740" i="2"/>
  <c r="N736" i="2"/>
  <c r="N732" i="2"/>
  <c r="N738" i="2"/>
  <c r="N734" i="2"/>
  <c r="N789" i="1"/>
  <c r="N785" i="1"/>
  <c r="N788" i="1"/>
  <c r="N784" i="1"/>
  <c r="N743" i="1"/>
  <c r="N779" i="1"/>
  <c r="N775" i="1"/>
  <c r="N721" i="1"/>
  <c r="N717" i="1"/>
  <c r="N713" i="1"/>
  <c r="N760" i="1"/>
  <c r="N756" i="1"/>
  <c r="N752" i="1"/>
  <c r="N758" i="1"/>
  <c r="N754" i="1"/>
  <c r="N779" i="2"/>
  <c r="N775" i="2"/>
  <c r="N778" i="2"/>
  <c r="N774" i="2"/>
  <c r="N712" i="2"/>
  <c r="N722" i="2"/>
  <c r="N761" i="2"/>
  <c r="N757" i="2"/>
  <c r="N731" i="1"/>
  <c r="N757" i="1"/>
  <c r="N769" i="2"/>
  <c r="N765" i="2"/>
  <c r="N662" i="2"/>
  <c r="N696" i="2"/>
  <c r="N692" i="2"/>
  <c r="N698" i="2"/>
  <c r="N694" i="2"/>
  <c r="N711" i="2"/>
  <c r="N718" i="2"/>
  <c r="N714" i="2"/>
  <c r="N728" i="2"/>
  <c r="N733" i="2"/>
  <c r="N750" i="2"/>
  <c r="N746" i="2"/>
  <c r="N742" i="2"/>
  <c r="N769" i="1"/>
  <c r="N765" i="1"/>
  <c r="N768" i="1"/>
  <c r="N764" i="1"/>
  <c r="N706" i="1"/>
  <c r="N716" i="1"/>
  <c r="N740" i="1"/>
  <c r="N736" i="1"/>
  <c r="N732" i="1"/>
  <c r="N751" i="1"/>
  <c r="N747" i="1"/>
  <c r="N759" i="2"/>
  <c r="N755" i="2"/>
  <c r="N691" i="2"/>
  <c r="N741" i="2"/>
  <c r="N737" i="2"/>
  <c r="N724" i="2"/>
  <c r="N730" i="2"/>
  <c r="N726" i="2"/>
  <c r="N759" i="1"/>
  <c r="N755" i="1"/>
  <c r="N707" i="1"/>
  <c r="N728" i="1"/>
  <c r="N724" i="1"/>
  <c r="N730" i="1"/>
  <c r="N726" i="1"/>
  <c r="N748" i="1"/>
  <c r="N744" i="1"/>
  <c r="N746" i="1"/>
  <c r="N723" i="1"/>
  <c r="N741" i="1"/>
  <c r="N733" i="1"/>
  <c r="N749" i="2"/>
  <c r="N745" i="2"/>
  <c r="N748" i="2"/>
  <c r="N744" i="2"/>
  <c r="N622" i="2"/>
  <c r="N660" i="2"/>
  <c r="N656" i="2"/>
  <c r="N652" i="2"/>
  <c r="N671" i="2"/>
  <c r="N663" i="2"/>
  <c r="N681" i="2"/>
  <c r="N677" i="2"/>
  <c r="N673" i="2"/>
  <c r="N700" i="2"/>
  <c r="N702" i="2"/>
  <c r="N708" i="2"/>
  <c r="N704" i="2"/>
  <c r="N713" i="2"/>
  <c r="N693" i="2"/>
  <c r="N727" i="2"/>
  <c r="N749" i="1"/>
  <c r="N745" i="1"/>
  <c r="N701" i="1"/>
  <c r="N693" i="1"/>
  <c r="N727" i="1"/>
  <c r="N739" i="2"/>
  <c r="N735" i="2"/>
  <c r="N684" i="2"/>
  <c r="N706" i="2"/>
  <c r="N721" i="2"/>
  <c r="N717" i="2"/>
  <c r="N670" i="2"/>
  <c r="N666" i="2"/>
  <c r="N720" i="2"/>
  <c r="N716" i="2"/>
  <c r="N739" i="1"/>
  <c r="N735" i="1"/>
  <c r="N738" i="1"/>
  <c r="N734" i="1"/>
  <c r="N691" i="1"/>
  <c r="N696" i="1"/>
  <c r="N720" i="1"/>
  <c r="N712" i="1"/>
  <c r="N729" i="2"/>
  <c r="N725" i="2"/>
  <c r="N690" i="2"/>
  <c r="N686" i="2"/>
  <c r="N707" i="2"/>
  <c r="N703" i="2"/>
  <c r="N709" i="2"/>
  <c r="N705" i="2"/>
  <c r="N683" i="2"/>
  <c r="N729" i="1"/>
  <c r="N725" i="1"/>
  <c r="N642" i="1"/>
  <c r="N668" i="1"/>
  <c r="N697" i="1"/>
  <c r="N711" i="1"/>
  <c r="N703" i="1"/>
  <c r="N681" i="1"/>
  <c r="N710" i="1"/>
  <c r="N702" i="1"/>
  <c r="N708" i="1"/>
  <c r="N704" i="1"/>
  <c r="N718" i="1"/>
  <c r="N714" i="1"/>
  <c r="N719" i="2"/>
  <c r="N715" i="2"/>
  <c r="N647" i="2"/>
  <c r="N643" i="2"/>
  <c r="N661" i="2"/>
  <c r="N653" i="2"/>
  <c r="N680" i="2"/>
  <c r="N676" i="2"/>
  <c r="N672" i="2"/>
  <c r="N674" i="2"/>
  <c r="N682" i="2"/>
  <c r="N688" i="2"/>
  <c r="N701" i="2"/>
  <c r="N697" i="2"/>
  <c r="N687" i="2"/>
  <c r="N719" i="1"/>
  <c r="N715" i="1"/>
  <c r="N700" i="1"/>
  <c r="N692" i="1"/>
  <c r="N709" i="1"/>
  <c r="N705" i="1"/>
  <c r="N689" i="1"/>
  <c r="N685" i="1"/>
  <c r="N690" i="1"/>
  <c r="N686" i="1"/>
  <c r="N682" i="1"/>
  <c r="N688" i="1"/>
  <c r="N684" i="1"/>
  <c r="N677" i="1"/>
  <c r="N673" i="1"/>
  <c r="N687" i="1"/>
  <c r="N607" i="2"/>
  <c r="N628" i="2"/>
  <c r="N689" i="2"/>
  <c r="N685" i="2"/>
  <c r="N699" i="2"/>
  <c r="N695" i="2"/>
  <c r="N678" i="2"/>
  <c r="N636" i="2"/>
  <c r="N664" i="2"/>
  <c r="N641" i="2"/>
  <c r="N699" i="1"/>
  <c r="N695" i="1"/>
  <c r="N698" i="1"/>
  <c r="N694" i="1"/>
  <c r="N661" i="1"/>
  <c r="N671" i="1"/>
  <c r="N667" i="1"/>
  <c r="N663" i="1"/>
  <c r="N669" i="1"/>
  <c r="N665" i="1"/>
  <c r="N683" i="1"/>
  <c r="N670" i="1"/>
  <c r="N666" i="1"/>
  <c r="N662" i="1"/>
  <c r="N664" i="1"/>
  <c r="N678" i="1"/>
  <c r="N672" i="1"/>
  <c r="N679" i="1"/>
  <c r="N675" i="1"/>
  <c r="N632" i="1"/>
  <c r="N653" i="1"/>
  <c r="N674" i="1"/>
  <c r="N680" i="1"/>
  <c r="N676" i="1"/>
  <c r="N630" i="2"/>
  <c r="N633" i="2"/>
  <c r="N572" i="2"/>
  <c r="N582" i="2"/>
  <c r="N602" i="2"/>
  <c r="N612" i="2"/>
  <c r="N679" i="2"/>
  <c r="N675" i="2"/>
  <c r="N640" i="2"/>
  <c r="N657" i="2"/>
  <c r="N668" i="2"/>
  <c r="N642" i="2"/>
  <c r="N658" i="2"/>
  <c r="N654" i="2"/>
  <c r="N667" i="2"/>
  <c r="N631" i="2"/>
  <c r="N651" i="2"/>
  <c r="N650" i="1"/>
  <c r="N660" i="1"/>
  <c r="N656" i="1"/>
  <c r="N633" i="1"/>
  <c r="N657" i="1"/>
  <c r="N630" i="1"/>
  <c r="N622" i="1"/>
  <c r="N641" i="1"/>
  <c r="N637" i="1"/>
  <c r="N651" i="1"/>
  <c r="N647" i="1"/>
  <c r="N643" i="1"/>
  <c r="N652" i="1"/>
  <c r="N621" i="1"/>
  <c r="N631" i="1"/>
  <c r="N669" i="2"/>
  <c r="N665" i="2"/>
  <c r="N551" i="2"/>
  <c r="N623" i="2"/>
  <c r="N644" i="2"/>
  <c r="N650" i="2"/>
  <c r="N646" i="2"/>
  <c r="N659" i="2"/>
  <c r="N655" i="2"/>
  <c r="N632" i="2"/>
  <c r="N572" i="1"/>
  <c r="N638" i="1"/>
  <c r="N634" i="1"/>
  <c r="N640" i="1"/>
  <c r="N636" i="1"/>
  <c r="N646" i="1"/>
  <c r="N594" i="2"/>
  <c r="N624" i="2"/>
  <c r="N626" i="2"/>
  <c r="N637" i="2"/>
  <c r="N608" i="2"/>
  <c r="N604" i="2"/>
  <c r="N610" i="2"/>
  <c r="N606" i="2"/>
  <c r="N621" i="2"/>
  <c r="N638" i="2"/>
  <c r="N634" i="2"/>
  <c r="N648" i="2"/>
  <c r="N659" i="1"/>
  <c r="N655" i="1"/>
  <c r="N658" i="1"/>
  <c r="N654" i="1"/>
  <c r="N620" i="1"/>
  <c r="N616" i="1"/>
  <c r="N612" i="1"/>
  <c r="N618" i="1"/>
  <c r="N614" i="1"/>
  <c r="N623" i="1"/>
  <c r="N649" i="2"/>
  <c r="N645" i="2"/>
  <c r="N593" i="2"/>
  <c r="N617" i="2"/>
  <c r="N613" i="2"/>
  <c r="N627" i="2"/>
  <c r="N584" i="2"/>
  <c r="N618" i="2"/>
  <c r="N649" i="1"/>
  <c r="N645" i="1"/>
  <c r="N648" i="1"/>
  <c r="N644" i="1"/>
  <c r="N627" i="1"/>
  <c r="N613" i="1"/>
  <c r="N626" i="1"/>
  <c r="N639" i="2"/>
  <c r="N635" i="2"/>
  <c r="N563" i="2"/>
  <c r="N578" i="2"/>
  <c r="N574" i="2"/>
  <c r="N611" i="2"/>
  <c r="N603" i="2"/>
  <c r="N629" i="2"/>
  <c r="N625" i="2"/>
  <c r="N570" i="2"/>
  <c r="N562" i="2"/>
  <c r="N600" i="2"/>
  <c r="N614" i="2"/>
  <c r="N620" i="2"/>
  <c r="N616" i="2"/>
  <c r="N639" i="1"/>
  <c r="N635" i="1"/>
  <c r="N603" i="1"/>
  <c r="N617" i="1"/>
  <c r="N578" i="1"/>
  <c r="N574" i="1"/>
  <c r="N580" i="1"/>
  <c r="N576" i="1"/>
  <c r="N602" i="1"/>
  <c r="N588" i="2"/>
  <c r="N590" i="2"/>
  <c r="N586" i="2"/>
  <c r="N596" i="2"/>
  <c r="N592" i="2"/>
  <c r="N629" i="1"/>
  <c r="N625" i="1"/>
  <c r="N628" i="1"/>
  <c r="N624" i="1"/>
  <c r="N611" i="1"/>
  <c r="N607" i="1"/>
  <c r="N608" i="1"/>
  <c r="N604" i="1"/>
  <c r="N610" i="1"/>
  <c r="N606" i="1"/>
  <c r="N619" i="2"/>
  <c r="N615" i="2"/>
  <c r="N580" i="2"/>
  <c r="N576" i="2"/>
  <c r="N598" i="2"/>
  <c r="N581" i="2"/>
  <c r="N577" i="2"/>
  <c r="N573" i="2"/>
  <c r="N601" i="2"/>
  <c r="N597" i="2"/>
  <c r="N510" i="2"/>
  <c r="N536" i="2"/>
  <c r="N619" i="1"/>
  <c r="N615" i="1"/>
  <c r="N596" i="1"/>
  <c r="N592" i="1"/>
  <c r="N573" i="1"/>
  <c r="N601" i="1"/>
  <c r="N597" i="1"/>
  <c r="N609" i="1"/>
  <c r="N600" i="1"/>
  <c r="N532" i="1"/>
  <c r="N591" i="1"/>
  <c r="N583" i="1"/>
  <c r="N593" i="1"/>
  <c r="N605" i="1"/>
  <c r="N581" i="1"/>
  <c r="N577" i="1"/>
  <c r="N590" i="1"/>
  <c r="N586" i="1"/>
  <c r="N582" i="1"/>
  <c r="N609" i="2"/>
  <c r="N605" i="2"/>
  <c r="N511" i="2"/>
  <c r="N552" i="2"/>
  <c r="N571" i="2"/>
  <c r="N567" i="2"/>
  <c r="N591" i="2"/>
  <c r="N587" i="2"/>
  <c r="N583" i="2"/>
  <c r="N589" i="2"/>
  <c r="N568" i="2"/>
  <c r="N564" i="2"/>
  <c r="N599" i="2"/>
  <c r="N595" i="2"/>
  <c r="N540" i="1"/>
  <c r="N536" i="1"/>
  <c r="N552" i="1"/>
  <c r="N568" i="1"/>
  <c r="N564" i="1"/>
  <c r="N587" i="1"/>
  <c r="N560" i="2"/>
  <c r="N507" i="2"/>
  <c r="N503" i="2"/>
  <c r="N585" i="2"/>
  <c r="N599" i="1"/>
  <c r="N595" i="1"/>
  <c r="N598" i="1"/>
  <c r="N594" i="1"/>
  <c r="N541" i="1"/>
  <c r="N530" i="1"/>
  <c r="N526" i="1"/>
  <c r="N561" i="1"/>
  <c r="N557" i="1"/>
  <c r="N553" i="1"/>
  <c r="N569" i="1"/>
  <c r="N588" i="1"/>
  <c r="N584" i="1"/>
  <c r="N542" i="2"/>
  <c r="N558" i="2"/>
  <c r="N556" i="2"/>
  <c r="N566" i="2"/>
  <c r="N589" i="1"/>
  <c r="N585" i="1"/>
  <c r="N524" i="1"/>
  <c r="N547" i="1"/>
  <c r="N546" i="1"/>
  <c r="N558" i="1"/>
  <c r="N554" i="1"/>
  <c r="N560" i="1"/>
  <c r="N556" i="1"/>
  <c r="N579" i="2"/>
  <c r="N575" i="2"/>
  <c r="N487" i="2"/>
  <c r="N489" i="2"/>
  <c r="N548" i="2"/>
  <c r="N544" i="2"/>
  <c r="N550" i="2"/>
  <c r="N546" i="2"/>
  <c r="N561" i="2"/>
  <c r="N557" i="2"/>
  <c r="N553" i="2"/>
  <c r="N559" i="2"/>
  <c r="N555" i="2"/>
  <c r="N541" i="2"/>
  <c r="N537" i="2"/>
  <c r="N533" i="2"/>
  <c r="N547" i="2"/>
  <c r="N543" i="2"/>
  <c r="N554" i="2"/>
  <c r="N579" i="1"/>
  <c r="N575" i="1"/>
  <c r="N567" i="1"/>
  <c r="N565" i="1"/>
  <c r="N571" i="1"/>
  <c r="N563" i="1"/>
  <c r="N502" i="1"/>
  <c r="N522" i="1"/>
  <c r="N570" i="1"/>
  <c r="N566" i="1"/>
  <c r="N562" i="1"/>
  <c r="N569" i="2"/>
  <c r="N565" i="2"/>
  <c r="N531" i="2"/>
  <c r="N523" i="2"/>
  <c r="N530" i="2"/>
  <c r="N522" i="2"/>
  <c r="N540" i="2"/>
  <c r="N532" i="2"/>
  <c r="N521" i="1"/>
  <c r="N533" i="1"/>
  <c r="N551" i="1"/>
  <c r="N543" i="1"/>
  <c r="N550" i="1"/>
  <c r="N542" i="1"/>
  <c r="N516" i="2"/>
  <c r="N528" i="2"/>
  <c r="N524" i="2"/>
  <c r="N559" i="1"/>
  <c r="N555" i="1"/>
  <c r="N527" i="1"/>
  <c r="N451" i="1"/>
  <c r="N483" i="1"/>
  <c r="N528" i="1"/>
  <c r="N537" i="1"/>
  <c r="N549" i="2"/>
  <c r="N545" i="2"/>
  <c r="N500" i="2"/>
  <c r="N492" i="2"/>
  <c r="N521" i="2"/>
  <c r="N517" i="2"/>
  <c r="N513" i="2"/>
  <c r="N527" i="2"/>
  <c r="N526" i="2"/>
  <c r="N549" i="1"/>
  <c r="N545" i="1"/>
  <c r="N548" i="1"/>
  <c r="N544" i="1"/>
  <c r="N508" i="1"/>
  <c r="N504" i="1"/>
  <c r="N510" i="1"/>
  <c r="N531" i="1"/>
  <c r="N523" i="1"/>
  <c r="N513" i="1"/>
  <c r="N539" i="2"/>
  <c r="N535" i="2"/>
  <c r="N538" i="2"/>
  <c r="N534" i="2"/>
  <c r="N482" i="2"/>
  <c r="N498" i="2"/>
  <c r="N496" i="2"/>
  <c r="N463" i="2"/>
  <c r="N502" i="2"/>
  <c r="N520" i="2"/>
  <c r="N512" i="2"/>
  <c r="N539" i="1"/>
  <c r="N535" i="1"/>
  <c r="N538" i="1"/>
  <c r="N534" i="1"/>
  <c r="N503" i="1"/>
  <c r="N529" i="1"/>
  <c r="N525" i="1"/>
  <c r="N501" i="1"/>
  <c r="N497" i="1"/>
  <c r="N493" i="1"/>
  <c r="N520" i="1"/>
  <c r="N516" i="1"/>
  <c r="N512" i="1"/>
  <c r="N529" i="2"/>
  <c r="N525" i="2"/>
  <c r="N491" i="2"/>
  <c r="N483" i="2"/>
  <c r="N501" i="2"/>
  <c r="N493" i="2"/>
  <c r="N506" i="2"/>
  <c r="N518" i="2"/>
  <c r="N514" i="2"/>
  <c r="N442" i="2"/>
  <c r="N462" i="2"/>
  <c r="N494" i="2"/>
  <c r="N517" i="1"/>
  <c r="N511" i="1"/>
  <c r="N506" i="1"/>
  <c r="N507" i="1"/>
  <c r="N492" i="1"/>
  <c r="N519" i="2"/>
  <c r="N515" i="2"/>
  <c r="N451" i="2"/>
  <c r="N476" i="2"/>
  <c r="N472" i="2"/>
  <c r="N497" i="2"/>
  <c r="N508" i="2"/>
  <c r="N504" i="2"/>
  <c r="N519" i="1"/>
  <c r="N515" i="1"/>
  <c r="N518" i="1"/>
  <c r="N514" i="1"/>
  <c r="N436" i="1"/>
  <c r="N509" i="1"/>
  <c r="N505" i="1"/>
  <c r="N491" i="1"/>
  <c r="N498" i="1"/>
  <c r="N494" i="1"/>
  <c r="N500" i="1"/>
  <c r="N496" i="1"/>
  <c r="N509" i="2"/>
  <c r="N505" i="2"/>
  <c r="N468" i="2"/>
  <c r="N460" i="2"/>
  <c r="N471" i="2"/>
  <c r="N481" i="2"/>
  <c r="N477" i="2"/>
  <c r="N473" i="2"/>
  <c r="N488" i="2"/>
  <c r="N484" i="2"/>
  <c r="N490" i="2"/>
  <c r="N486" i="2"/>
  <c r="N443" i="2"/>
  <c r="N450" i="1"/>
  <c r="N471" i="1"/>
  <c r="N467" i="1"/>
  <c r="N463" i="1"/>
  <c r="N452" i="1"/>
  <c r="N466" i="1"/>
  <c r="N499" i="2"/>
  <c r="N495" i="2"/>
  <c r="N467" i="2"/>
  <c r="N480" i="2"/>
  <c r="N485" i="2"/>
  <c r="N456" i="2"/>
  <c r="N452" i="2"/>
  <c r="N478" i="2"/>
  <c r="N486" i="1"/>
  <c r="N472" i="1"/>
  <c r="N480" i="1"/>
  <c r="N461" i="1"/>
  <c r="N453" i="1"/>
  <c r="N481" i="1"/>
  <c r="N477" i="1"/>
  <c r="N490" i="1"/>
  <c r="N482" i="1"/>
  <c r="N487" i="1"/>
  <c r="N499" i="1"/>
  <c r="N495" i="1"/>
  <c r="N473" i="1"/>
  <c r="N458" i="1"/>
  <c r="N454" i="1"/>
  <c r="N460" i="1"/>
  <c r="N456" i="1"/>
  <c r="N416" i="2"/>
  <c r="N432" i="2"/>
  <c r="N438" i="2"/>
  <c r="N464" i="2"/>
  <c r="N470" i="2"/>
  <c r="N466" i="2"/>
  <c r="N474" i="2"/>
  <c r="N450" i="2"/>
  <c r="N461" i="2"/>
  <c r="N453" i="2"/>
  <c r="N489" i="1"/>
  <c r="N485" i="1"/>
  <c r="N488" i="1"/>
  <c r="N484" i="1"/>
  <c r="N423" i="1"/>
  <c r="N470" i="1"/>
  <c r="N462" i="1"/>
  <c r="N476" i="1"/>
  <c r="N479" i="2"/>
  <c r="N475" i="2"/>
  <c r="N457" i="2"/>
  <c r="N390" i="2"/>
  <c r="N382" i="2"/>
  <c r="N410" i="2"/>
  <c r="N406" i="2"/>
  <c r="N402" i="2"/>
  <c r="N408" i="2"/>
  <c r="N404" i="2"/>
  <c r="N421" i="2"/>
  <c r="N423" i="2"/>
  <c r="N479" i="1"/>
  <c r="N475" i="1"/>
  <c r="N478" i="1"/>
  <c r="N474" i="1"/>
  <c r="N428" i="1"/>
  <c r="N430" i="1"/>
  <c r="N426" i="1"/>
  <c r="N422" i="1"/>
  <c r="N443" i="1"/>
  <c r="N442" i="1"/>
  <c r="N457" i="1"/>
  <c r="N468" i="1"/>
  <c r="N464" i="1"/>
  <c r="N469" i="2"/>
  <c r="N465" i="2"/>
  <c r="N397" i="2"/>
  <c r="N430" i="2"/>
  <c r="N426" i="2"/>
  <c r="N422" i="2"/>
  <c r="N424" i="2"/>
  <c r="N433" i="2"/>
  <c r="N447" i="2"/>
  <c r="N446" i="2"/>
  <c r="N469" i="1"/>
  <c r="N465" i="1"/>
  <c r="N417" i="1"/>
  <c r="N431" i="1"/>
  <c r="N427" i="1"/>
  <c r="N429" i="1"/>
  <c r="N425" i="1"/>
  <c r="N447" i="1"/>
  <c r="N441" i="1"/>
  <c r="N437" i="1"/>
  <c r="N433" i="1"/>
  <c r="N448" i="1"/>
  <c r="N446" i="1"/>
  <c r="N459" i="2"/>
  <c r="N455" i="2"/>
  <c r="N458" i="2"/>
  <c r="N454" i="2"/>
  <c r="N441" i="2"/>
  <c r="N437" i="2"/>
  <c r="N434" i="2"/>
  <c r="N440" i="2"/>
  <c r="N436" i="2"/>
  <c r="N459" i="1"/>
  <c r="N455" i="1"/>
  <c r="N440" i="1"/>
  <c r="N432" i="1"/>
  <c r="N397" i="1"/>
  <c r="N410" i="1"/>
  <c r="N402" i="1"/>
  <c r="N408" i="1"/>
  <c r="N404" i="1"/>
  <c r="N420" i="1"/>
  <c r="N416" i="1"/>
  <c r="N412" i="1"/>
  <c r="N449" i="2"/>
  <c r="N445" i="2"/>
  <c r="N448" i="2"/>
  <c r="N444" i="2"/>
  <c r="N420" i="2"/>
  <c r="N412" i="2"/>
  <c r="N418" i="2"/>
  <c r="N414" i="2"/>
  <c r="N431" i="2"/>
  <c r="N427" i="2"/>
  <c r="N401" i="2"/>
  <c r="N393" i="2"/>
  <c r="N403" i="2"/>
  <c r="N449" i="1"/>
  <c r="N445" i="1"/>
  <c r="N444" i="1"/>
  <c r="N424" i="1"/>
  <c r="N438" i="1"/>
  <c r="N434" i="1"/>
  <c r="N439" i="2"/>
  <c r="N435" i="2"/>
  <c r="N381" i="2"/>
  <c r="N377" i="2"/>
  <c r="N373" i="2"/>
  <c r="N411" i="2"/>
  <c r="N407" i="2"/>
  <c r="N370" i="2"/>
  <c r="N372" i="2"/>
  <c r="N400" i="2"/>
  <c r="N396" i="2"/>
  <c r="N392" i="2"/>
  <c r="N417" i="2"/>
  <c r="N413" i="2"/>
  <c r="N428" i="2"/>
  <c r="N439" i="1"/>
  <c r="N435" i="1"/>
  <c r="N383" i="1"/>
  <c r="N406" i="1"/>
  <c r="N342" i="1"/>
  <c r="N354" i="1"/>
  <c r="N362" i="1"/>
  <c r="N382" i="1"/>
  <c r="N403" i="1"/>
  <c r="N409" i="1"/>
  <c r="N405" i="1"/>
  <c r="N421" i="1"/>
  <c r="N413" i="1"/>
  <c r="N429" i="2"/>
  <c r="N425" i="2"/>
  <c r="N391" i="2"/>
  <c r="N387" i="2"/>
  <c r="N383" i="2"/>
  <c r="N391" i="1"/>
  <c r="N387" i="1"/>
  <c r="N411" i="1"/>
  <c r="N407" i="1"/>
  <c r="N371" i="1"/>
  <c r="N400" i="1"/>
  <c r="N396" i="1"/>
  <c r="N392" i="1"/>
  <c r="N419" i="2"/>
  <c r="N415" i="2"/>
  <c r="N371" i="2"/>
  <c r="N378" i="2"/>
  <c r="N374" i="2"/>
  <c r="N380" i="2"/>
  <c r="N376" i="2"/>
  <c r="N419" i="1"/>
  <c r="N415" i="1"/>
  <c r="N418" i="1"/>
  <c r="N414" i="1"/>
  <c r="N373" i="1"/>
  <c r="N384" i="1"/>
  <c r="N390" i="1"/>
  <c r="N386" i="1"/>
  <c r="N401" i="1"/>
  <c r="N393" i="1"/>
  <c r="N409" i="2"/>
  <c r="N405" i="2"/>
  <c r="N388" i="2"/>
  <c r="N384" i="2"/>
  <c r="N386" i="2"/>
  <c r="N398" i="2"/>
  <c r="N394" i="2"/>
  <c r="N358" i="2"/>
  <c r="N381" i="1"/>
  <c r="N361" i="1"/>
  <c r="N353" i="1"/>
  <c r="N380" i="1"/>
  <c r="N376" i="1"/>
  <c r="N372" i="1"/>
  <c r="N399" i="2"/>
  <c r="N395" i="2"/>
  <c r="N333" i="2"/>
  <c r="N347" i="2"/>
  <c r="N343" i="2"/>
  <c r="N363" i="2"/>
  <c r="N362" i="2"/>
  <c r="N399" i="1"/>
  <c r="N395" i="1"/>
  <c r="N398" i="1"/>
  <c r="N394" i="1"/>
  <c r="N368" i="1"/>
  <c r="N364" i="1"/>
  <c r="N370" i="1"/>
  <c r="N366" i="1"/>
  <c r="N377" i="1"/>
  <c r="N363" i="1"/>
  <c r="N388" i="1"/>
  <c r="N389" i="2"/>
  <c r="N385" i="2"/>
  <c r="N312" i="2"/>
  <c r="N330" i="2"/>
  <c r="N326" i="2"/>
  <c r="N322" i="2"/>
  <c r="N328" i="2"/>
  <c r="N324" i="2"/>
  <c r="N342" i="2"/>
  <c r="N353" i="2"/>
  <c r="N367" i="2"/>
  <c r="N352" i="2"/>
  <c r="N368" i="2"/>
  <c r="N364" i="2"/>
  <c r="N366" i="2"/>
  <c r="N389" i="1"/>
  <c r="N385" i="1"/>
  <c r="N378" i="1"/>
  <c r="N374" i="1"/>
  <c r="N356" i="1"/>
  <c r="N367" i="1"/>
  <c r="N379" i="2"/>
  <c r="N375" i="2"/>
  <c r="N361" i="2"/>
  <c r="N357" i="2"/>
  <c r="N263" i="2"/>
  <c r="N303" i="2"/>
  <c r="N318" i="2"/>
  <c r="N314" i="2"/>
  <c r="N320" i="2"/>
  <c r="N316" i="2"/>
  <c r="N354" i="2"/>
  <c r="N360" i="2"/>
  <c r="N356" i="2"/>
  <c r="N379" i="1"/>
  <c r="N375" i="1"/>
  <c r="N348" i="1"/>
  <c r="N344" i="1"/>
  <c r="N350" i="1"/>
  <c r="N346" i="1"/>
  <c r="N360" i="1"/>
  <c r="N352" i="1"/>
  <c r="N358" i="1"/>
  <c r="N321" i="1"/>
  <c r="N317" i="1"/>
  <c r="N313" i="1"/>
  <c r="N330" i="1"/>
  <c r="N326" i="1"/>
  <c r="N322" i="1"/>
  <c r="N357" i="1"/>
  <c r="N369" i="2"/>
  <c r="N365" i="2"/>
  <c r="N302" i="2"/>
  <c r="N321" i="2"/>
  <c r="N317" i="2"/>
  <c r="N313" i="2"/>
  <c r="N341" i="2"/>
  <c r="N337" i="2"/>
  <c r="N351" i="2"/>
  <c r="N323" i="2"/>
  <c r="N336" i="2"/>
  <c r="N344" i="2"/>
  <c r="N350" i="2"/>
  <c r="N346" i="2"/>
  <c r="N369" i="1"/>
  <c r="N365" i="1"/>
  <c r="N333" i="1"/>
  <c r="N351" i="1"/>
  <c r="N347" i="1"/>
  <c r="N343" i="1"/>
  <c r="N359" i="1"/>
  <c r="N359" i="2"/>
  <c r="N355" i="2"/>
  <c r="N311" i="2"/>
  <c r="N331" i="2"/>
  <c r="N327" i="2"/>
  <c r="N244" i="2"/>
  <c r="N300" i="2"/>
  <c r="N296" i="2"/>
  <c r="N292" i="2"/>
  <c r="N308" i="2"/>
  <c r="N304" i="2"/>
  <c r="N310" i="2"/>
  <c r="N340" i="2"/>
  <c r="N332" i="2"/>
  <c r="N338" i="2"/>
  <c r="N348" i="2"/>
  <c r="N283" i="2"/>
  <c r="N355" i="1"/>
  <c r="N341" i="1"/>
  <c r="N286" i="1"/>
  <c r="N302" i="1"/>
  <c r="N336" i="1"/>
  <c r="N340" i="1"/>
  <c r="N332" i="1"/>
  <c r="N316" i="1"/>
  <c r="N337" i="1"/>
  <c r="N349" i="2"/>
  <c r="N345" i="2"/>
  <c r="N274" i="2"/>
  <c r="N290" i="2"/>
  <c r="N248" i="2"/>
  <c r="N297" i="2"/>
  <c r="N334" i="2"/>
  <c r="N349" i="1"/>
  <c r="N345" i="1"/>
  <c r="N280" i="1"/>
  <c r="N291" i="1"/>
  <c r="N287" i="1"/>
  <c r="N283" i="1"/>
  <c r="N289" i="1"/>
  <c r="N285" i="1"/>
  <c r="N281" i="1"/>
  <c r="N311" i="1"/>
  <c r="N307" i="1"/>
  <c r="N303" i="1"/>
  <c r="N309" i="1"/>
  <c r="N305" i="1"/>
  <c r="N331" i="1"/>
  <c r="N327" i="1"/>
  <c r="N323" i="1"/>
  <c r="N329" i="1"/>
  <c r="N325" i="1"/>
  <c r="N339" i="2"/>
  <c r="N335" i="2"/>
  <c r="N281" i="2"/>
  <c r="N277" i="2"/>
  <c r="N306" i="2"/>
  <c r="N202" i="2"/>
  <c r="N339" i="1"/>
  <c r="N335" i="1"/>
  <c r="N338" i="1"/>
  <c r="N334" i="1"/>
  <c r="N232" i="1"/>
  <c r="N297" i="1"/>
  <c r="N270" i="1"/>
  <c r="N292" i="1"/>
  <c r="N320" i="1"/>
  <c r="N312" i="1"/>
  <c r="N329" i="2"/>
  <c r="N325" i="2"/>
  <c r="N273" i="2"/>
  <c r="N307" i="2"/>
  <c r="N328" i="1"/>
  <c r="N324" i="1"/>
  <c r="N231" i="1"/>
  <c r="N227" i="1"/>
  <c r="N223" i="1"/>
  <c r="N229" i="1"/>
  <c r="N225" i="1"/>
  <c r="N240" i="1"/>
  <c r="N236" i="1"/>
  <c r="N271" i="1"/>
  <c r="N267" i="1"/>
  <c r="N263" i="1"/>
  <c r="N300" i="1"/>
  <c r="N296" i="1"/>
  <c r="N310" i="1"/>
  <c r="N306" i="1"/>
  <c r="N319" i="2"/>
  <c r="N315" i="2"/>
  <c r="N224" i="2"/>
  <c r="N280" i="2"/>
  <c r="N282" i="2"/>
  <c r="N293" i="2"/>
  <c r="N291" i="2"/>
  <c r="N319" i="1"/>
  <c r="N315" i="1"/>
  <c r="N318" i="1"/>
  <c r="N314" i="1"/>
  <c r="N212" i="1"/>
  <c r="N290" i="1"/>
  <c r="N282" i="1"/>
  <c r="N301" i="1"/>
  <c r="N293" i="1"/>
  <c r="N309" i="2"/>
  <c r="N305" i="2"/>
  <c r="N301" i="2"/>
  <c r="N287" i="2"/>
  <c r="N266" i="2"/>
  <c r="N284" i="2"/>
  <c r="N286" i="2"/>
  <c r="N252" i="2"/>
  <c r="N271" i="2"/>
  <c r="N308" i="1"/>
  <c r="N304" i="1"/>
  <c r="N273" i="1"/>
  <c r="N260" i="1"/>
  <c r="N272" i="1"/>
  <c r="N288" i="1"/>
  <c r="N284" i="1"/>
  <c r="N299" i="2"/>
  <c r="N295" i="2"/>
  <c r="N298" i="2"/>
  <c r="N294" i="2"/>
  <c r="N238" i="2"/>
  <c r="N254" i="2"/>
  <c r="N260" i="2"/>
  <c r="N208" i="2"/>
  <c r="N204" i="2"/>
  <c r="N253" i="2"/>
  <c r="N270" i="2"/>
  <c r="N262" i="2"/>
  <c r="N276" i="2"/>
  <c r="N272" i="2"/>
  <c r="N288" i="2"/>
  <c r="N299" i="1"/>
  <c r="N295" i="1"/>
  <c r="N298" i="1"/>
  <c r="N294" i="1"/>
  <c r="N256" i="1"/>
  <c r="N252" i="1"/>
  <c r="N277" i="1"/>
  <c r="N250" i="1"/>
  <c r="N246" i="1"/>
  <c r="N242" i="1"/>
  <c r="N248" i="1"/>
  <c r="N244" i="1"/>
  <c r="N261" i="1"/>
  <c r="N257" i="1"/>
  <c r="N253" i="1"/>
  <c r="N262" i="1"/>
  <c r="N276" i="1"/>
  <c r="N289" i="2"/>
  <c r="N285" i="2"/>
  <c r="N200" i="2"/>
  <c r="N226" i="2"/>
  <c r="N267" i="2"/>
  <c r="N278" i="2"/>
  <c r="N266" i="1"/>
  <c r="N279" i="2"/>
  <c r="N275" i="2"/>
  <c r="N239" i="2"/>
  <c r="N261" i="2"/>
  <c r="N257" i="2"/>
  <c r="N256" i="2"/>
  <c r="N279" i="1"/>
  <c r="N275" i="1"/>
  <c r="N278" i="1"/>
  <c r="N274" i="1"/>
  <c r="N206" i="1"/>
  <c r="N202" i="1"/>
  <c r="N214" i="1"/>
  <c r="N220" i="1"/>
  <c r="N216" i="1"/>
  <c r="N269" i="2"/>
  <c r="N265" i="2"/>
  <c r="N268" i="2"/>
  <c r="N264" i="2"/>
  <c r="N251" i="2"/>
  <c r="N247" i="2"/>
  <c r="N243" i="2"/>
  <c r="N249" i="2"/>
  <c r="N221" i="2"/>
  <c r="N217" i="2"/>
  <c r="N231" i="2"/>
  <c r="N250" i="2"/>
  <c r="N246" i="2"/>
  <c r="N242" i="2"/>
  <c r="N258" i="2"/>
  <c r="N269" i="1"/>
  <c r="N265" i="1"/>
  <c r="N268" i="1"/>
  <c r="N264" i="1"/>
  <c r="N230" i="1"/>
  <c r="N226" i="1"/>
  <c r="N222" i="1"/>
  <c r="N224" i="1"/>
  <c r="N184" i="1"/>
  <c r="N192" i="1"/>
  <c r="N237" i="1"/>
  <c r="N251" i="1"/>
  <c r="N243" i="1"/>
  <c r="N259" i="2"/>
  <c r="N255" i="2"/>
  <c r="N210" i="2"/>
  <c r="N206" i="2"/>
  <c r="N183" i="2"/>
  <c r="N211" i="2"/>
  <c r="N19" i="2"/>
  <c r="N23" i="2"/>
  <c r="N33" i="2"/>
  <c r="N37" i="2"/>
  <c r="N43" i="2"/>
  <c r="N259" i="1"/>
  <c r="N255" i="1"/>
  <c r="N258" i="1"/>
  <c r="N254" i="1"/>
  <c r="N221" i="1"/>
  <c r="N217" i="1"/>
  <c r="N213" i="1"/>
  <c r="N241" i="1"/>
  <c r="N233" i="1"/>
  <c r="N239" i="1"/>
  <c r="N235" i="1"/>
  <c r="N247" i="1"/>
  <c r="N197" i="1"/>
  <c r="N195" i="1"/>
  <c r="N249" i="1"/>
  <c r="N245" i="1"/>
  <c r="N228" i="1"/>
  <c r="N238" i="1"/>
  <c r="N172" i="1"/>
  <c r="N187" i="1"/>
  <c r="N199" i="1"/>
  <c r="N201" i="1"/>
  <c r="N211" i="1"/>
  <c r="N207" i="1"/>
  <c r="N203" i="1"/>
  <c r="N209" i="1"/>
  <c r="N205" i="1"/>
  <c r="N208" i="1"/>
  <c r="N245" i="2"/>
  <c r="N227" i="2"/>
  <c r="N223" i="2"/>
  <c r="N241" i="2"/>
  <c r="N237" i="2"/>
  <c r="N233" i="2"/>
  <c r="N235" i="2"/>
  <c r="N192" i="2"/>
  <c r="N213" i="2"/>
  <c r="N230" i="2"/>
  <c r="N222" i="2"/>
  <c r="N228" i="2"/>
  <c r="N240" i="2"/>
  <c r="N236" i="2"/>
  <c r="N232" i="2"/>
  <c r="N234" i="2"/>
  <c r="N181" i="2"/>
  <c r="N173" i="2"/>
  <c r="N198" i="2"/>
  <c r="N194" i="2"/>
  <c r="N196" i="2"/>
  <c r="N207" i="2"/>
  <c r="N203" i="2"/>
  <c r="N218" i="2"/>
  <c r="N214" i="2"/>
  <c r="N170" i="2"/>
  <c r="N166" i="2"/>
  <c r="N162" i="2"/>
  <c r="N180" i="2"/>
  <c r="N172" i="2"/>
  <c r="N234" i="1"/>
  <c r="N218" i="1"/>
  <c r="N204" i="1"/>
  <c r="N210" i="1"/>
  <c r="N229" i="2"/>
  <c r="N225" i="2"/>
  <c r="N201" i="2"/>
  <c r="N193" i="2"/>
  <c r="N220" i="2"/>
  <c r="N216" i="2"/>
  <c r="N212" i="2"/>
  <c r="N182" i="2"/>
  <c r="N181" i="1"/>
  <c r="N177" i="1"/>
  <c r="N173" i="1"/>
  <c r="N198" i="1"/>
  <c r="N194" i="1"/>
  <c r="N200" i="1"/>
  <c r="N196" i="1"/>
  <c r="N193" i="1"/>
  <c r="N219" i="2"/>
  <c r="N215" i="2"/>
  <c r="N190" i="2"/>
  <c r="N186" i="2"/>
  <c r="N199" i="2"/>
  <c r="N195" i="2"/>
  <c r="N197" i="2"/>
  <c r="N219" i="1"/>
  <c r="N215" i="1"/>
  <c r="N191" i="1"/>
  <c r="N186" i="1"/>
  <c r="N209" i="2"/>
  <c r="N205" i="2"/>
  <c r="N41" i="2"/>
  <c r="N47" i="2"/>
  <c r="N51" i="2"/>
  <c r="N53" i="2"/>
  <c r="N57" i="2"/>
  <c r="N61" i="2"/>
  <c r="N73" i="2"/>
  <c r="N83" i="2"/>
  <c r="N93" i="2"/>
  <c r="N97" i="2"/>
  <c r="N101" i="2"/>
  <c r="N103" i="2"/>
  <c r="N107" i="2"/>
  <c r="N113" i="2"/>
  <c r="N117" i="2"/>
  <c r="N171" i="2"/>
  <c r="N167" i="2"/>
  <c r="N163" i="2"/>
  <c r="N191" i="2"/>
  <c r="N187" i="2"/>
  <c r="N130" i="1"/>
  <c r="N174" i="1"/>
  <c r="N180" i="1"/>
  <c r="N176" i="1"/>
  <c r="N183" i="1"/>
  <c r="N189" i="1"/>
  <c r="N12" i="1"/>
  <c r="N16" i="1"/>
  <c r="N20" i="1"/>
  <c r="N24" i="1"/>
  <c r="N28" i="1"/>
  <c r="N62" i="1"/>
  <c r="N64" i="1"/>
  <c r="N66" i="1"/>
  <c r="N68" i="1"/>
  <c r="N70" i="1"/>
  <c r="N171" i="1"/>
  <c r="N190" i="1"/>
  <c r="N182" i="1"/>
  <c r="N29" i="2"/>
  <c r="N32" i="2"/>
  <c r="N40" i="2"/>
  <c r="N42" i="2"/>
  <c r="N50" i="2"/>
  <c r="N52" i="2"/>
  <c r="N56" i="2"/>
  <c r="N72" i="2"/>
  <c r="N80" i="2"/>
  <c r="N82" i="2"/>
  <c r="N86" i="2"/>
  <c r="N92" i="2"/>
  <c r="N100" i="2"/>
  <c r="N105" i="2"/>
  <c r="N110" i="2"/>
  <c r="N120" i="2"/>
  <c r="N77" i="2"/>
  <c r="N81" i="2"/>
  <c r="N87" i="2"/>
  <c r="N91" i="2"/>
  <c r="N130" i="2"/>
  <c r="N126" i="2"/>
  <c r="N122" i="2"/>
  <c r="N140" i="2"/>
  <c r="N136" i="2"/>
  <c r="N132" i="2"/>
  <c r="N150" i="2"/>
  <c r="N146" i="2"/>
  <c r="N142" i="2"/>
  <c r="N158" i="2"/>
  <c r="N160" i="2"/>
  <c r="N156" i="2"/>
  <c r="N177" i="2"/>
  <c r="N14" i="2"/>
  <c r="N36" i="2"/>
  <c r="N49" i="2"/>
  <c r="N45" i="2"/>
  <c r="N46" i="2"/>
  <c r="N60" i="2"/>
  <c r="N76" i="2"/>
  <c r="N89" i="2"/>
  <c r="N85" i="2"/>
  <c r="N90" i="2"/>
  <c r="N96" i="2"/>
  <c r="N109" i="2"/>
  <c r="N102" i="2"/>
  <c r="N106" i="2"/>
  <c r="N112" i="2"/>
  <c r="N116" i="2"/>
  <c r="N26" i="2"/>
  <c r="N22" i="2"/>
  <c r="N58" i="2"/>
  <c r="N62" i="2"/>
  <c r="N64" i="2"/>
  <c r="N66" i="2"/>
  <c r="N68" i="2"/>
  <c r="N70" i="2"/>
  <c r="N74" i="2"/>
  <c r="N114" i="2"/>
  <c r="N176" i="2"/>
  <c r="N188" i="2"/>
  <c r="N184" i="2"/>
  <c r="N188" i="1"/>
  <c r="N170" i="1"/>
  <c r="N166" i="1"/>
  <c r="N162" i="1"/>
  <c r="N32" i="1"/>
  <c r="N36" i="1"/>
  <c r="N40" i="1"/>
  <c r="N42" i="1"/>
  <c r="N46" i="1"/>
  <c r="N52" i="1"/>
  <c r="N56" i="1"/>
  <c r="N60" i="1"/>
  <c r="N72" i="1"/>
  <c r="N76" i="1"/>
  <c r="N80" i="1"/>
  <c r="N82" i="1"/>
  <c r="N86" i="1"/>
  <c r="N92" i="1"/>
  <c r="N96" i="1"/>
  <c r="N102" i="1"/>
  <c r="N131" i="1"/>
  <c r="N123" i="1"/>
  <c r="N141" i="1"/>
  <c r="N137" i="1"/>
  <c r="N133" i="1"/>
  <c r="N147" i="1"/>
  <c r="N161" i="1"/>
  <c r="N157" i="1"/>
  <c r="N153" i="1"/>
  <c r="N163" i="1"/>
  <c r="N189" i="2"/>
  <c r="N185" i="2"/>
  <c r="N20" i="2"/>
  <c r="N34" i="2"/>
  <c r="N54" i="2"/>
  <c r="N98" i="2"/>
  <c r="N118" i="2"/>
  <c r="N38" i="2"/>
  <c r="N78" i="2"/>
  <c r="N94" i="2"/>
  <c r="N16" i="2"/>
  <c r="N12" i="2"/>
  <c r="N138" i="2"/>
  <c r="N134" i="2"/>
  <c r="N154" i="2"/>
  <c r="N15" i="2"/>
  <c r="N27" i="2"/>
  <c r="N24" i="2"/>
  <c r="N31" i="2"/>
  <c r="N25" i="2"/>
  <c r="N21" i="2"/>
  <c r="N17" i="2"/>
  <c r="N63" i="2"/>
  <c r="N65" i="2"/>
  <c r="N67" i="2"/>
  <c r="N69" i="2"/>
  <c r="N71" i="2"/>
  <c r="N129" i="2"/>
  <c r="N125" i="2"/>
  <c r="N131" i="2"/>
  <c r="N127" i="2"/>
  <c r="N123" i="2"/>
  <c r="N141" i="2"/>
  <c r="N137" i="2"/>
  <c r="N133" i="2"/>
  <c r="N149" i="2"/>
  <c r="N145" i="2"/>
  <c r="N151" i="2"/>
  <c r="N147" i="2"/>
  <c r="N143" i="2"/>
  <c r="N161" i="2"/>
  <c r="N157" i="2"/>
  <c r="N152" i="2"/>
  <c r="N178" i="2"/>
  <c r="N185" i="1"/>
  <c r="N34" i="1"/>
  <c r="N38" i="1"/>
  <c r="N44" i="1"/>
  <c r="N48" i="1"/>
  <c r="N54" i="1"/>
  <c r="N58" i="1"/>
  <c r="N74" i="1"/>
  <c r="N78" i="1"/>
  <c r="N84" i="1"/>
  <c r="N88" i="1"/>
  <c r="N94" i="1"/>
  <c r="N98" i="1"/>
  <c r="N104" i="1"/>
  <c r="N108" i="1"/>
  <c r="N114" i="1"/>
  <c r="N118" i="1"/>
  <c r="N127" i="1"/>
  <c r="N129" i="1"/>
  <c r="N125" i="1"/>
  <c r="N139" i="1"/>
  <c r="N135" i="1"/>
  <c r="N151" i="1"/>
  <c r="N143" i="1"/>
  <c r="N149" i="1"/>
  <c r="N145" i="1"/>
  <c r="N159" i="1"/>
  <c r="N155" i="1"/>
  <c r="N167" i="1"/>
  <c r="N178" i="1"/>
  <c r="N179" i="1"/>
  <c r="N175" i="1"/>
  <c r="N13" i="1"/>
  <c r="N17" i="1"/>
  <c r="N21" i="1"/>
  <c r="N25" i="1"/>
  <c r="N29" i="1"/>
  <c r="N35" i="1"/>
  <c r="N39" i="1"/>
  <c r="N45" i="1"/>
  <c r="N49" i="1"/>
  <c r="N55" i="1"/>
  <c r="N59" i="1"/>
  <c r="N75" i="1"/>
  <c r="N79" i="1"/>
  <c r="N85" i="1"/>
  <c r="N89" i="1"/>
  <c r="N95" i="1"/>
  <c r="N99" i="1"/>
  <c r="N105" i="1"/>
  <c r="N109" i="1"/>
  <c r="N115" i="1"/>
  <c r="N119" i="1"/>
  <c r="N128" i="1"/>
  <c r="N124" i="1"/>
  <c r="N138" i="1"/>
  <c r="N134" i="1"/>
  <c r="N148" i="1"/>
  <c r="N144" i="1"/>
  <c r="N158" i="1"/>
  <c r="N154" i="1"/>
  <c r="N14" i="1"/>
  <c r="N18" i="1"/>
  <c r="N22" i="1"/>
  <c r="N26" i="1"/>
  <c r="N30" i="1"/>
  <c r="N50" i="1"/>
  <c r="N90" i="1"/>
  <c r="N100" i="1"/>
  <c r="N106" i="1"/>
  <c r="N110" i="1"/>
  <c r="N112" i="1"/>
  <c r="N116" i="1"/>
  <c r="N120" i="1"/>
  <c r="N15" i="1"/>
  <c r="N19" i="1"/>
  <c r="N23" i="1"/>
  <c r="N27" i="1"/>
  <c r="N31" i="1"/>
  <c r="N33" i="1"/>
  <c r="N37" i="1"/>
  <c r="N41" i="1"/>
  <c r="N43" i="1"/>
  <c r="N47" i="1"/>
  <c r="N51" i="1"/>
  <c r="N53" i="1"/>
  <c r="N57" i="1"/>
  <c r="N61" i="1"/>
  <c r="N63" i="1"/>
  <c r="N65" i="1"/>
  <c r="N67" i="1"/>
  <c r="N69" i="1"/>
  <c r="N71" i="1"/>
  <c r="N73" i="1"/>
  <c r="N77" i="1"/>
  <c r="N81" i="1"/>
  <c r="N83" i="1"/>
  <c r="N87" i="1"/>
  <c r="N91" i="1"/>
  <c r="N93" i="1"/>
  <c r="N97" i="1"/>
  <c r="N101" i="1"/>
  <c r="N103" i="1"/>
  <c r="N107" i="1"/>
  <c r="N111" i="1"/>
  <c r="N113" i="1"/>
  <c r="N117" i="1"/>
  <c r="N121" i="1"/>
  <c r="N126" i="1"/>
  <c r="N122" i="1"/>
  <c r="N140" i="1"/>
  <c r="N136" i="1"/>
  <c r="N132" i="1"/>
  <c r="N150" i="1"/>
  <c r="N146" i="1"/>
  <c r="N142" i="1"/>
  <c r="N160" i="1"/>
  <c r="N156" i="1"/>
  <c r="N152" i="1"/>
  <c r="N168" i="1"/>
  <c r="N179" i="2"/>
  <c r="N175" i="2"/>
  <c r="N174" i="2"/>
  <c r="N111" i="2"/>
  <c r="N121" i="2"/>
  <c r="N13" i="2"/>
  <c r="N44" i="2"/>
  <c r="N48" i="2"/>
  <c r="N84" i="2"/>
  <c r="N88" i="2"/>
  <c r="N104" i="2"/>
  <c r="N108" i="2"/>
  <c r="N139" i="2"/>
  <c r="N135" i="2"/>
  <c r="N159" i="2"/>
  <c r="N155" i="2"/>
  <c r="N153" i="2"/>
  <c r="N35" i="2"/>
  <c r="N39" i="2"/>
  <c r="N55" i="2"/>
  <c r="N59" i="2"/>
  <c r="N75" i="2"/>
  <c r="N79" i="2"/>
  <c r="N95" i="2"/>
  <c r="N99" i="2"/>
  <c r="N115" i="2"/>
  <c r="N119" i="2"/>
  <c r="N128" i="2"/>
  <c r="N124" i="2"/>
  <c r="N148" i="2"/>
  <c r="N144" i="2"/>
  <c r="N169" i="2"/>
  <c r="N165" i="2"/>
  <c r="N168" i="2"/>
  <c r="N164" i="2"/>
  <c r="N169" i="1"/>
  <c r="N165" i="1"/>
  <c r="N16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7F16BC19-E192-4D80-B459-20949F65D91C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6273646A-55B7-40D5-AB52-D739A42E15DE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  <comment ref="P2" authorId="0" shapeId="0" xr:uid="{50557DF4-8854-460A-9D9D-26623DB1CDB3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LET OP: VOORDAT MACRO DRAAT MOET TABLESPACE SPECDATE WORDEN GERENAMED NAAR T-SPECDATA !!! ANDERS KOMT DEZE AUTOMATISCH IN SAMENVATTING TE STAAN VOOR GRAFIEK !</t>
        </r>
      </text>
    </comment>
  </commentList>
</comments>
</file>

<file path=xl/sharedStrings.xml><?xml version="1.0" encoding="utf-8"?>
<sst xmlns="http://schemas.openxmlformats.org/spreadsheetml/2006/main" count="6584" uniqueCount="37">
  <si>
    <t>SYSTEM</t>
  </si>
  <si>
    <t>ONLINE</t>
  </si>
  <si>
    <t>PERMANENT</t>
  </si>
  <si>
    <t>UNI_DATAO</t>
  </si>
  <si>
    <t>UNI_LOB</t>
  </si>
  <si>
    <t>UNI_INDEXC</t>
  </si>
  <si>
    <t>UNI_DATAC</t>
  </si>
  <si>
    <t>SYSAUX</t>
  </si>
  <si>
    <t>UNI_INDEXO</t>
  </si>
  <si>
    <t>UNI_UNDO</t>
  </si>
  <si>
    <t>UNDO</t>
  </si>
  <si>
    <t>UNI_BO</t>
  </si>
  <si>
    <t>UNI_TEMP</t>
  </si>
  <si>
    <t>TEMPORARY</t>
  </si>
  <si>
    <t>Tablespace</t>
  </si>
  <si>
    <t>Usage</t>
  </si>
  <si>
    <t>Size</t>
  </si>
  <si>
    <t>Free</t>
  </si>
  <si>
    <t>Free-PCT</t>
  </si>
  <si>
    <t>Max</t>
  </si>
  <si>
    <t>Used-pct-of-max</t>
  </si>
  <si>
    <t>status</t>
  </si>
  <si>
    <t>contents</t>
  </si>
  <si>
    <t>Datum</t>
  </si>
  <si>
    <t>SPECD</t>
  </si>
  <si>
    <t>USERS</t>
  </si>
  <si>
    <t>IMAGE</t>
  </si>
  <si>
    <t>SPECI</t>
  </si>
  <si>
    <t>UNDOTBS1</t>
  </si>
  <si>
    <t>XDB</t>
  </si>
  <si>
    <t>TEMP</t>
  </si>
  <si>
    <t>Usage-Delta-MB</t>
  </si>
  <si>
    <t>Used-MB</t>
  </si>
  <si>
    <t>Free-of-Max</t>
  </si>
  <si>
    <t>#wk-FULL</t>
  </si>
  <si>
    <t>TSPECDATA</t>
  </si>
  <si>
    <t>tSPECDATA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</si>
</sst>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1" fontId="1" fillId="2" borderId="0" xfId="0" applyNumberFormat="1" applyFont="1" applyFill="1"/>
    <xf numFmtId="1" fontId="0" fillId="0" borderId="0" xfId="0" applyNumberFormat="1"/>
    <xf numFmtId="0" fontId="0" fillId="3" borderId="0" xfId="0" applyFill="1"/>
    <xf numFmtId="0" fontId="4" fillId="0" borderId="0" xfId="0" applyFont="1"/>
    <xf numFmtId="0" fontId="0" fillId="4" borderId="0" xfId="0" applyFill="1"/>
    <xf numFmtId="0" fontId="5" fillId="4" borderId="0" xfId="0" applyFont="1" applyFill="1"/>
    <xf numFmtId="1" fontId="0" fillId="5" borderId="0" xfId="0" applyNumberFormat="1" applyFill="1"/>
    <xf numFmtId="164" fontId="6" fillId="2" borderId="0" xfId="0" applyNumberFormat="1" applyFont="1" applyFill="1"/>
    <xf numFmtId="0" fontId="6" fillId="2" borderId="0" xfId="0" applyFont="1" applyFill="1"/>
    <xf numFmtId="0" fontId="6" fillId="4" borderId="0" xfId="0" applyFont="1" applyFill="1"/>
    <xf numFmtId="1" fontId="6" fillId="2" borderId="0" xfId="0" applyNumberFormat="1" applyFont="1" applyFill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164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/>
    <xf numFmtId="1" fontId="0" fillId="0" borderId="1" xfId="0" applyNumberFormat="1" applyBorder="1"/>
    <xf numFmtId="0" fontId="0" fillId="0" borderId="0" xfId="0" applyNumberFormat="1"/>
  </cellXfs>
  <cellStyles count="1">
    <cellStyle name="Standaard" xfId="0" builtinId="0"/>
  </cellStyles>
  <dxfs count="41"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UNILAB!$AN$2:$AN$91</c:f>
              <c:numCache>
                <c:formatCode>General</c:formatCode>
                <c:ptCount val="90"/>
                <c:pt idx="0">
                  <c:v>229911</c:v>
                </c:pt>
                <c:pt idx="1">
                  <c:v>230349</c:v>
                </c:pt>
                <c:pt idx="2">
                  <c:v>230754</c:v>
                </c:pt>
                <c:pt idx="3">
                  <c:v>231216</c:v>
                </c:pt>
                <c:pt idx="4">
                  <c:v>231540</c:v>
                </c:pt>
                <c:pt idx="5">
                  <c:v>232046</c:v>
                </c:pt>
                <c:pt idx="6">
                  <c:v>232393</c:v>
                </c:pt>
                <c:pt idx="7">
                  <c:v>232758</c:v>
                </c:pt>
                <c:pt idx="8">
                  <c:v>233259</c:v>
                </c:pt>
                <c:pt idx="9">
                  <c:v>234006</c:v>
                </c:pt>
                <c:pt idx="10">
                  <c:v>234303</c:v>
                </c:pt>
                <c:pt idx="11">
                  <c:v>234621</c:v>
                </c:pt>
                <c:pt idx="12">
                  <c:v>235095</c:v>
                </c:pt>
                <c:pt idx="13">
                  <c:v>235369</c:v>
                </c:pt>
                <c:pt idx="14">
                  <c:v>235743</c:v>
                </c:pt>
                <c:pt idx="15">
                  <c:v>236185</c:v>
                </c:pt>
                <c:pt idx="16">
                  <c:v>236516</c:v>
                </c:pt>
                <c:pt idx="17">
                  <c:v>237459</c:v>
                </c:pt>
                <c:pt idx="18">
                  <c:v>237795</c:v>
                </c:pt>
                <c:pt idx="19">
                  <c:v>237958</c:v>
                </c:pt>
                <c:pt idx="20">
                  <c:v>238610</c:v>
                </c:pt>
                <c:pt idx="21">
                  <c:v>238908</c:v>
                </c:pt>
                <c:pt idx="22">
                  <c:v>239341</c:v>
                </c:pt>
                <c:pt idx="23">
                  <c:v>239786</c:v>
                </c:pt>
                <c:pt idx="24">
                  <c:v>239964</c:v>
                </c:pt>
                <c:pt idx="25">
                  <c:v>240391</c:v>
                </c:pt>
                <c:pt idx="26">
                  <c:v>240557</c:v>
                </c:pt>
                <c:pt idx="27">
                  <c:v>242824</c:v>
                </c:pt>
                <c:pt idx="28">
                  <c:v>243074</c:v>
                </c:pt>
                <c:pt idx="29">
                  <c:v>243500</c:v>
                </c:pt>
                <c:pt idx="30">
                  <c:v>243844</c:v>
                </c:pt>
                <c:pt idx="31">
                  <c:v>244439</c:v>
                </c:pt>
                <c:pt idx="32">
                  <c:v>244972</c:v>
                </c:pt>
                <c:pt idx="33">
                  <c:v>245036</c:v>
                </c:pt>
                <c:pt idx="34">
                  <c:v>245585</c:v>
                </c:pt>
                <c:pt idx="35">
                  <c:v>246043</c:v>
                </c:pt>
                <c:pt idx="36">
                  <c:v>246508</c:v>
                </c:pt>
                <c:pt idx="37">
                  <c:v>246938</c:v>
                </c:pt>
                <c:pt idx="38">
                  <c:v>247258</c:v>
                </c:pt>
                <c:pt idx="39">
                  <c:v>247533</c:v>
                </c:pt>
                <c:pt idx="40">
                  <c:v>248179</c:v>
                </c:pt>
                <c:pt idx="41">
                  <c:v>248582</c:v>
                </c:pt>
                <c:pt idx="42">
                  <c:v>249127</c:v>
                </c:pt>
                <c:pt idx="43">
                  <c:v>249427</c:v>
                </c:pt>
                <c:pt idx="44">
                  <c:v>249940</c:v>
                </c:pt>
                <c:pt idx="45">
                  <c:v>250616</c:v>
                </c:pt>
                <c:pt idx="46">
                  <c:v>250985</c:v>
                </c:pt>
                <c:pt idx="47">
                  <c:v>251441</c:v>
                </c:pt>
                <c:pt idx="48">
                  <c:v>252678</c:v>
                </c:pt>
                <c:pt idx="49">
                  <c:v>253320</c:v>
                </c:pt>
                <c:pt idx="50">
                  <c:v>253650</c:v>
                </c:pt>
                <c:pt idx="51">
                  <c:v>254077</c:v>
                </c:pt>
                <c:pt idx="52">
                  <c:v>254569</c:v>
                </c:pt>
                <c:pt idx="53">
                  <c:v>255132</c:v>
                </c:pt>
                <c:pt idx="54">
                  <c:v>255834</c:v>
                </c:pt>
                <c:pt idx="55">
                  <c:v>255987</c:v>
                </c:pt>
                <c:pt idx="56">
                  <c:v>256516</c:v>
                </c:pt>
                <c:pt idx="57">
                  <c:v>256855</c:v>
                </c:pt>
                <c:pt idx="58">
                  <c:v>257416</c:v>
                </c:pt>
                <c:pt idx="59">
                  <c:v>257765</c:v>
                </c:pt>
                <c:pt idx="60">
                  <c:v>258106</c:v>
                </c:pt>
                <c:pt idx="61">
                  <c:v>258530</c:v>
                </c:pt>
                <c:pt idx="62">
                  <c:v>259237</c:v>
                </c:pt>
                <c:pt idx="63">
                  <c:v>259462</c:v>
                </c:pt>
                <c:pt idx="64">
                  <c:v>259826</c:v>
                </c:pt>
                <c:pt idx="65">
                  <c:v>258703</c:v>
                </c:pt>
                <c:pt idx="66">
                  <c:v>261232</c:v>
                </c:pt>
                <c:pt idx="67">
                  <c:v>261578</c:v>
                </c:pt>
                <c:pt idx="68">
                  <c:v>262471</c:v>
                </c:pt>
                <c:pt idx="69">
                  <c:v>262922</c:v>
                </c:pt>
                <c:pt idx="70">
                  <c:v>263684</c:v>
                </c:pt>
                <c:pt idx="71">
                  <c:v>263895</c:v>
                </c:pt>
                <c:pt idx="72">
                  <c:v>264281</c:v>
                </c:pt>
                <c:pt idx="73">
                  <c:v>265068</c:v>
                </c:pt>
                <c:pt idx="74">
                  <c:v>265954</c:v>
                </c:pt>
                <c:pt idx="75">
                  <c:v>266517</c:v>
                </c:pt>
                <c:pt idx="76">
                  <c:v>266826</c:v>
                </c:pt>
                <c:pt idx="77">
                  <c:v>267155</c:v>
                </c:pt>
                <c:pt idx="78">
                  <c:v>267524</c:v>
                </c:pt>
                <c:pt idx="79">
                  <c:v>267829</c:v>
                </c:pt>
                <c:pt idx="80">
                  <c:v>269557</c:v>
                </c:pt>
                <c:pt idx="81">
                  <c:v>270609</c:v>
                </c:pt>
                <c:pt idx="82">
                  <c:v>271424</c:v>
                </c:pt>
                <c:pt idx="83">
                  <c:v>274115</c:v>
                </c:pt>
                <c:pt idx="84">
                  <c:v>287154</c:v>
                </c:pt>
                <c:pt idx="85">
                  <c:v>287589</c:v>
                </c:pt>
                <c:pt idx="86">
                  <c:v>287765</c:v>
                </c:pt>
                <c:pt idx="87">
                  <c:v>288013</c:v>
                </c:pt>
                <c:pt idx="88">
                  <c:v>288234</c:v>
                </c:pt>
                <c:pt idx="89">
                  <c:v>288623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4-4C1C-BD2C-2E428AAD3D1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UNILAB!$AP$2:$AP$91</c:f>
              <c:numCache>
                <c:formatCode>General</c:formatCode>
                <c:ptCount val="90"/>
                <c:pt idx="0">
                  <c:v>262144</c:v>
                </c:pt>
                <c:pt idx="1">
                  <c:v>262144</c:v>
                </c:pt>
                <c:pt idx="2">
                  <c:v>262144</c:v>
                </c:pt>
                <c:pt idx="3">
                  <c:v>262144</c:v>
                </c:pt>
                <c:pt idx="4">
                  <c:v>262144</c:v>
                </c:pt>
                <c:pt idx="5">
                  <c:v>262144</c:v>
                </c:pt>
                <c:pt idx="6">
                  <c:v>262144</c:v>
                </c:pt>
                <c:pt idx="7">
                  <c:v>262144</c:v>
                </c:pt>
                <c:pt idx="8">
                  <c:v>262144</c:v>
                </c:pt>
                <c:pt idx="9">
                  <c:v>262144</c:v>
                </c:pt>
                <c:pt idx="10">
                  <c:v>262144</c:v>
                </c:pt>
                <c:pt idx="11">
                  <c:v>262144</c:v>
                </c:pt>
                <c:pt idx="12">
                  <c:v>262144</c:v>
                </c:pt>
                <c:pt idx="13">
                  <c:v>262144</c:v>
                </c:pt>
                <c:pt idx="14">
                  <c:v>262144</c:v>
                </c:pt>
                <c:pt idx="15">
                  <c:v>262144</c:v>
                </c:pt>
                <c:pt idx="16">
                  <c:v>262144</c:v>
                </c:pt>
                <c:pt idx="17">
                  <c:v>262144</c:v>
                </c:pt>
                <c:pt idx="18">
                  <c:v>262144</c:v>
                </c:pt>
                <c:pt idx="19">
                  <c:v>262144</c:v>
                </c:pt>
                <c:pt idx="20">
                  <c:v>262144</c:v>
                </c:pt>
                <c:pt idx="21">
                  <c:v>262144</c:v>
                </c:pt>
                <c:pt idx="22">
                  <c:v>262144</c:v>
                </c:pt>
                <c:pt idx="23">
                  <c:v>262144</c:v>
                </c:pt>
                <c:pt idx="24">
                  <c:v>262144</c:v>
                </c:pt>
                <c:pt idx="25">
                  <c:v>262144</c:v>
                </c:pt>
                <c:pt idx="26">
                  <c:v>262144</c:v>
                </c:pt>
                <c:pt idx="27">
                  <c:v>262144</c:v>
                </c:pt>
                <c:pt idx="28">
                  <c:v>262144</c:v>
                </c:pt>
                <c:pt idx="29">
                  <c:v>262144</c:v>
                </c:pt>
                <c:pt idx="30">
                  <c:v>262144</c:v>
                </c:pt>
                <c:pt idx="31">
                  <c:v>262144</c:v>
                </c:pt>
                <c:pt idx="32">
                  <c:v>262144</c:v>
                </c:pt>
                <c:pt idx="33">
                  <c:v>262144</c:v>
                </c:pt>
                <c:pt idx="34">
                  <c:v>262144</c:v>
                </c:pt>
                <c:pt idx="35">
                  <c:v>262144</c:v>
                </c:pt>
                <c:pt idx="36">
                  <c:v>262144</c:v>
                </c:pt>
                <c:pt idx="37">
                  <c:v>262144</c:v>
                </c:pt>
                <c:pt idx="38">
                  <c:v>262144</c:v>
                </c:pt>
                <c:pt idx="39">
                  <c:v>262144</c:v>
                </c:pt>
                <c:pt idx="40">
                  <c:v>262144</c:v>
                </c:pt>
                <c:pt idx="41">
                  <c:v>262144</c:v>
                </c:pt>
                <c:pt idx="42">
                  <c:v>262144</c:v>
                </c:pt>
                <c:pt idx="43">
                  <c:v>262144</c:v>
                </c:pt>
                <c:pt idx="44">
                  <c:v>262144</c:v>
                </c:pt>
                <c:pt idx="45">
                  <c:v>262144</c:v>
                </c:pt>
                <c:pt idx="46">
                  <c:v>262144</c:v>
                </c:pt>
                <c:pt idx="47">
                  <c:v>262144</c:v>
                </c:pt>
                <c:pt idx="48">
                  <c:v>262144</c:v>
                </c:pt>
                <c:pt idx="49">
                  <c:v>262144</c:v>
                </c:pt>
                <c:pt idx="50">
                  <c:v>294912</c:v>
                </c:pt>
                <c:pt idx="51">
                  <c:v>294912</c:v>
                </c:pt>
                <c:pt idx="52">
                  <c:v>294912</c:v>
                </c:pt>
                <c:pt idx="53">
                  <c:v>294912</c:v>
                </c:pt>
                <c:pt idx="54">
                  <c:v>294912</c:v>
                </c:pt>
                <c:pt idx="55">
                  <c:v>294912</c:v>
                </c:pt>
                <c:pt idx="56">
                  <c:v>294912</c:v>
                </c:pt>
                <c:pt idx="57">
                  <c:v>294912</c:v>
                </c:pt>
                <c:pt idx="58">
                  <c:v>294912</c:v>
                </c:pt>
                <c:pt idx="59">
                  <c:v>294912</c:v>
                </c:pt>
                <c:pt idx="60">
                  <c:v>294912</c:v>
                </c:pt>
                <c:pt idx="61">
                  <c:v>294912</c:v>
                </c:pt>
                <c:pt idx="62">
                  <c:v>294912</c:v>
                </c:pt>
                <c:pt idx="63">
                  <c:v>294912</c:v>
                </c:pt>
                <c:pt idx="64">
                  <c:v>294912</c:v>
                </c:pt>
                <c:pt idx="65">
                  <c:v>294912</c:v>
                </c:pt>
                <c:pt idx="66">
                  <c:v>294912</c:v>
                </c:pt>
                <c:pt idx="67">
                  <c:v>294912</c:v>
                </c:pt>
                <c:pt idx="68">
                  <c:v>294912</c:v>
                </c:pt>
                <c:pt idx="69">
                  <c:v>294912</c:v>
                </c:pt>
                <c:pt idx="70">
                  <c:v>294912</c:v>
                </c:pt>
                <c:pt idx="71">
                  <c:v>294912</c:v>
                </c:pt>
                <c:pt idx="72">
                  <c:v>294912</c:v>
                </c:pt>
                <c:pt idx="73">
                  <c:v>294912</c:v>
                </c:pt>
                <c:pt idx="74">
                  <c:v>294912</c:v>
                </c:pt>
                <c:pt idx="75">
                  <c:v>294912</c:v>
                </c:pt>
                <c:pt idx="76">
                  <c:v>294912</c:v>
                </c:pt>
                <c:pt idx="77">
                  <c:v>294912</c:v>
                </c:pt>
                <c:pt idx="78">
                  <c:v>294912</c:v>
                </c:pt>
                <c:pt idx="79">
                  <c:v>294912</c:v>
                </c:pt>
                <c:pt idx="80">
                  <c:v>294912</c:v>
                </c:pt>
                <c:pt idx="81">
                  <c:v>294912</c:v>
                </c:pt>
                <c:pt idx="82">
                  <c:v>294912</c:v>
                </c:pt>
                <c:pt idx="83">
                  <c:v>294912</c:v>
                </c:pt>
                <c:pt idx="84">
                  <c:v>327680</c:v>
                </c:pt>
                <c:pt idx="85">
                  <c:v>327680</c:v>
                </c:pt>
                <c:pt idx="86">
                  <c:v>327680</c:v>
                </c:pt>
                <c:pt idx="87">
                  <c:v>327680</c:v>
                </c:pt>
                <c:pt idx="88">
                  <c:v>327680</c:v>
                </c:pt>
                <c:pt idx="89">
                  <c:v>327680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4-4C1C-BD2C-2E428AAD3D1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UNILAB!$W$2:$W$91</c:f>
              <c:numCache>
                <c:formatCode>General</c:formatCode>
                <c:ptCount val="90"/>
                <c:pt idx="0">
                  <c:v>355405</c:v>
                </c:pt>
                <c:pt idx="1">
                  <c:v>356014</c:v>
                </c:pt>
                <c:pt idx="2">
                  <c:v>356409</c:v>
                </c:pt>
                <c:pt idx="3">
                  <c:v>357172</c:v>
                </c:pt>
                <c:pt idx="4">
                  <c:v>357661</c:v>
                </c:pt>
                <c:pt idx="5">
                  <c:v>358310</c:v>
                </c:pt>
                <c:pt idx="6">
                  <c:v>358960</c:v>
                </c:pt>
                <c:pt idx="7">
                  <c:v>359656</c:v>
                </c:pt>
                <c:pt idx="8">
                  <c:v>360059</c:v>
                </c:pt>
                <c:pt idx="9">
                  <c:v>360757</c:v>
                </c:pt>
                <c:pt idx="10">
                  <c:v>361348</c:v>
                </c:pt>
                <c:pt idx="11">
                  <c:v>361956</c:v>
                </c:pt>
                <c:pt idx="12">
                  <c:v>362566</c:v>
                </c:pt>
                <c:pt idx="13">
                  <c:v>362975</c:v>
                </c:pt>
                <c:pt idx="14">
                  <c:v>363473</c:v>
                </c:pt>
                <c:pt idx="15">
                  <c:v>363954</c:v>
                </c:pt>
                <c:pt idx="16">
                  <c:v>364427</c:v>
                </c:pt>
                <c:pt idx="17">
                  <c:v>364968</c:v>
                </c:pt>
                <c:pt idx="18">
                  <c:v>365360</c:v>
                </c:pt>
                <c:pt idx="19">
                  <c:v>365897</c:v>
                </c:pt>
                <c:pt idx="20">
                  <c:v>366470</c:v>
                </c:pt>
                <c:pt idx="21">
                  <c:v>366870</c:v>
                </c:pt>
                <c:pt idx="22">
                  <c:v>367432</c:v>
                </c:pt>
                <c:pt idx="23">
                  <c:v>368139</c:v>
                </c:pt>
                <c:pt idx="24">
                  <c:v>368496</c:v>
                </c:pt>
                <c:pt idx="25">
                  <c:v>368806</c:v>
                </c:pt>
                <c:pt idx="26">
                  <c:v>369206</c:v>
                </c:pt>
                <c:pt idx="27">
                  <c:v>369543</c:v>
                </c:pt>
                <c:pt idx="28">
                  <c:v>369865</c:v>
                </c:pt>
                <c:pt idx="29">
                  <c:v>370418</c:v>
                </c:pt>
                <c:pt idx="30">
                  <c:v>370949</c:v>
                </c:pt>
                <c:pt idx="31">
                  <c:v>371559</c:v>
                </c:pt>
                <c:pt idx="32">
                  <c:v>372370</c:v>
                </c:pt>
                <c:pt idx="33">
                  <c:v>372498</c:v>
                </c:pt>
                <c:pt idx="34">
                  <c:v>372852</c:v>
                </c:pt>
                <c:pt idx="35">
                  <c:v>373535</c:v>
                </c:pt>
                <c:pt idx="36">
                  <c:v>374014</c:v>
                </c:pt>
                <c:pt idx="37">
                  <c:v>374482</c:v>
                </c:pt>
                <c:pt idx="38">
                  <c:v>375098</c:v>
                </c:pt>
                <c:pt idx="39">
                  <c:v>375580</c:v>
                </c:pt>
                <c:pt idx="40">
                  <c:v>376349</c:v>
                </c:pt>
                <c:pt idx="41">
                  <c:v>376694</c:v>
                </c:pt>
                <c:pt idx="42">
                  <c:v>377079</c:v>
                </c:pt>
                <c:pt idx="43">
                  <c:v>377689</c:v>
                </c:pt>
                <c:pt idx="44">
                  <c:v>378417</c:v>
                </c:pt>
                <c:pt idx="45">
                  <c:v>379162</c:v>
                </c:pt>
                <c:pt idx="46">
                  <c:v>379506</c:v>
                </c:pt>
                <c:pt idx="47">
                  <c:v>378474</c:v>
                </c:pt>
                <c:pt idx="48">
                  <c:v>397647</c:v>
                </c:pt>
                <c:pt idx="49">
                  <c:v>397637</c:v>
                </c:pt>
                <c:pt idx="50">
                  <c:v>398228</c:v>
                </c:pt>
                <c:pt idx="51">
                  <c:v>399069</c:v>
                </c:pt>
                <c:pt idx="52">
                  <c:v>399424</c:v>
                </c:pt>
                <c:pt idx="53">
                  <c:v>400116</c:v>
                </c:pt>
                <c:pt idx="54">
                  <c:v>400790</c:v>
                </c:pt>
                <c:pt idx="55">
                  <c:v>401118</c:v>
                </c:pt>
                <c:pt idx="56">
                  <c:v>401410</c:v>
                </c:pt>
                <c:pt idx="57">
                  <c:v>401946</c:v>
                </c:pt>
                <c:pt idx="58">
                  <c:v>402683</c:v>
                </c:pt>
                <c:pt idx="59">
                  <c:v>403192</c:v>
                </c:pt>
                <c:pt idx="60">
                  <c:v>403856</c:v>
                </c:pt>
                <c:pt idx="61">
                  <c:v>404433</c:v>
                </c:pt>
                <c:pt idx="62">
                  <c:v>405116</c:v>
                </c:pt>
                <c:pt idx="63">
                  <c:v>405380</c:v>
                </c:pt>
                <c:pt idx="64">
                  <c:v>405876</c:v>
                </c:pt>
                <c:pt idx="65">
                  <c:v>406437</c:v>
                </c:pt>
                <c:pt idx="66">
                  <c:v>407370</c:v>
                </c:pt>
                <c:pt idx="67">
                  <c:v>407963</c:v>
                </c:pt>
                <c:pt idx="68">
                  <c:v>409087</c:v>
                </c:pt>
                <c:pt idx="69">
                  <c:v>409425</c:v>
                </c:pt>
                <c:pt idx="70">
                  <c:v>410171</c:v>
                </c:pt>
                <c:pt idx="71">
                  <c:v>410564</c:v>
                </c:pt>
                <c:pt idx="72">
                  <c:v>411256</c:v>
                </c:pt>
                <c:pt idx="73">
                  <c:v>412336</c:v>
                </c:pt>
                <c:pt idx="74">
                  <c:v>413391</c:v>
                </c:pt>
                <c:pt idx="75">
                  <c:v>413927</c:v>
                </c:pt>
                <c:pt idx="76">
                  <c:v>414519</c:v>
                </c:pt>
                <c:pt idx="77">
                  <c:v>415041</c:v>
                </c:pt>
                <c:pt idx="78">
                  <c:v>415442</c:v>
                </c:pt>
                <c:pt idx="79">
                  <c:v>415870</c:v>
                </c:pt>
                <c:pt idx="80">
                  <c:v>417585</c:v>
                </c:pt>
                <c:pt idx="81">
                  <c:v>418902</c:v>
                </c:pt>
                <c:pt idx="82">
                  <c:v>420320</c:v>
                </c:pt>
                <c:pt idx="83">
                  <c:v>423695</c:v>
                </c:pt>
                <c:pt idx="84">
                  <c:v>439270</c:v>
                </c:pt>
                <c:pt idx="85">
                  <c:v>439744</c:v>
                </c:pt>
                <c:pt idx="86">
                  <c:v>440024</c:v>
                </c:pt>
                <c:pt idx="87">
                  <c:v>440472</c:v>
                </c:pt>
                <c:pt idx="88">
                  <c:v>440704</c:v>
                </c:pt>
                <c:pt idx="89">
                  <c:v>441033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2-4E1E-8E0C-0F186CB97C0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UNILAB!$Y$2:$Y$91</c:f>
              <c:numCache>
                <c:formatCode>General</c:formatCode>
                <c:ptCount val="90"/>
                <c:pt idx="0">
                  <c:v>393216</c:v>
                </c:pt>
                <c:pt idx="1">
                  <c:v>393216</c:v>
                </c:pt>
                <c:pt idx="2">
                  <c:v>393216</c:v>
                </c:pt>
                <c:pt idx="3">
                  <c:v>393216</c:v>
                </c:pt>
                <c:pt idx="4">
                  <c:v>393216</c:v>
                </c:pt>
                <c:pt idx="5">
                  <c:v>393216</c:v>
                </c:pt>
                <c:pt idx="6">
                  <c:v>393216</c:v>
                </c:pt>
                <c:pt idx="7">
                  <c:v>393216</c:v>
                </c:pt>
                <c:pt idx="8">
                  <c:v>393216</c:v>
                </c:pt>
                <c:pt idx="9">
                  <c:v>393216</c:v>
                </c:pt>
                <c:pt idx="10">
                  <c:v>393216</c:v>
                </c:pt>
                <c:pt idx="11">
                  <c:v>393216</c:v>
                </c:pt>
                <c:pt idx="12">
                  <c:v>393216</c:v>
                </c:pt>
                <c:pt idx="13">
                  <c:v>393216</c:v>
                </c:pt>
                <c:pt idx="14">
                  <c:v>393216</c:v>
                </c:pt>
                <c:pt idx="15">
                  <c:v>393216</c:v>
                </c:pt>
                <c:pt idx="16">
                  <c:v>393216</c:v>
                </c:pt>
                <c:pt idx="17">
                  <c:v>393216</c:v>
                </c:pt>
                <c:pt idx="18">
                  <c:v>393216</c:v>
                </c:pt>
                <c:pt idx="19">
                  <c:v>393216</c:v>
                </c:pt>
                <c:pt idx="20">
                  <c:v>393216</c:v>
                </c:pt>
                <c:pt idx="21">
                  <c:v>393216</c:v>
                </c:pt>
                <c:pt idx="22">
                  <c:v>393216</c:v>
                </c:pt>
                <c:pt idx="23">
                  <c:v>393216</c:v>
                </c:pt>
                <c:pt idx="24">
                  <c:v>393216</c:v>
                </c:pt>
                <c:pt idx="25">
                  <c:v>393216</c:v>
                </c:pt>
                <c:pt idx="26">
                  <c:v>393216</c:v>
                </c:pt>
                <c:pt idx="27">
                  <c:v>393216</c:v>
                </c:pt>
                <c:pt idx="28">
                  <c:v>393216</c:v>
                </c:pt>
                <c:pt idx="29">
                  <c:v>393216</c:v>
                </c:pt>
                <c:pt idx="30">
                  <c:v>393216</c:v>
                </c:pt>
                <c:pt idx="31">
                  <c:v>393216</c:v>
                </c:pt>
                <c:pt idx="32">
                  <c:v>393216</c:v>
                </c:pt>
                <c:pt idx="33">
                  <c:v>393216</c:v>
                </c:pt>
                <c:pt idx="34">
                  <c:v>393216</c:v>
                </c:pt>
                <c:pt idx="35">
                  <c:v>393216</c:v>
                </c:pt>
                <c:pt idx="36">
                  <c:v>393216</c:v>
                </c:pt>
                <c:pt idx="37">
                  <c:v>393216</c:v>
                </c:pt>
                <c:pt idx="38">
                  <c:v>393216</c:v>
                </c:pt>
                <c:pt idx="39">
                  <c:v>393216</c:v>
                </c:pt>
                <c:pt idx="40">
                  <c:v>393216</c:v>
                </c:pt>
                <c:pt idx="41">
                  <c:v>393216</c:v>
                </c:pt>
                <c:pt idx="42">
                  <c:v>393216</c:v>
                </c:pt>
                <c:pt idx="43">
                  <c:v>393216</c:v>
                </c:pt>
                <c:pt idx="44">
                  <c:v>393216</c:v>
                </c:pt>
                <c:pt idx="45">
                  <c:v>393216</c:v>
                </c:pt>
                <c:pt idx="46">
                  <c:v>393216</c:v>
                </c:pt>
                <c:pt idx="47">
                  <c:v>393216</c:v>
                </c:pt>
                <c:pt idx="48">
                  <c:v>425984</c:v>
                </c:pt>
                <c:pt idx="49">
                  <c:v>425984</c:v>
                </c:pt>
                <c:pt idx="50">
                  <c:v>425984</c:v>
                </c:pt>
                <c:pt idx="51">
                  <c:v>425984</c:v>
                </c:pt>
                <c:pt idx="52">
                  <c:v>425984</c:v>
                </c:pt>
                <c:pt idx="53">
                  <c:v>425984</c:v>
                </c:pt>
                <c:pt idx="54">
                  <c:v>425984</c:v>
                </c:pt>
                <c:pt idx="55">
                  <c:v>425984</c:v>
                </c:pt>
                <c:pt idx="56">
                  <c:v>425984</c:v>
                </c:pt>
                <c:pt idx="57">
                  <c:v>425984</c:v>
                </c:pt>
                <c:pt idx="58">
                  <c:v>425984</c:v>
                </c:pt>
                <c:pt idx="59">
                  <c:v>425984</c:v>
                </c:pt>
                <c:pt idx="60">
                  <c:v>425984</c:v>
                </c:pt>
                <c:pt idx="61">
                  <c:v>425984</c:v>
                </c:pt>
                <c:pt idx="62">
                  <c:v>425984</c:v>
                </c:pt>
                <c:pt idx="63">
                  <c:v>425984</c:v>
                </c:pt>
                <c:pt idx="64">
                  <c:v>425984</c:v>
                </c:pt>
                <c:pt idx="65">
                  <c:v>425984</c:v>
                </c:pt>
                <c:pt idx="66">
                  <c:v>425984</c:v>
                </c:pt>
                <c:pt idx="67">
                  <c:v>425984</c:v>
                </c:pt>
                <c:pt idx="68">
                  <c:v>425984</c:v>
                </c:pt>
                <c:pt idx="69">
                  <c:v>425984</c:v>
                </c:pt>
                <c:pt idx="70">
                  <c:v>425984</c:v>
                </c:pt>
                <c:pt idx="71">
                  <c:v>425984</c:v>
                </c:pt>
                <c:pt idx="72">
                  <c:v>425984</c:v>
                </c:pt>
                <c:pt idx="73">
                  <c:v>425984</c:v>
                </c:pt>
                <c:pt idx="74">
                  <c:v>425984</c:v>
                </c:pt>
                <c:pt idx="75">
                  <c:v>425984</c:v>
                </c:pt>
                <c:pt idx="76">
                  <c:v>425984</c:v>
                </c:pt>
                <c:pt idx="77">
                  <c:v>425984</c:v>
                </c:pt>
                <c:pt idx="78">
                  <c:v>425984</c:v>
                </c:pt>
                <c:pt idx="79">
                  <c:v>425984</c:v>
                </c:pt>
                <c:pt idx="80">
                  <c:v>425984</c:v>
                </c:pt>
                <c:pt idx="81">
                  <c:v>458752</c:v>
                </c:pt>
                <c:pt idx="82">
                  <c:v>458752</c:v>
                </c:pt>
                <c:pt idx="83">
                  <c:v>458752</c:v>
                </c:pt>
                <c:pt idx="84">
                  <c:v>491520</c:v>
                </c:pt>
                <c:pt idx="85">
                  <c:v>491520</c:v>
                </c:pt>
                <c:pt idx="86">
                  <c:v>491520</c:v>
                </c:pt>
                <c:pt idx="87">
                  <c:v>491520</c:v>
                </c:pt>
                <c:pt idx="88">
                  <c:v>491520</c:v>
                </c:pt>
                <c:pt idx="89">
                  <c:v>491520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32-4E1E-8E0C-0F186CB97C0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UNILAB!$AE$2:$AE$91</c:f>
              <c:numCache>
                <c:formatCode>0</c:formatCode>
                <c:ptCount val="90"/>
                <c:pt idx="0">
                  <c:v>99</c:v>
                </c:pt>
                <c:pt idx="1">
                  <c:v>61.087027914614119</c:v>
                </c:pt>
                <c:pt idx="2">
                  <c:v>93.182278481012659</c:v>
                </c:pt>
                <c:pt idx="3">
                  <c:v>47.239842726081257</c:v>
                </c:pt>
                <c:pt idx="4">
                  <c:v>72.709611451942735</c:v>
                </c:pt>
                <c:pt idx="5">
                  <c:v>53.784283513097073</c:v>
                </c:pt>
                <c:pt idx="6">
                  <c:v>52.701538461538462</c:v>
                </c:pt>
                <c:pt idx="7">
                  <c:v>48.218390804597703</c:v>
                </c:pt>
                <c:pt idx="8">
                  <c:v>82.275434243176178</c:v>
                </c:pt>
                <c:pt idx="9">
                  <c:v>46.502865329512893</c:v>
                </c:pt>
                <c:pt idx="10">
                  <c:v>53.922165820642981</c:v>
                </c:pt>
                <c:pt idx="11">
                  <c:v>51.414473684210527</c:v>
                </c:pt>
                <c:pt idx="12">
                  <c:v>50.245901639344261</c:v>
                </c:pt>
                <c:pt idx="13">
                  <c:v>73.938875305623469</c:v>
                </c:pt>
                <c:pt idx="14">
                  <c:v>59.724899598393577</c:v>
                </c:pt>
                <c:pt idx="15">
                  <c:v>60.835758835758838</c:v>
                </c:pt>
                <c:pt idx="16">
                  <c:v>60.864693446088793</c:v>
                </c:pt>
                <c:pt idx="17">
                  <c:v>52.214417744916823</c:v>
                </c:pt>
                <c:pt idx="18">
                  <c:v>71.061224489795919</c:v>
                </c:pt>
                <c:pt idx="19">
                  <c:v>50.873370577281193</c:v>
                </c:pt>
                <c:pt idx="20">
                  <c:v>46.677137870855148</c:v>
                </c:pt>
                <c:pt idx="21">
                  <c:v>65.864999999999995</c:v>
                </c:pt>
                <c:pt idx="22">
                  <c:v>45.879003558718864</c:v>
                </c:pt>
                <c:pt idx="23">
                  <c:v>35.469589816124468</c:v>
                </c:pt>
                <c:pt idx="24">
                  <c:v>69.243697478991592</c:v>
                </c:pt>
                <c:pt idx="25">
                  <c:v>78.741935483870961</c:v>
                </c:pt>
                <c:pt idx="26">
                  <c:v>60.024999999999999</c:v>
                </c:pt>
                <c:pt idx="27">
                  <c:v>70.246290801186944</c:v>
                </c:pt>
                <c:pt idx="28">
                  <c:v>72.518633540372676</c:v>
                </c:pt>
                <c:pt idx="29">
                  <c:v>41.226039783001809</c:v>
                </c:pt>
                <c:pt idx="30">
                  <c:v>41.934086629001882</c:v>
                </c:pt>
                <c:pt idx="31">
                  <c:v>35.503278688524588</c:v>
                </c:pt>
                <c:pt idx="32">
                  <c:v>25.704069050554871</c:v>
                </c:pt>
                <c:pt idx="33">
                  <c:v>161.859375</c:v>
                </c:pt>
                <c:pt idx="34">
                  <c:v>57.525423728813557</c:v>
                </c:pt>
                <c:pt idx="35">
                  <c:v>28.815519765739385</c:v>
                </c:pt>
                <c:pt idx="36">
                  <c:v>40.087682672233818</c:v>
                </c:pt>
                <c:pt idx="37">
                  <c:v>40.029914529914528</c:v>
                </c:pt>
                <c:pt idx="38">
                  <c:v>29.412337662337663</c:v>
                </c:pt>
                <c:pt idx="39">
                  <c:v>36.589211618257259</c:v>
                </c:pt>
                <c:pt idx="40">
                  <c:v>21.933680104031211</c:v>
                </c:pt>
                <c:pt idx="41">
                  <c:v>47.889855072463767</c:v>
                </c:pt>
                <c:pt idx="42">
                  <c:v>41.914285714285711</c:v>
                </c:pt>
                <c:pt idx="43">
                  <c:v>25.454098360655738</c:v>
                </c:pt>
                <c:pt idx="44">
                  <c:v>20.328296703296704</c:v>
                </c:pt>
                <c:pt idx="45">
                  <c:v>18.864429530201342</c:v>
                </c:pt>
                <c:pt idx="46">
                  <c:v>39.854651162790695</c:v>
                </c:pt>
                <c:pt idx="47">
                  <c:v>14742</c:v>
                </c:pt>
                <c:pt idx="48">
                  <c:v>1.477963803265008</c:v>
                </c:pt>
                <c:pt idx="49">
                  <c:v>28347</c:v>
                </c:pt>
                <c:pt idx="50">
                  <c:v>46.964467005076145</c:v>
                </c:pt>
                <c:pt idx="51">
                  <c:v>32.003567181926279</c:v>
                </c:pt>
                <c:pt idx="52">
                  <c:v>74.816901408450704</c:v>
                </c:pt>
                <c:pt idx="53">
                  <c:v>37.381502890173408</c:v>
                </c:pt>
                <c:pt idx="54">
                  <c:v>37.379821958456972</c:v>
                </c:pt>
                <c:pt idx="55">
                  <c:v>75.810975609756099</c:v>
                </c:pt>
                <c:pt idx="56">
                  <c:v>84.157534246575338</c:v>
                </c:pt>
                <c:pt idx="57">
                  <c:v>44.847014925373138</c:v>
                </c:pt>
                <c:pt idx="58">
                  <c:v>31.616010854816825</c:v>
                </c:pt>
                <c:pt idx="59">
                  <c:v>44.777996070726914</c:v>
                </c:pt>
                <c:pt idx="60">
                  <c:v>33.325301204819276</c:v>
                </c:pt>
                <c:pt idx="61">
                  <c:v>37.350086655112655</c:v>
                </c:pt>
                <c:pt idx="62">
                  <c:v>30.553440702781845</c:v>
                </c:pt>
                <c:pt idx="63">
                  <c:v>78.045454545454547</c:v>
                </c:pt>
                <c:pt idx="64">
                  <c:v>40.54032258064516</c:v>
                </c:pt>
                <c:pt idx="65">
                  <c:v>34.843137254901961</c:v>
                </c:pt>
                <c:pt idx="66">
                  <c:v>19.95069667738478</c:v>
                </c:pt>
                <c:pt idx="67">
                  <c:v>30.38954468802698</c:v>
                </c:pt>
                <c:pt idx="68">
                  <c:v>15.032918149466193</c:v>
                </c:pt>
                <c:pt idx="69">
                  <c:v>48.991124260355029</c:v>
                </c:pt>
                <c:pt idx="70">
                  <c:v>21.197050938337803</c:v>
                </c:pt>
                <c:pt idx="71">
                  <c:v>39.236641221374043</c:v>
                </c:pt>
                <c:pt idx="72">
                  <c:v>21.283236994219653</c:v>
                </c:pt>
                <c:pt idx="73">
                  <c:v>12.637037037037038</c:v>
                </c:pt>
                <c:pt idx="74">
                  <c:v>11.936492890995261</c:v>
                </c:pt>
                <c:pt idx="75">
                  <c:v>22.494402985074625</c:v>
                </c:pt>
                <c:pt idx="76">
                  <c:v>19.366554054054053</c:v>
                </c:pt>
                <c:pt idx="77">
                  <c:v>20.963601532567051</c:v>
                </c:pt>
                <c:pt idx="78">
                  <c:v>26.289276807980048</c:v>
                </c:pt>
                <c:pt idx="79">
                  <c:v>23.630841121495326</c:v>
                </c:pt>
                <c:pt idx="80">
                  <c:v>4.8973760932944606</c:v>
                </c:pt>
                <c:pt idx="81">
                  <c:v>30.258162490508731</c:v>
                </c:pt>
                <c:pt idx="82">
                  <c:v>27.102961918194641</c:v>
                </c:pt>
                <c:pt idx="83">
                  <c:v>10.38725925925926</c:v>
                </c:pt>
                <c:pt idx="84">
                  <c:v>3.3547351524879616</c:v>
                </c:pt>
                <c:pt idx="85">
                  <c:v>109.23206751054852</c:v>
                </c:pt>
                <c:pt idx="86">
                  <c:v>183.91428571428571</c:v>
                </c:pt>
                <c:pt idx="87">
                  <c:v>113.94642857142857</c:v>
                </c:pt>
                <c:pt idx="88">
                  <c:v>219.0344827586207</c:v>
                </c:pt>
                <c:pt idx="89">
                  <c:v>153.45592705167172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7-44CD-95B2-72832099D03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UNILAB!$AV$2:$AV$91</c:f>
              <c:numCache>
                <c:formatCode>0</c:formatCode>
                <c:ptCount val="90"/>
                <c:pt idx="0">
                  <c:v>99</c:v>
                </c:pt>
                <c:pt idx="1">
                  <c:v>72.591324200913249</c:v>
                </c:pt>
                <c:pt idx="2">
                  <c:v>77.506172839506178</c:v>
                </c:pt>
                <c:pt idx="3">
                  <c:v>66.943722943722946</c:v>
                </c:pt>
                <c:pt idx="4">
                  <c:v>94.456790123456784</c:v>
                </c:pt>
                <c:pt idx="5">
                  <c:v>59.48221343873518</c:v>
                </c:pt>
                <c:pt idx="6">
                  <c:v>85.737752161383284</c:v>
                </c:pt>
                <c:pt idx="7">
                  <c:v>80.509589041095893</c:v>
                </c:pt>
                <c:pt idx="8">
                  <c:v>57.654690618762473</c:v>
                </c:pt>
                <c:pt idx="9">
                  <c:v>37.668005354752346</c:v>
                </c:pt>
                <c:pt idx="10">
                  <c:v>93.740740740740748</c:v>
                </c:pt>
                <c:pt idx="11">
                  <c:v>86.550314465408803</c:v>
                </c:pt>
                <c:pt idx="12">
                  <c:v>57.065400843881854</c:v>
                </c:pt>
                <c:pt idx="13">
                  <c:v>97.71897810218978</c:v>
                </c:pt>
                <c:pt idx="14">
                  <c:v>70.590909090909093</c:v>
                </c:pt>
                <c:pt idx="15">
                  <c:v>58.730769230769234</c:v>
                </c:pt>
                <c:pt idx="16">
                  <c:v>77.42598187311178</c:v>
                </c:pt>
                <c:pt idx="17">
                  <c:v>26.177094379639449</c:v>
                </c:pt>
                <c:pt idx="18">
                  <c:v>72.467261904761898</c:v>
                </c:pt>
                <c:pt idx="19">
                  <c:v>148.38036809815952</c:v>
                </c:pt>
                <c:pt idx="20">
                  <c:v>36.095092024539881</c:v>
                </c:pt>
                <c:pt idx="21">
                  <c:v>77.973154362416111</c:v>
                </c:pt>
                <c:pt idx="22">
                  <c:v>52.662817551963052</c:v>
                </c:pt>
                <c:pt idx="23">
                  <c:v>50.242696629213484</c:v>
                </c:pt>
                <c:pt idx="24">
                  <c:v>124.6067415730337</c:v>
                </c:pt>
                <c:pt idx="25">
                  <c:v>50.943793911007027</c:v>
                </c:pt>
                <c:pt idx="26">
                  <c:v>130.04216867469879</c:v>
                </c:pt>
                <c:pt idx="27">
                  <c:v>8.5222761358623735</c:v>
                </c:pt>
                <c:pt idx="28">
                  <c:v>76.28</c:v>
                </c:pt>
                <c:pt idx="29">
                  <c:v>43.76525821596244</c:v>
                </c:pt>
                <c:pt idx="30">
                  <c:v>53.197674418604649</c:v>
                </c:pt>
                <c:pt idx="31">
                  <c:v>29.756302521008404</c:v>
                </c:pt>
                <c:pt idx="32">
                  <c:v>32.217636022514071</c:v>
                </c:pt>
                <c:pt idx="33">
                  <c:v>267.3125</c:v>
                </c:pt>
                <c:pt idx="34">
                  <c:v>30.162112932604735</c:v>
                </c:pt>
                <c:pt idx="35">
                  <c:v>35.155021834061138</c:v>
                </c:pt>
                <c:pt idx="36">
                  <c:v>33.625806451612902</c:v>
                </c:pt>
                <c:pt idx="37">
                  <c:v>35.36279069767442</c:v>
                </c:pt>
                <c:pt idx="38">
                  <c:v>46.518749999999997</c:v>
                </c:pt>
                <c:pt idx="39">
                  <c:v>53.130909090909093</c:v>
                </c:pt>
                <c:pt idx="40">
                  <c:v>21.617647058823529</c:v>
                </c:pt>
                <c:pt idx="41">
                  <c:v>33.652605459057071</c:v>
                </c:pt>
                <c:pt idx="42">
                  <c:v>23.884403669724772</c:v>
                </c:pt>
                <c:pt idx="43">
                  <c:v>42.39</c:v>
                </c:pt>
                <c:pt idx="44">
                  <c:v>23.789473684210527</c:v>
                </c:pt>
                <c:pt idx="45">
                  <c:v>17.053254437869821</c:v>
                </c:pt>
                <c:pt idx="46">
                  <c:v>30.241192411924118</c:v>
                </c:pt>
                <c:pt idx="47">
                  <c:v>23.471491228070175</c:v>
                </c:pt>
                <c:pt idx="48">
                  <c:v>7.6523848019401779</c:v>
                </c:pt>
                <c:pt idx="49">
                  <c:v>13.744548286604362</c:v>
                </c:pt>
                <c:pt idx="50">
                  <c:v>125.03636363636363</c:v>
                </c:pt>
                <c:pt idx="51">
                  <c:v>95.632318501170957</c:v>
                </c:pt>
                <c:pt idx="52">
                  <c:v>81.997967479674799</c:v>
                </c:pt>
                <c:pt idx="53">
                  <c:v>70.65719360568383</c:v>
                </c:pt>
                <c:pt idx="54">
                  <c:v>55.666666666666664</c:v>
                </c:pt>
                <c:pt idx="55">
                  <c:v>254.41176470588235</c:v>
                </c:pt>
                <c:pt idx="56">
                  <c:v>72.582230623818532</c:v>
                </c:pt>
                <c:pt idx="57">
                  <c:v>112.26253687315634</c:v>
                </c:pt>
                <c:pt idx="58">
                  <c:v>66.837789661319079</c:v>
                </c:pt>
                <c:pt idx="59">
                  <c:v>106.43839541547278</c:v>
                </c:pt>
                <c:pt idx="60">
                  <c:v>107.93548387096774</c:v>
                </c:pt>
                <c:pt idx="61">
                  <c:v>85.806603773584911</c:v>
                </c:pt>
                <c:pt idx="62">
                  <c:v>50.459688826025463</c:v>
                </c:pt>
                <c:pt idx="63">
                  <c:v>157.55555555555554</c:v>
                </c:pt>
                <c:pt idx="64">
                  <c:v>96.390109890109883</c:v>
                </c:pt>
                <c:pt idx="65">
                  <c:v>36209</c:v>
                </c:pt>
                <c:pt idx="66">
                  <c:v>13.317516805061288</c:v>
                </c:pt>
                <c:pt idx="67">
                  <c:v>96.341040462427742</c:v>
                </c:pt>
                <c:pt idx="68">
                  <c:v>36.328107502799554</c:v>
                </c:pt>
                <c:pt idx="69">
                  <c:v>70.931263858093132</c:v>
                </c:pt>
                <c:pt idx="70">
                  <c:v>40.981627296587924</c:v>
                </c:pt>
                <c:pt idx="71">
                  <c:v>147</c:v>
                </c:pt>
                <c:pt idx="72">
                  <c:v>79.354922279792746</c:v>
                </c:pt>
                <c:pt idx="73">
                  <c:v>37.921219822109279</c:v>
                </c:pt>
                <c:pt idx="74">
                  <c:v>32.683972911963885</c:v>
                </c:pt>
                <c:pt idx="75">
                  <c:v>50.43516873889876</c:v>
                </c:pt>
                <c:pt idx="76">
                  <c:v>90.893203883495147</c:v>
                </c:pt>
                <c:pt idx="77">
                  <c:v>84.367781155015194</c:v>
                </c:pt>
                <c:pt idx="78">
                  <c:v>74.222222222222229</c:v>
                </c:pt>
                <c:pt idx="79">
                  <c:v>88.796721311475409</c:v>
                </c:pt>
                <c:pt idx="80">
                  <c:v>14.673032407407407</c:v>
                </c:pt>
                <c:pt idx="81">
                  <c:v>23.10171102661597</c:v>
                </c:pt>
                <c:pt idx="82">
                  <c:v>28.819631901840491</c:v>
                </c:pt>
                <c:pt idx="83">
                  <c:v>7.7283537718320323</c:v>
                </c:pt>
                <c:pt idx="84">
                  <c:v>3.1080604340823683</c:v>
                </c:pt>
                <c:pt idx="85">
                  <c:v>92.163218390804602</c:v>
                </c:pt>
                <c:pt idx="86">
                  <c:v>226.78977272727272</c:v>
                </c:pt>
                <c:pt idx="87">
                  <c:v>159.94758064516128</c:v>
                </c:pt>
                <c:pt idx="88">
                  <c:v>178.48868778280544</c:v>
                </c:pt>
                <c:pt idx="89">
                  <c:v>100.40359897172236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9-4D42-B365-3A0291CFAA5D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INTERSPC!$AN$2:$AN$91</c:f>
              <c:numCache>
                <c:formatCode>General</c:formatCode>
                <c:ptCount val="90"/>
                <c:pt idx="0">
                  <c:v>92409</c:v>
                </c:pt>
                <c:pt idx="1">
                  <c:v>92537</c:v>
                </c:pt>
                <c:pt idx="2">
                  <c:v>93346</c:v>
                </c:pt>
                <c:pt idx="3">
                  <c:v>93923</c:v>
                </c:pt>
                <c:pt idx="4">
                  <c:v>94445</c:v>
                </c:pt>
                <c:pt idx="5">
                  <c:v>95533</c:v>
                </c:pt>
                <c:pt idx="6">
                  <c:v>95662</c:v>
                </c:pt>
                <c:pt idx="7">
                  <c:v>95854</c:v>
                </c:pt>
                <c:pt idx="8">
                  <c:v>96312</c:v>
                </c:pt>
                <c:pt idx="9">
                  <c:v>96838</c:v>
                </c:pt>
                <c:pt idx="10">
                  <c:v>97679</c:v>
                </c:pt>
                <c:pt idx="11">
                  <c:v>98583</c:v>
                </c:pt>
                <c:pt idx="12">
                  <c:v>99159</c:v>
                </c:pt>
                <c:pt idx="13">
                  <c:v>99359</c:v>
                </c:pt>
                <c:pt idx="14">
                  <c:v>99874</c:v>
                </c:pt>
                <c:pt idx="15">
                  <c:v>100004</c:v>
                </c:pt>
                <c:pt idx="16">
                  <c:v>100388</c:v>
                </c:pt>
                <c:pt idx="17">
                  <c:v>100580</c:v>
                </c:pt>
                <c:pt idx="18">
                  <c:v>102073</c:v>
                </c:pt>
                <c:pt idx="19">
                  <c:v>102458</c:v>
                </c:pt>
                <c:pt idx="20">
                  <c:v>102996</c:v>
                </c:pt>
                <c:pt idx="21">
                  <c:v>103204</c:v>
                </c:pt>
                <c:pt idx="22">
                  <c:v>103780</c:v>
                </c:pt>
                <c:pt idx="23">
                  <c:v>103911</c:v>
                </c:pt>
                <c:pt idx="24">
                  <c:v>104105</c:v>
                </c:pt>
                <c:pt idx="25">
                  <c:v>104235</c:v>
                </c:pt>
                <c:pt idx="26">
                  <c:v>104364</c:v>
                </c:pt>
                <c:pt idx="27">
                  <c:v>104432</c:v>
                </c:pt>
                <c:pt idx="28">
                  <c:v>104691</c:v>
                </c:pt>
                <c:pt idx="29">
                  <c:v>104949</c:v>
                </c:pt>
                <c:pt idx="30">
                  <c:v>105013</c:v>
                </c:pt>
                <c:pt idx="31">
                  <c:v>105207</c:v>
                </c:pt>
                <c:pt idx="32">
                  <c:v>106378</c:v>
                </c:pt>
                <c:pt idx="33">
                  <c:v>106572</c:v>
                </c:pt>
                <c:pt idx="34">
                  <c:v>107020</c:v>
                </c:pt>
                <c:pt idx="35">
                  <c:v>107542</c:v>
                </c:pt>
                <c:pt idx="36">
                  <c:v>107688</c:v>
                </c:pt>
                <c:pt idx="37">
                  <c:v>107889</c:v>
                </c:pt>
                <c:pt idx="38">
                  <c:v>107953</c:v>
                </c:pt>
                <c:pt idx="39">
                  <c:v>108338</c:v>
                </c:pt>
                <c:pt idx="40">
                  <c:v>108467</c:v>
                </c:pt>
                <c:pt idx="41">
                  <c:v>108660</c:v>
                </c:pt>
                <c:pt idx="42">
                  <c:v>108790</c:v>
                </c:pt>
                <c:pt idx="43">
                  <c:v>108927</c:v>
                </c:pt>
                <c:pt idx="44">
                  <c:v>109250</c:v>
                </c:pt>
                <c:pt idx="45">
                  <c:v>109707</c:v>
                </c:pt>
                <c:pt idx="46">
                  <c:v>109907</c:v>
                </c:pt>
                <c:pt idx="47">
                  <c:v>110100</c:v>
                </c:pt>
                <c:pt idx="48">
                  <c:v>110293</c:v>
                </c:pt>
                <c:pt idx="49">
                  <c:v>110485</c:v>
                </c:pt>
                <c:pt idx="50">
                  <c:v>108999</c:v>
                </c:pt>
                <c:pt idx="51">
                  <c:v>109128</c:v>
                </c:pt>
                <c:pt idx="52">
                  <c:v>109312</c:v>
                </c:pt>
                <c:pt idx="53">
                  <c:v>109535</c:v>
                </c:pt>
                <c:pt idx="54">
                  <c:v>109766</c:v>
                </c:pt>
                <c:pt idx="55">
                  <c:v>109799</c:v>
                </c:pt>
                <c:pt idx="56">
                  <c:v>110084</c:v>
                </c:pt>
                <c:pt idx="57">
                  <c:v>110320</c:v>
                </c:pt>
                <c:pt idx="58">
                  <c:v>110866</c:v>
                </c:pt>
                <c:pt idx="59">
                  <c:v>111011</c:v>
                </c:pt>
                <c:pt idx="60">
                  <c:v>111099</c:v>
                </c:pt>
                <c:pt idx="61">
                  <c:v>111309</c:v>
                </c:pt>
                <c:pt idx="62">
                  <c:v>113623</c:v>
                </c:pt>
                <c:pt idx="63">
                  <c:v>113752</c:v>
                </c:pt>
                <c:pt idx="64">
                  <c:v>113818</c:v>
                </c:pt>
                <c:pt idx="65">
                  <c:v>114587</c:v>
                </c:pt>
                <c:pt idx="66">
                  <c:v>114864</c:v>
                </c:pt>
                <c:pt idx="67">
                  <c:v>114888</c:v>
                </c:pt>
                <c:pt idx="68">
                  <c:v>116124</c:v>
                </c:pt>
                <c:pt idx="69">
                  <c:v>116164</c:v>
                </c:pt>
                <c:pt idx="70">
                  <c:v>118304</c:v>
                </c:pt>
                <c:pt idx="71">
                  <c:v>118677</c:v>
                </c:pt>
                <c:pt idx="72">
                  <c:v>119074</c:v>
                </c:pt>
                <c:pt idx="73">
                  <c:v>119563</c:v>
                </c:pt>
                <c:pt idx="74">
                  <c:v>120801</c:v>
                </c:pt>
                <c:pt idx="75">
                  <c:v>121252</c:v>
                </c:pt>
                <c:pt idx="76">
                  <c:v>121388</c:v>
                </c:pt>
                <c:pt idx="77">
                  <c:v>121517</c:v>
                </c:pt>
                <c:pt idx="78">
                  <c:v>121838</c:v>
                </c:pt>
                <c:pt idx="79">
                  <c:v>122216</c:v>
                </c:pt>
                <c:pt idx="80">
                  <c:v>123102</c:v>
                </c:pt>
                <c:pt idx="81">
                  <c:v>125550</c:v>
                </c:pt>
                <c:pt idx="82">
                  <c:v>126654</c:v>
                </c:pt>
                <c:pt idx="83">
                  <c:v>128184</c:v>
                </c:pt>
                <c:pt idx="84">
                  <c:v>136607</c:v>
                </c:pt>
                <c:pt idx="85">
                  <c:v>136681</c:v>
                </c:pt>
                <c:pt idx="86">
                  <c:v>136884</c:v>
                </c:pt>
                <c:pt idx="87">
                  <c:v>137073</c:v>
                </c:pt>
                <c:pt idx="88">
                  <c:v>137249</c:v>
                </c:pt>
                <c:pt idx="89">
                  <c:v>137775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B-4131-90DB-E156252F5B1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INTERSPC!$AP$2:$AP$91</c:f>
              <c:numCache>
                <c:formatCode>General</c:formatCode>
                <c:ptCount val="90"/>
                <c:pt idx="0">
                  <c:v>131072</c:v>
                </c:pt>
                <c:pt idx="1">
                  <c:v>131072</c:v>
                </c:pt>
                <c:pt idx="2">
                  <c:v>131072</c:v>
                </c:pt>
                <c:pt idx="3">
                  <c:v>131072</c:v>
                </c:pt>
                <c:pt idx="4">
                  <c:v>131072</c:v>
                </c:pt>
                <c:pt idx="5">
                  <c:v>131072</c:v>
                </c:pt>
                <c:pt idx="6">
                  <c:v>131072</c:v>
                </c:pt>
                <c:pt idx="7">
                  <c:v>131072</c:v>
                </c:pt>
                <c:pt idx="8">
                  <c:v>131072</c:v>
                </c:pt>
                <c:pt idx="9">
                  <c:v>131072</c:v>
                </c:pt>
                <c:pt idx="10">
                  <c:v>131072</c:v>
                </c:pt>
                <c:pt idx="11">
                  <c:v>131072</c:v>
                </c:pt>
                <c:pt idx="12">
                  <c:v>131072</c:v>
                </c:pt>
                <c:pt idx="13">
                  <c:v>131072</c:v>
                </c:pt>
                <c:pt idx="14">
                  <c:v>131072</c:v>
                </c:pt>
                <c:pt idx="15">
                  <c:v>131072</c:v>
                </c:pt>
                <c:pt idx="16">
                  <c:v>131072</c:v>
                </c:pt>
                <c:pt idx="17">
                  <c:v>131072</c:v>
                </c:pt>
                <c:pt idx="18">
                  <c:v>131072</c:v>
                </c:pt>
                <c:pt idx="19">
                  <c:v>131072</c:v>
                </c:pt>
                <c:pt idx="20">
                  <c:v>131072</c:v>
                </c:pt>
                <c:pt idx="21">
                  <c:v>131072</c:v>
                </c:pt>
                <c:pt idx="22">
                  <c:v>131072</c:v>
                </c:pt>
                <c:pt idx="23">
                  <c:v>131072</c:v>
                </c:pt>
                <c:pt idx="24">
                  <c:v>131072</c:v>
                </c:pt>
                <c:pt idx="25">
                  <c:v>131072</c:v>
                </c:pt>
                <c:pt idx="26">
                  <c:v>131072</c:v>
                </c:pt>
                <c:pt idx="27">
                  <c:v>131072</c:v>
                </c:pt>
                <c:pt idx="28">
                  <c:v>131072</c:v>
                </c:pt>
                <c:pt idx="29">
                  <c:v>131072</c:v>
                </c:pt>
                <c:pt idx="30">
                  <c:v>131072</c:v>
                </c:pt>
                <c:pt idx="31">
                  <c:v>131072</c:v>
                </c:pt>
                <c:pt idx="32">
                  <c:v>131072</c:v>
                </c:pt>
                <c:pt idx="33">
                  <c:v>131072</c:v>
                </c:pt>
                <c:pt idx="34">
                  <c:v>131072</c:v>
                </c:pt>
                <c:pt idx="35">
                  <c:v>131072</c:v>
                </c:pt>
                <c:pt idx="36">
                  <c:v>131072</c:v>
                </c:pt>
                <c:pt idx="37">
                  <c:v>131072</c:v>
                </c:pt>
                <c:pt idx="38">
                  <c:v>131072</c:v>
                </c:pt>
                <c:pt idx="39">
                  <c:v>131072</c:v>
                </c:pt>
                <c:pt idx="40">
                  <c:v>131072</c:v>
                </c:pt>
                <c:pt idx="41">
                  <c:v>131072</c:v>
                </c:pt>
                <c:pt idx="42">
                  <c:v>131072</c:v>
                </c:pt>
                <c:pt idx="43">
                  <c:v>131072</c:v>
                </c:pt>
                <c:pt idx="44">
                  <c:v>131072</c:v>
                </c:pt>
                <c:pt idx="45">
                  <c:v>131072</c:v>
                </c:pt>
                <c:pt idx="46">
                  <c:v>131072</c:v>
                </c:pt>
                <c:pt idx="47">
                  <c:v>131072</c:v>
                </c:pt>
                <c:pt idx="48">
                  <c:v>131072</c:v>
                </c:pt>
                <c:pt idx="49">
                  <c:v>131072</c:v>
                </c:pt>
                <c:pt idx="50">
                  <c:v>131072</c:v>
                </c:pt>
                <c:pt idx="51">
                  <c:v>131072</c:v>
                </c:pt>
                <c:pt idx="52">
                  <c:v>131072</c:v>
                </c:pt>
                <c:pt idx="53">
                  <c:v>131072</c:v>
                </c:pt>
                <c:pt idx="54">
                  <c:v>131072</c:v>
                </c:pt>
                <c:pt idx="55">
                  <c:v>131072</c:v>
                </c:pt>
                <c:pt idx="56">
                  <c:v>131072</c:v>
                </c:pt>
                <c:pt idx="57">
                  <c:v>131072</c:v>
                </c:pt>
                <c:pt idx="58">
                  <c:v>131072</c:v>
                </c:pt>
                <c:pt idx="59">
                  <c:v>131072</c:v>
                </c:pt>
                <c:pt idx="60">
                  <c:v>131072</c:v>
                </c:pt>
                <c:pt idx="61">
                  <c:v>131072</c:v>
                </c:pt>
                <c:pt idx="62">
                  <c:v>131072</c:v>
                </c:pt>
                <c:pt idx="63">
                  <c:v>131072</c:v>
                </c:pt>
                <c:pt idx="64">
                  <c:v>131072</c:v>
                </c:pt>
                <c:pt idx="65">
                  <c:v>131072</c:v>
                </c:pt>
                <c:pt idx="66">
                  <c:v>131072</c:v>
                </c:pt>
                <c:pt idx="67">
                  <c:v>131072</c:v>
                </c:pt>
                <c:pt idx="68">
                  <c:v>131072</c:v>
                </c:pt>
                <c:pt idx="69">
                  <c:v>131072</c:v>
                </c:pt>
                <c:pt idx="70">
                  <c:v>131072</c:v>
                </c:pt>
                <c:pt idx="71">
                  <c:v>131072</c:v>
                </c:pt>
                <c:pt idx="72">
                  <c:v>131072</c:v>
                </c:pt>
                <c:pt idx="73">
                  <c:v>131072</c:v>
                </c:pt>
                <c:pt idx="74">
                  <c:v>131072</c:v>
                </c:pt>
                <c:pt idx="75">
                  <c:v>131072</c:v>
                </c:pt>
                <c:pt idx="76">
                  <c:v>131072</c:v>
                </c:pt>
                <c:pt idx="77">
                  <c:v>131072</c:v>
                </c:pt>
                <c:pt idx="78">
                  <c:v>131072</c:v>
                </c:pt>
                <c:pt idx="79">
                  <c:v>131072</c:v>
                </c:pt>
                <c:pt idx="80">
                  <c:v>131072</c:v>
                </c:pt>
                <c:pt idx="81">
                  <c:v>131072</c:v>
                </c:pt>
                <c:pt idx="82">
                  <c:v>163840</c:v>
                </c:pt>
                <c:pt idx="83">
                  <c:v>163840</c:v>
                </c:pt>
                <c:pt idx="84">
                  <c:v>163840</c:v>
                </c:pt>
                <c:pt idx="85">
                  <c:v>163840</c:v>
                </c:pt>
                <c:pt idx="86">
                  <c:v>163840</c:v>
                </c:pt>
                <c:pt idx="87">
                  <c:v>163840</c:v>
                </c:pt>
                <c:pt idx="88">
                  <c:v>163840</c:v>
                </c:pt>
                <c:pt idx="89">
                  <c:v>163840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BB-4131-90DB-E156252F5B1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8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INTERSPC!$W$2:$W$91</c:f>
              <c:numCache>
                <c:formatCode>General</c:formatCode>
                <c:ptCount val="90"/>
                <c:pt idx="0">
                  <c:v>16159</c:v>
                </c:pt>
                <c:pt idx="1">
                  <c:v>16159</c:v>
                </c:pt>
                <c:pt idx="2">
                  <c:v>16991</c:v>
                </c:pt>
                <c:pt idx="3">
                  <c:v>16999</c:v>
                </c:pt>
                <c:pt idx="4">
                  <c:v>17064</c:v>
                </c:pt>
                <c:pt idx="5">
                  <c:v>17065</c:v>
                </c:pt>
                <c:pt idx="6">
                  <c:v>17073</c:v>
                </c:pt>
                <c:pt idx="7">
                  <c:v>17137</c:v>
                </c:pt>
                <c:pt idx="8">
                  <c:v>17138</c:v>
                </c:pt>
                <c:pt idx="9">
                  <c:v>17149</c:v>
                </c:pt>
                <c:pt idx="10">
                  <c:v>17214</c:v>
                </c:pt>
                <c:pt idx="11">
                  <c:v>17279</c:v>
                </c:pt>
                <c:pt idx="12">
                  <c:v>17280</c:v>
                </c:pt>
                <c:pt idx="13">
                  <c:v>17288</c:v>
                </c:pt>
                <c:pt idx="14">
                  <c:v>17352</c:v>
                </c:pt>
                <c:pt idx="15">
                  <c:v>17352</c:v>
                </c:pt>
                <c:pt idx="16">
                  <c:v>17352</c:v>
                </c:pt>
                <c:pt idx="17">
                  <c:v>17354</c:v>
                </c:pt>
                <c:pt idx="18">
                  <c:v>17444</c:v>
                </c:pt>
                <c:pt idx="19">
                  <c:v>17508</c:v>
                </c:pt>
                <c:pt idx="20">
                  <c:v>17509</c:v>
                </c:pt>
                <c:pt idx="21">
                  <c:v>17510</c:v>
                </c:pt>
                <c:pt idx="22">
                  <c:v>17582</c:v>
                </c:pt>
                <c:pt idx="23">
                  <c:v>17590</c:v>
                </c:pt>
                <c:pt idx="24">
                  <c:v>17591</c:v>
                </c:pt>
                <c:pt idx="25">
                  <c:v>17591</c:v>
                </c:pt>
                <c:pt idx="26">
                  <c:v>17591</c:v>
                </c:pt>
                <c:pt idx="27">
                  <c:v>17592</c:v>
                </c:pt>
                <c:pt idx="28">
                  <c:v>17601</c:v>
                </c:pt>
                <c:pt idx="29">
                  <c:v>17673</c:v>
                </c:pt>
                <c:pt idx="30">
                  <c:v>17674</c:v>
                </c:pt>
                <c:pt idx="31">
                  <c:v>17674</c:v>
                </c:pt>
                <c:pt idx="32">
                  <c:v>17748</c:v>
                </c:pt>
                <c:pt idx="33">
                  <c:v>17756</c:v>
                </c:pt>
                <c:pt idx="34">
                  <c:v>17758</c:v>
                </c:pt>
                <c:pt idx="35">
                  <c:v>17823</c:v>
                </c:pt>
                <c:pt idx="36">
                  <c:v>17824</c:v>
                </c:pt>
                <c:pt idx="37">
                  <c:v>17824</c:v>
                </c:pt>
                <c:pt idx="38">
                  <c:v>17826</c:v>
                </c:pt>
                <c:pt idx="39">
                  <c:v>17827</c:v>
                </c:pt>
                <c:pt idx="40">
                  <c:v>17828</c:v>
                </c:pt>
                <c:pt idx="41">
                  <c:v>17828</c:v>
                </c:pt>
                <c:pt idx="42">
                  <c:v>17903</c:v>
                </c:pt>
                <c:pt idx="43">
                  <c:v>17912</c:v>
                </c:pt>
                <c:pt idx="44">
                  <c:v>17912</c:v>
                </c:pt>
                <c:pt idx="45">
                  <c:v>17920</c:v>
                </c:pt>
                <c:pt idx="46">
                  <c:v>17921</c:v>
                </c:pt>
                <c:pt idx="47">
                  <c:v>17986</c:v>
                </c:pt>
                <c:pt idx="48">
                  <c:v>17986</c:v>
                </c:pt>
                <c:pt idx="49">
                  <c:v>17994</c:v>
                </c:pt>
                <c:pt idx="50">
                  <c:v>13872</c:v>
                </c:pt>
                <c:pt idx="51">
                  <c:v>13872</c:v>
                </c:pt>
                <c:pt idx="52">
                  <c:v>13872</c:v>
                </c:pt>
                <c:pt idx="53">
                  <c:v>13872</c:v>
                </c:pt>
                <c:pt idx="54">
                  <c:v>13944</c:v>
                </c:pt>
                <c:pt idx="55">
                  <c:v>13944</c:v>
                </c:pt>
                <c:pt idx="56">
                  <c:v>13945</c:v>
                </c:pt>
                <c:pt idx="57">
                  <c:v>13945</c:v>
                </c:pt>
                <c:pt idx="58">
                  <c:v>13954</c:v>
                </c:pt>
                <c:pt idx="59">
                  <c:v>14018</c:v>
                </c:pt>
                <c:pt idx="60">
                  <c:v>14019</c:v>
                </c:pt>
                <c:pt idx="61">
                  <c:v>14020</c:v>
                </c:pt>
                <c:pt idx="62">
                  <c:v>14158</c:v>
                </c:pt>
                <c:pt idx="63">
                  <c:v>14158</c:v>
                </c:pt>
                <c:pt idx="64">
                  <c:v>14158</c:v>
                </c:pt>
                <c:pt idx="65">
                  <c:v>14158</c:v>
                </c:pt>
                <c:pt idx="66">
                  <c:v>14233</c:v>
                </c:pt>
                <c:pt idx="67">
                  <c:v>14262</c:v>
                </c:pt>
                <c:pt idx="68">
                  <c:v>14278</c:v>
                </c:pt>
                <c:pt idx="69">
                  <c:v>14248</c:v>
                </c:pt>
                <c:pt idx="70">
                  <c:v>14647</c:v>
                </c:pt>
                <c:pt idx="71">
                  <c:v>14887</c:v>
                </c:pt>
                <c:pt idx="72">
                  <c:v>15007</c:v>
                </c:pt>
                <c:pt idx="73">
                  <c:v>15201</c:v>
                </c:pt>
                <c:pt idx="74">
                  <c:v>15271</c:v>
                </c:pt>
                <c:pt idx="75">
                  <c:v>15272</c:v>
                </c:pt>
                <c:pt idx="76">
                  <c:v>15274</c:v>
                </c:pt>
                <c:pt idx="77">
                  <c:v>15274</c:v>
                </c:pt>
                <c:pt idx="78">
                  <c:v>15330</c:v>
                </c:pt>
                <c:pt idx="79">
                  <c:v>15332</c:v>
                </c:pt>
                <c:pt idx="80">
                  <c:v>15487</c:v>
                </c:pt>
                <c:pt idx="81">
                  <c:v>15637</c:v>
                </c:pt>
                <c:pt idx="82">
                  <c:v>15730</c:v>
                </c:pt>
                <c:pt idx="83">
                  <c:v>16236</c:v>
                </c:pt>
                <c:pt idx="84">
                  <c:v>16348</c:v>
                </c:pt>
                <c:pt idx="85">
                  <c:v>16387</c:v>
                </c:pt>
                <c:pt idx="86">
                  <c:v>16484</c:v>
                </c:pt>
                <c:pt idx="87">
                  <c:v>16522</c:v>
                </c:pt>
                <c:pt idx="88">
                  <c:v>16555</c:v>
                </c:pt>
                <c:pt idx="89">
                  <c:v>16582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C-4E5B-A7EB-526A681E57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INTERSPC!$Y$2:$Y$91</c:f>
              <c:numCache>
                <c:formatCode>General</c:formatCode>
                <c:ptCount val="90"/>
                <c:pt idx="0">
                  <c:v>32768</c:v>
                </c:pt>
                <c:pt idx="1">
                  <c:v>32768</c:v>
                </c:pt>
                <c:pt idx="2">
                  <c:v>32768</c:v>
                </c:pt>
                <c:pt idx="3">
                  <c:v>32768</c:v>
                </c:pt>
                <c:pt idx="4">
                  <c:v>32768</c:v>
                </c:pt>
                <c:pt idx="5">
                  <c:v>32768</c:v>
                </c:pt>
                <c:pt idx="6">
                  <c:v>32768</c:v>
                </c:pt>
                <c:pt idx="7">
                  <c:v>32768</c:v>
                </c:pt>
                <c:pt idx="8">
                  <c:v>32768</c:v>
                </c:pt>
                <c:pt idx="9">
                  <c:v>32768</c:v>
                </c:pt>
                <c:pt idx="10">
                  <c:v>32768</c:v>
                </c:pt>
                <c:pt idx="11">
                  <c:v>32768</c:v>
                </c:pt>
                <c:pt idx="12">
                  <c:v>32768</c:v>
                </c:pt>
                <c:pt idx="13">
                  <c:v>32768</c:v>
                </c:pt>
                <c:pt idx="14">
                  <c:v>32768</c:v>
                </c:pt>
                <c:pt idx="15">
                  <c:v>32768</c:v>
                </c:pt>
                <c:pt idx="16">
                  <c:v>32768</c:v>
                </c:pt>
                <c:pt idx="17">
                  <c:v>32768</c:v>
                </c:pt>
                <c:pt idx="18">
                  <c:v>32768</c:v>
                </c:pt>
                <c:pt idx="19">
                  <c:v>32768</c:v>
                </c:pt>
                <c:pt idx="20">
                  <c:v>32768</c:v>
                </c:pt>
                <c:pt idx="21">
                  <c:v>32768</c:v>
                </c:pt>
                <c:pt idx="22">
                  <c:v>32768</c:v>
                </c:pt>
                <c:pt idx="23">
                  <c:v>32768</c:v>
                </c:pt>
                <c:pt idx="24">
                  <c:v>32768</c:v>
                </c:pt>
                <c:pt idx="25">
                  <c:v>32768</c:v>
                </c:pt>
                <c:pt idx="26">
                  <c:v>32768</c:v>
                </c:pt>
                <c:pt idx="27">
                  <c:v>32768</c:v>
                </c:pt>
                <c:pt idx="28">
                  <c:v>32768</c:v>
                </c:pt>
                <c:pt idx="29">
                  <c:v>32768</c:v>
                </c:pt>
                <c:pt idx="30">
                  <c:v>32768</c:v>
                </c:pt>
                <c:pt idx="31">
                  <c:v>32768</c:v>
                </c:pt>
                <c:pt idx="32">
                  <c:v>32768</c:v>
                </c:pt>
                <c:pt idx="33">
                  <c:v>32768</c:v>
                </c:pt>
                <c:pt idx="34">
                  <c:v>32768</c:v>
                </c:pt>
                <c:pt idx="35">
                  <c:v>32768</c:v>
                </c:pt>
                <c:pt idx="36">
                  <c:v>32768</c:v>
                </c:pt>
                <c:pt idx="37">
                  <c:v>32768</c:v>
                </c:pt>
                <c:pt idx="38">
                  <c:v>32768</c:v>
                </c:pt>
                <c:pt idx="39">
                  <c:v>32768</c:v>
                </c:pt>
                <c:pt idx="40">
                  <c:v>32768</c:v>
                </c:pt>
                <c:pt idx="41">
                  <c:v>32768</c:v>
                </c:pt>
                <c:pt idx="42">
                  <c:v>32768</c:v>
                </c:pt>
                <c:pt idx="43">
                  <c:v>32768</c:v>
                </c:pt>
                <c:pt idx="44">
                  <c:v>32768</c:v>
                </c:pt>
                <c:pt idx="45">
                  <c:v>32768</c:v>
                </c:pt>
                <c:pt idx="46">
                  <c:v>32768</c:v>
                </c:pt>
                <c:pt idx="47">
                  <c:v>32768</c:v>
                </c:pt>
                <c:pt idx="48">
                  <c:v>32768</c:v>
                </c:pt>
                <c:pt idx="49">
                  <c:v>32768</c:v>
                </c:pt>
                <c:pt idx="50">
                  <c:v>32768</c:v>
                </c:pt>
                <c:pt idx="51">
                  <c:v>32768</c:v>
                </c:pt>
                <c:pt idx="52">
                  <c:v>32768</c:v>
                </c:pt>
                <c:pt idx="53">
                  <c:v>32768</c:v>
                </c:pt>
                <c:pt idx="54">
                  <c:v>32768</c:v>
                </c:pt>
                <c:pt idx="55">
                  <c:v>32768</c:v>
                </c:pt>
                <c:pt idx="56">
                  <c:v>32768</c:v>
                </c:pt>
                <c:pt idx="57">
                  <c:v>32768</c:v>
                </c:pt>
                <c:pt idx="58">
                  <c:v>32768</c:v>
                </c:pt>
                <c:pt idx="59">
                  <c:v>32768</c:v>
                </c:pt>
                <c:pt idx="60">
                  <c:v>32768</c:v>
                </c:pt>
                <c:pt idx="61">
                  <c:v>32768</c:v>
                </c:pt>
                <c:pt idx="62">
                  <c:v>32768</c:v>
                </c:pt>
                <c:pt idx="63">
                  <c:v>32768</c:v>
                </c:pt>
                <c:pt idx="64">
                  <c:v>32768</c:v>
                </c:pt>
                <c:pt idx="65">
                  <c:v>32768</c:v>
                </c:pt>
                <c:pt idx="66">
                  <c:v>32768</c:v>
                </c:pt>
                <c:pt idx="67">
                  <c:v>32768</c:v>
                </c:pt>
                <c:pt idx="68">
                  <c:v>32768</c:v>
                </c:pt>
                <c:pt idx="69">
                  <c:v>32768</c:v>
                </c:pt>
                <c:pt idx="70">
                  <c:v>32768</c:v>
                </c:pt>
                <c:pt idx="71">
                  <c:v>32768</c:v>
                </c:pt>
                <c:pt idx="72">
                  <c:v>32768</c:v>
                </c:pt>
                <c:pt idx="73">
                  <c:v>32768</c:v>
                </c:pt>
                <c:pt idx="74">
                  <c:v>32768</c:v>
                </c:pt>
                <c:pt idx="75">
                  <c:v>32768</c:v>
                </c:pt>
                <c:pt idx="76">
                  <c:v>32768</c:v>
                </c:pt>
                <c:pt idx="77">
                  <c:v>32768</c:v>
                </c:pt>
                <c:pt idx="78">
                  <c:v>32768</c:v>
                </c:pt>
                <c:pt idx="79">
                  <c:v>32768</c:v>
                </c:pt>
                <c:pt idx="80">
                  <c:v>32768</c:v>
                </c:pt>
                <c:pt idx="81">
                  <c:v>32768</c:v>
                </c:pt>
                <c:pt idx="82">
                  <c:v>32768</c:v>
                </c:pt>
                <c:pt idx="83">
                  <c:v>32768</c:v>
                </c:pt>
                <c:pt idx="84">
                  <c:v>32768</c:v>
                </c:pt>
                <c:pt idx="85">
                  <c:v>32768</c:v>
                </c:pt>
                <c:pt idx="86">
                  <c:v>32768</c:v>
                </c:pt>
                <c:pt idx="87">
                  <c:v>32768</c:v>
                </c:pt>
                <c:pt idx="88">
                  <c:v>32768</c:v>
                </c:pt>
                <c:pt idx="89">
                  <c:v>32768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7C-4E5B-A7EB-526A681E5739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INTERSPC!$AV$2:$AV$91</c:f>
              <c:numCache>
                <c:formatCode>0</c:formatCode>
                <c:ptCount val="90"/>
                <c:pt idx="0">
                  <c:v>99</c:v>
                </c:pt>
                <c:pt idx="1">
                  <c:v>301.0546875</c:v>
                </c:pt>
                <c:pt idx="2">
                  <c:v>46.632880098887519</c:v>
                </c:pt>
                <c:pt idx="3">
                  <c:v>64.383015597920277</c:v>
                </c:pt>
                <c:pt idx="4">
                  <c:v>70.166666666666671</c:v>
                </c:pt>
                <c:pt idx="5">
                  <c:v>32.664522058823529</c:v>
                </c:pt>
                <c:pt idx="6">
                  <c:v>274.49612403100775</c:v>
                </c:pt>
                <c:pt idx="7">
                  <c:v>183.42708333333334</c:v>
                </c:pt>
                <c:pt idx="8">
                  <c:v>75.895196506550221</c:v>
                </c:pt>
                <c:pt idx="9">
                  <c:v>65.083650190114071</c:v>
                </c:pt>
                <c:pt idx="10">
                  <c:v>39.70630202140309</c:v>
                </c:pt>
                <c:pt idx="11">
                  <c:v>35.939159292035399</c:v>
                </c:pt>
                <c:pt idx="12">
                  <c:v>55.404513888888886</c:v>
                </c:pt>
                <c:pt idx="13">
                  <c:v>158.565</c:v>
                </c:pt>
                <c:pt idx="14">
                  <c:v>60.578640776699032</c:v>
                </c:pt>
                <c:pt idx="15">
                  <c:v>238.98461538461538</c:v>
                </c:pt>
                <c:pt idx="16">
                  <c:v>79.90625</c:v>
                </c:pt>
                <c:pt idx="17">
                  <c:v>158.8125</c:v>
                </c:pt>
                <c:pt idx="18">
                  <c:v>19.423308774279974</c:v>
                </c:pt>
                <c:pt idx="19">
                  <c:v>74.322077922077924</c:v>
                </c:pt>
                <c:pt idx="20">
                  <c:v>52.185873605947954</c:v>
                </c:pt>
                <c:pt idx="21">
                  <c:v>133.98076923076923</c:v>
                </c:pt>
                <c:pt idx="22">
                  <c:v>47.381944444444443</c:v>
                </c:pt>
                <c:pt idx="23">
                  <c:v>207.33587786259542</c:v>
                </c:pt>
                <c:pt idx="24">
                  <c:v>139.00515463917526</c:v>
                </c:pt>
                <c:pt idx="25">
                  <c:v>206.43846153846152</c:v>
                </c:pt>
                <c:pt idx="26">
                  <c:v>207.03875968992247</c:v>
                </c:pt>
                <c:pt idx="27">
                  <c:v>391.76470588235293</c:v>
                </c:pt>
                <c:pt idx="28">
                  <c:v>101.85714285714286</c:v>
                </c:pt>
                <c:pt idx="29">
                  <c:v>101.25193798449612</c:v>
                </c:pt>
                <c:pt idx="30">
                  <c:v>407.171875</c:v>
                </c:pt>
                <c:pt idx="31">
                  <c:v>133.32474226804123</c:v>
                </c:pt>
                <c:pt idx="32">
                  <c:v>21.087959009393682</c:v>
                </c:pt>
                <c:pt idx="33">
                  <c:v>126.28865979381443</c:v>
                </c:pt>
                <c:pt idx="34">
                  <c:v>53.6875</c:v>
                </c:pt>
                <c:pt idx="35">
                  <c:v>45.076628352490424</c:v>
                </c:pt>
                <c:pt idx="36">
                  <c:v>160.16438356164383</c:v>
                </c:pt>
                <c:pt idx="37">
                  <c:v>115.33830845771145</c:v>
                </c:pt>
                <c:pt idx="38">
                  <c:v>361.234375</c:v>
                </c:pt>
                <c:pt idx="39">
                  <c:v>59.04935064935065</c:v>
                </c:pt>
                <c:pt idx="40">
                  <c:v>175.23255813953489</c:v>
                </c:pt>
                <c:pt idx="41">
                  <c:v>116.12435233160622</c:v>
                </c:pt>
                <c:pt idx="42">
                  <c:v>171.4</c:v>
                </c:pt>
                <c:pt idx="43">
                  <c:v>161.64233576642334</c:v>
                </c:pt>
                <c:pt idx="44">
                  <c:v>67.56037151702786</c:v>
                </c:pt>
                <c:pt idx="45">
                  <c:v>46.750547045951862</c:v>
                </c:pt>
                <c:pt idx="46">
                  <c:v>105.825</c:v>
                </c:pt>
                <c:pt idx="47">
                  <c:v>108.66321243523316</c:v>
                </c:pt>
                <c:pt idx="48">
                  <c:v>107.66321243523316</c:v>
                </c:pt>
                <c:pt idx="49">
                  <c:v>107.22395833333333</c:v>
                </c:pt>
                <c:pt idx="50">
                  <c:v>22073</c:v>
                </c:pt>
                <c:pt idx="51">
                  <c:v>170.10852713178295</c:v>
                </c:pt>
                <c:pt idx="52">
                  <c:v>118.26086956521739</c:v>
                </c:pt>
                <c:pt idx="53">
                  <c:v>96.578475336322867</c:v>
                </c:pt>
                <c:pt idx="54">
                  <c:v>92.233766233766232</c:v>
                </c:pt>
                <c:pt idx="55">
                  <c:v>644.63636363636363</c:v>
                </c:pt>
                <c:pt idx="56">
                  <c:v>73.642105263157902</c:v>
                </c:pt>
                <c:pt idx="57">
                  <c:v>87.932203389830505</c:v>
                </c:pt>
                <c:pt idx="58">
                  <c:v>37.007326007326007</c:v>
                </c:pt>
                <c:pt idx="59">
                  <c:v>138.35172413793103</c:v>
                </c:pt>
                <c:pt idx="60">
                  <c:v>226.96590909090909</c:v>
                </c:pt>
                <c:pt idx="61">
                  <c:v>94.109523809523807</c:v>
                </c:pt>
                <c:pt idx="62">
                  <c:v>7.5406222990492653</c:v>
                </c:pt>
                <c:pt idx="63">
                  <c:v>134.26356589147287</c:v>
                </c:pt>
                <c:pt idx="64">
                  <c:v>261.42424242424244</c:v>
                </c:pt>
                <c:pt idx="65">
                  <c:v>21.436931079323799</c:v>
                </c:pt>
                <c:pt idx="66">
                  <c:v>58.512635379061372</c:v>
                </c:pt>
                <c:pt idx="67">
                  <c:v>674.33333333333337</c:v>
                </c:pt>
                <c:pt idx="68">
                  <c:v>12.093851132686083</c:v>
                </c:pt>
                <c:pt idx="69">
                  <c:v>372.7</c:v>
                </c:pt>
                <c:pt idx="70">
                  <c:v>5.9663551401869155</c:v>
                </c:pt>
                <c:pt idx="71">
                  <c:v>33.230563002680967</c:v>
                </c:pt>
                <c:pt idx="72">
                  <c:v>30.221662468513856</c:v>
                </c:pt>
                <c:pt idx="73">
                  <c:v>23.535787321063395</c:v>
                </c:pt>
                <c:pt idx="74">
                  <c:v>8.2964458804523424</c:v>
                </c:pt>
                <c:pt idx="75">
                  <c:v>21.773835920177383</c:v>
                </c:pt>
                <c:pt idx="76">
                  <c:v>71.205882352941174</c:v>
                </c:pt>
                <c:pt idx="77">
                  <c:v>74.069767441860463</c:v>
                </c:pt>
                <c:pt idx="78">
                  <c:v>28.766355140186917</c:v>
                </c:pt>
                <c:pt idx="79">
                  <c:v>23.428571428571427</c:v>
                </c:pt>
                <c:pt idx="80">
                  <c:v>8.9954853273137694</c:v>
                </c:pt>
                <c:pt idx="81">
                  <c:v>2.255718954248366</c:v>
                </c:pt>
                <c:pt idx="82">
                  <c:v>33.68297101449275</c:v>
                </c:pt>
                <c:pt idx="83">
                  <c:v>23.304575163398692</c:v>
                </c:pt>
                <c:pt idx="84">
                  <c:v>3.233171079187938</c:v>
                </c:pt>
                <c:pt idx="85">
                  <c:v>367.01351351351349</c:v>
                </c:pt>
                <c:pt idx="86">
                  <c:v>132.78817733990147</c:v>
                </c:pt>
                <c:pt idx="87">
                  <c:v>141.62433862433863</c:v>
                </c:pt>
                <c:pt idx="88">
                  <c:v>151.08522727272728</c:v>
                </c:pt>
                <c:pt idx="89">
                  <c:v>49.553231939163496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F-4B03-9DE9-62B1572701B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INTERSPC!$R$2:$R$91</c:f>
              <c:numCache>
                <c:formatCode>yyyy\-mm\-dd;@</c:formatCode>
                <c:ptCount val="90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</c:numCache>
            </c:numRef>
          </c:cat>
          <c:val>
            <c:numRef>
              <c:f>INTERSPC!$AE$2:$AE$91</c:f>
              <c:numCache>
                <c:formatCode>0</c:formatCode>
                <c:ptCount val="90"/>
                <c:pt idx="0">
                  <c:v>999</c:v>
                </c:pt>
                <c:pt idx="1">
                  <c:v>16609</c:v>
                </c:pt>
                <c:pt idx="2">
                  <c:v>18.962740384615383</c:v>
                </c:pt>
                <c:pt idx="3">
                  <c:v>1971.125</c:v>
                </c:pt>
                <c:pt idx="4">
                  <c:v>241.6</c:v>
                </c:pt>
                <c:pt idx="5">
                  <c:v>15703</c:v>
                </c:pt>
                <c:pt idx="6">
                  <c:v>1961.875</c:v>
                </c:pt>
                <c:pt idx="7">
                  <c:v>244.234375</c:v>
                </c:pt>
                <c:pt idx="8">
                  <c:v>15630</c:v>
                </c:pt>
                <c:pt idx="9">
                  <c:v>1419.909090909091</c:v>
                </c:pt>
                <c:pt idx="10">
                  <c:v>239.2923076923077</c:v>
                </c:pt>
                <c:pt idx="11">
                  <c:v>238.2923076923077</c:v>
                </c:pt>
                <c:pt idx="12">
                  <c:v>15488</c:v>
                </c:pt>
                <c:pt idx="13">
                  <c:v>1935</c:v>
                </c:pt>
                <c:pt idx="14">
                  <c:v>240.875</c:v>
                </c:pt>
                <c:pt idx="15">
                  <c:v>15416</c:v>
                </c:pt>
                <c:pt idx="16">
                  <c:v>15416</c:v>
                </c:pt>
                <c:pt idx="17">
                  <c:v>7707</c:v>
                </c:pt>
                <c:pt idx="18">
                  <c:v>170.26666666666668</c:v>
                </c:pt>
                <c:pt idx="19">
                  <c:v>238.4375</c:v>
                </c:pt>
                <c:pt idx="20">
                  <c:v>15259</c:v>
                </c:pt>
                <c:pt idx="21">
                  <c:v>15258</c:v>
                </c:pt>
                <c:pt idx="22">
                  <c:v>210.91666666666666</c:v>
                </c:pt>
                <c:pt idx="23">
                  <c:v>1897.25</c:v>
                </c:pt>
                <c:pt idx="24">
                  <c:v>15177</c:v>
                </c:pt>
                <c:pt idx="25">
                  <c:v>15177</c:v>
                </c:pt>
                <c:pt idx="26">
                  <c:v>15177</c:v>
                </c:pt>
                <c:pt idx="27">
                  <c:v>15176</c:v>
                </c:pt>
                <c:pt idx="28">
                  <c:v>1685.2222222222222</c:v>
                </c:pt>
                <c:pt idx="29">
                  <c:v>209.65277777777777</c:v>
                </c:pt>
                <c:pt idx="30">
                  <c:v>15094</c:v>
                </c:pt>
                <c:pt idx="31">
                  <c:v>15094</c:v>
                </c:pt>
                <c:pt idx="32">
                  <c:v>202.97297297297297</c:v>
                </c:pt>
                <c:pt idx="33">
                  <c:v>1876.5</c:v>
                </c:pt>
                <c:pt idx="34">
                  <c:v>7505</c:v>
                </c:pt>
                <c:pt idx="35">
                  <c:v>229.92307692307693</c:v>
                </c:pt>
                <c:pt idx="36">
                  <c:v>14944</c:v>
                </c:pt>
                <c:pt idx="37">
                  <c:v>14944</c:v>
                </c:pt>
                <c:pt idx="38">
                  <c:v>7471</c:v>
                </c:pt>
                <c:pt idx="39">
                  <c:v>14941</c:v>
                </c:pt>
                <c:pt idx="40">
                  <c:v>14940</c:v>
                </c:pt>
                <c:pt idx="41">
                  <c:v>14940</c:v>
                </c:pt>
                <c:pt idx="42">
                  <c:v>198.2</c:v>
                </c:pt>
                <c:pt idx="43">
                  <c:v>1650.6666666666667</c:v>
                </c:pt>
                <c:pt idx="44">
                  <c:v>14856</c:v>
                </c:pt>
                <c:pt idx="45">
                  <c:v>1856</c:v>
                </c:pt>
                <c:pt idx="46">
                  <c:v>14847</c:v>
                </c:pt>
                <c:pt idx="47">
                  <c:v>227.41538461538462</c:v>
                </c:pt>
                <c:pt idx="48">
                  <c:v>14782</c:v>
                </c:pt>
                <c:pt idx="49">
                  <c:v>1846.75</c:v>
                </c:pt>
                <c:pt idx="50">
                  <c:v>18896</c:v>
                </c:pt>
                <c:pt idx="51">
                  <c:v>18896</c:v>
                </c:pt>
                <c:pt idx="52">
                  <c:v>18896</c:v>
                </c:pt>
                <c:pt idx="53">
                  <c:v>18896</c:v>
                </c:pt>
                <c:pt idx="54">
                  <c:v>261.44444444444446</c:v>
                </c:pt>
                <c:pt idx="55">
                  <c:v>18824</c:v>
                </c:pt>
                <c:pt idx="56">
                  <c:v>18823</c:v>
                </c:pt>
                <c:pt idx="57">
                  <c:v>18823</c:v>
                </c:pt>
                <c:pt idx="58">
                  <c:v>2090.4444444444443</c:v>
                </c:pt>
                <c:pt idx="59">
                  <c:v>292.96875</c:v>
                </c:pt>
                <c:pt idx="60">
                  <c:v>18749</c:v>
                </c:pt>
                <c:pt idx="61">
                  <c:v>18748</c:v>
                </c:pt>
                <c:pt idx="62">
                  <c:v>134.85507246376812</c:v>
                </c:pt>
                <c:pt idx="63">
                  <c:v>18610</c:v>
                </c:pt>
                <c:pt idx="64">
                  <c:v>18610</c:v>
                </c:pt>
                <c:pt idx="65">
                  <c:v>18610</c:v>
                </c:pt>
                <c:pt idx="66">
                  <c:v>247.13333333333333</c:v>
                </c:pt>
                <c:pt idx="67">
                  <c:v>638.13793103448279</c:v>
                </c:pt>
                <c:pt idx="68">
                  <c:v>1155.625</c:v>
                </c:pt>
                <c:pt idx="69">
                  <c:v>18520</c:v>
                </c:pt>
                <c:pt idx="70">
                  <c:v>45.416040100250626</c:v>
                </c:pt>
                <c:pt idx="71">
                  <c:v>74.504166666666663</c:v>
                </c:pt>
                <c:pt idx="72">
                  <c:v>148.00833333333333</c:v>
                </c:pt>
                <c:pt idx="73">
                  <c:v>90.551546391752581</c:v>
                </c:pt>
                <c:pt idx="74">
                  <c:v>249.95714285714286</c:v>
                </c:pt>
                <c:pt idx="75">
                  <c:v>17496</c:v>
                </c:pt>
                <c:pt idx="76">
                  <c:v>8747</c:v>
                </c:pt>
                <c:pt idx="77">
                  <c:v>17494</c:v>
                </c:pt>
                <c:pt idx="78">
                  <c:v>311.39285714285717</c:v>
                </c:pt>
                <c:pt idx="79">
                  <c:v>8718</c:v>
                </c:pt>
                <c:pt idx="80">
                  <c:v>111.49032258064516</c:v>
                </c:pt>
                <c:pt idx="81">
                  <c:v>114.20666666666666</c:v>
                </c:pt>
                <c:pt idx="82">
                  <c:v>183.20430107526883</c:v>
                </c:pt>
                <c:pt idx="83">
                  <c:v>32.671936758893281</c:v>
                </c:pt>
                <c:pt idx="84">
                  <c:v>146.60714285714286</c:v>
                </c:pt>
                <c:pt idx="85">
                  <c:v>420.02564102564105</c:v>
                </c:pt>
                <c:pt idx="86">
                  <c:v>167.8762886597938</c:v>
                </c:pt>
                <c:pt idx="87">
                  <c:v>427.5263157894737</c:v>
                </c:pt>
                <c:pt idx="88">
                  <c:v>491.30303030303031</c:v>
                </c:pt>
                <c:pt idx="89">
                  <c:v>599.48148148148152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8C-41DA-8A5C-0BACF10BE59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21</xdr:col>
      <xdr:colOff>509588</xdr:colOff>
      <xdr:row>15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8B0E76E8-B07A-4875-9B3B-1687EE36A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</xdr:row>
      <xdr:rowOff>9525</xdr:rowOff>
    </xdr:from>
    <xdr:to>
      <xdr:col>10</xdr:col>
      <xdr:colOff>576263</xdr:colOff>
      <xdr:row>15</xdr:row>
      <xdr:rowOff>66675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68D5C08F-01BC-4048-8C27-A50ADB0B7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16</xdr:row>
      <xdr:rowOff>66675</xdr:rowOff>
    </xdr:from>
    <xdr:to>
      <xdr:col>11</xdr:col>
      <xdr:colOff>19050</xdr:colOff>
      <xdr:row>33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ADB8E93E-1EF9-4C77-A155-FD3B608D2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133350</xdr:colOff>
      <xdr:row>16</xdr:row>
      <xdr:rowOff>47624</xdr:rowOff>
    </xdr:from>
    <xdr:to>
      <xdr:col>22</xdr:col>
      <xdr:colOff>38100</xdr:colOff>
      <xdr:row>32</xdr:row>
      <xdr:rowOff>190499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8D0A84E4-5F02-41CA-8038-91DAFD894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0</xdr:row>
      <xdr:rowOff>152400</xdr:rowOff>
    </xdr:from>
    <xdr:to>
      <xdr:col>19</xdr:col>
      <xdr:colOff>304800</xdr:colOff>
      <xdr:row>12</xdr:row>
      <xdr:rowOff>104775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AB91B31D-A280-41B1-BE74-52503056E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180974</xdr:colOff>
      <xdr:row>0</xdr:row>
      <xdr:rowOff>142875</xdr:rowOff>
    </xdr:from>
    <xdr:to>
      <xdr:col>10</xdr:col>
      <xdr:colOff>200025</xdr:colOff>
      <xdr:row>12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CCA8034D-99FB-41BF-8E29-C72931E82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12</xdr:row>
      <xdr:rowOff>171450</xdr:rowOff>
    </xdr:from>
    <xdr:to>
      <xdr:col>19</xdr:col>
      <xdr:colOff>257175</xdr:colOff>
      <xdr:row>27</xdr:row>
      <xdr:rowOff>114299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BD4B6503-B05D-43FD-860A-4D69AEF5F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171450</xdr:colOff>
      <xdr:row>13</xdr:row>
      <xdr:rowOff>28575</xdr:rowOff>
    </xdr:from>
    <xdr:to>
      <xdr:col>10</xdr:col>
      <xdr:colOff>152400</xdr:colOff>
      <xdr:row>27</xdr:row>
      <xdr:rowOff>104775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CA1E7CE9-EFDC-40CD-8518-CEE16F2F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7A692D-8007-487D-8651-875FC0FC5EBD}" name="UnilabUsage" displayName="UnilabUsage" ref="A1:N901" totalsRowShown="0" headerRowDxfId="34">
  <sortState xmlns:xlrd2="http://schemas.microsoft.com/office/spreadsheetml/2017/richdata2" ref="A2:N31">
    <sortCondition ref="A2:A31"/>
    <sortCondition ref="B2:B31"/>
  </sortState>
  <tableColumns count="14">
    <tableColumn id="1" xr3:uid="{D21FEEC5-73CF-47EB-BECD-53940302522A}" name="Datum" dataDxfId="33"/>
    <tableColumn id="2" xr3:uid="{AEE3732E-E54F-4F26-8C6C-53A425129126}" name="Tablespace"/>
    <tableColumn id="3" xr3:uid="{DD542413-1D8B-438E-AE8B-4D9268D62C77}" name="Usage"/>
    <tableColumn id="4" xr3:uid="{83C84609-6C7E-432C-B5EA-6A4145FFAB1E}" name="Size"/>
    <tableColumn id="5" xr3:uid="{760C3C57-8A1C-4010-964C-3D7919AF4B6A}" name="Free"/>
    <tableColumn id="6" xr3:uid="{94868CEE-0862-40FF-8658-EF0949D73AA2}" name="Used-MB"/>
    <tableColumn id="7" xr3:uid="{8A4D68DA-7D16-4C02-82C8-675AC30C70A0}" name="Free-PCT"/>
    <tableColumn id="8" xr3:uid="{142D7FF6-2969-4498-9F97-3B6941E5CBDB}" name="Max"/>
    <tableColumn id="9" xr3:uid="{F8D9DBF0-7961-4270-A071-5D85AB8AED72}" name="Used-pct-of-max"/>
    <tableColumn id="10" xr3:uid="{619B19B5-EEFD-4B40-AB31-79E71C38B901}" name="status"/>
    <tableColumn id="11" xr3:uid="{7E9DAB34-4271-413E-91EC-30DC46AE32B9}" name="contents"/>
    <tableColumn id="12" xr3:uid="{336695DC-C8FE-4C07-99C2-75F398B5400A}" name="Usage-Delta-MB" dataDxfId="32"/>
    <tableColumn id="13" xr3:uid="{0CEBD44F-FBF6-49E8-81ED-F5726985BED3}" name="Free-of-Max" dataDxfId="31">
      <calculatedColumnFormula>UnilabUsage[[#This Row],[Max]]-UnilabUsage[[#This Row],[Used-MB]]</calculatedColumnFormula>
    </tableColumn>
    <tableColumn id="14" xr3:uid="{AAC6B1F7-003C-4163-82B8-C42E8D73EB5C}" name="#wk-FULL" dataDxfId="30">
      <calculatedColumnFormula>IF($L2&gt;0,UnilabUsage[[#This Row],[Free-of-Max]]/UnilabUsage[[#This Row],[Usage-Delta-MB]],UnilabUsage[[#This Row],[Free-of-Max]])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DA629B-4DF7-4834-9BD8-ACB062086B6B}" name="Tabel3" displayName="Tabel3" ref="R1:AE91" totalsRowShown="0" headerRowDxfId="29">
  <autoFilter ref="R1:AE91" xr:uid="{BC712C72-1583-4FDC-8263-1703798DDFB5}"/>
  <tableColumns count="14">
    <tableColumn id="1" xr3:uid="{2D23C763-2312-4F0B-AB02-B90CB707B51F}" name="Datum" dataDxfId="28"/>
    <tableColumn id="2" xr3:uid="{65747191-9A65-4649-8052-19691E4F09E1}" name="Tablespace"/>
    <tableColumn id="3" xr3:uid="{54D18A6E-A13F-4277-9720-A411948DCDA4}" name="Usage"/>
    <tableColumn id="4" xr3:uid="{04B29D0C-476B-4DB1-98F4-D839336429F4}" name="Size"/>
    <tableColumn id="5" xr3:uid="{B69F01D8-27E5-46B5-9365-D0F09A89D9E9}" name="Free"/>
    <tableColumn id="6" xr3:uid="{A1F45D8C-0997-4A23-A7FF-786878A9B38C}" name="Used-MB"/>
    <tableColumn id="7" xr3:uid="{BD452587-5415-4BBC-8D18-600857CB85DE}" name="Free-PCT"/>
    <tableColumn id="8" xr3:uid="{D3E682C1-FCED-4497-A138-4193A24D7594}" name="Max"/>
    <tableColumn id="9" xr3:uid="{CA978903-EE52-4593-92E2-63F5C8596F75}" name="Used-pct-of-max"/>
    <tableColumn id="10" xr3:uid="{C099E81D-A4CC-406B-815F-A17BFFBAAA68}" name="status"/>
    <tableColumn id="11" xr3:uid="{7ED9A031-8F57-4293-AA59-FBC030B787AB}" name="contents"/>
    <tableColumn id="12" xr3:uid="{10268B19-15D8-402F-B470-B0B2633F14D7}" name="Usage-Delta-MB"/>
    <tableColumn id="13" xr3:uid="{845E2807-1F92-4438-88F6-B2C025F078C7}" name="Free-of-Max" dataDxfId="27"/>
    <tableColumn id="14" xr3:uid="{82E1EA8C-7445-4CF0-9134-D5D4C6F08706}" name="#wk-FULL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FCE4DD-C933-4A9A-B1B4-0BEE9C19987B}" name="Tabel4" displayName="Tabel4" ref="AI1:AV91" totalsRowShown="0" headerRowDxfId="25">
  <autoFilter ref="AI1:AV91" xr:uid="{C66531A2-B9AB-45BB-A6E7-D3F3AEBF7388}"/>
  <tableColumns count="14">
    <tableColumn id="1" xr3:uid="{F5336525-07D5-43DE-BB09-F0AA29E9FB08}" name="Datum" dataDxfId="24"/>
    <tableColumn id="2" xr3:uid="{EBE6C650-53D6-4A37-93C5-3F92FA3FEA1D}" name="Tablespace"/>
    <tableColumn id="3" xr3:uid="{9AD9C5B8-74BE-4604-A749-32512446DC44}" name="Usage"/>
    <tableColumn id="4" xr3:uid="{2B7941EE-4454-48FE-8FF8-4514946148F6}" name="Size"/>
    <tableColumn id="5" xr3:uid="{CB12D332-AC1A-4981-9A80-6BFEFC02E532}" name="Free"/>
    <tableColumn id="6" xr3:uid="{9B3D2673-A58F-4DD9-BDA5-856D088C8AFE}" name="Used-MB"/>
    <tableColumn id="7" xr3:uid="{9B627D75-338E-40FC-A072-F09BCB6B50D3}" name="Free-PCT"/>
    <tableColumn id="8" xr3:uid="{04F48857-AFFA-433E-90BB-C5532F1C968F}" name="Max"/>
    <tableColumn id="9" xr3:uid="{0742D88E-33F9-4181-A271-A0B20238A437}" name="Used-pct-of-max"/>
    <tableColumn id="10" xr3:uid="{6B4BBD5E-A238-4694-A891-E148B50F147E}" name="status"/>
    <tableColumn id="11" xr3:uid="{407F9C69-A3C0-4D0C-8E2A-0314C4B7CB50}" name="contents"/>
    <tableColumn id="12" xr3:uid="{9A701DCA-41D4-4559-8823-C46405EC74FC}" name="Usage-Delta-MB"/>
    <tableColumn id="13" xr3:uid="{63146DE6-E1A0-4868-A209-70F078AF4FB7}" name="Free-of-Max" dataDxfId="23"/>
    <tableColumn id="14" xr3:uid="{5DEDE6D8-9694-4017-AEDC-73B4CEA96E73}" name="#wk-FULL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17F9A0-D495-4874-ABFE-B038B51CAF25}" name="InterspecUsage" displayName="InterspecUsage" ref="A1:N901" totalsRowShown="0" headerRowDxfId="14">
  <sortState xmlns:xlrd2="http://schemas.microsoft.com/office/spreadsheetml/2017/richdata2" ref="A2:L31">
    <sortCondition ref="A2:A31"/>
    <sortCondition ref="B2:B31"/>
  </sortState>
  <tableColumns count="14">
    <tableColumn id="1" xr3:uid="{56BE89F4-6B91-4862-AE37-BE8107A83D0A}" name="Datum" dataDxfId="13"/>
    <tableColumn id="2" xr3:uid="{8415EA19-E6D5-43EB-BFEA-28D4B76A9286}" name="Tablespace"/>
    <tableColumn id="3" xr3:uid="{B947064E-C22F-4732-BB88-1C9D5D63B442}" name="Usage"/>
    <tableColumn id="4" xr3:uid="{6D4727C0-01B8-45E7-B6CD-D8352B42AA9D}" name="Size"/>
    <tableColumn id="5" xr3:uid="{F83B6C63-3FDA-4D86-851D-09F47EA6E035}" name="Free"/>
    <tableColumn id="6" xr3:uid="{CF3C4F45-3FA0-4F6C-8737-EDAE06BF3AF6}" name="Used-MB"/>
    <tableColumn id="7" xr3:uid="{21722ADE-9A47-4A49-9C13-88043A655671}" name="Free-PCT"/>
    <tableColumn id="8" xr3:uid="{FBD82B9C-F48A-404C-AA1A-FD28BBCBB117}" name="Max"/>
    <tableColumn id="9" xr3:uid="{541CC226-8474-45A7-A0E6-951E0C140541}" name="Used-pct-of-max"/>
    <tableColumn id="10" xr3:uid="{66ADBBDA-B995-41D9-878F-F745CDBB6F32}" name="status"/>
    <tableColumn id="11" xr3:uid="{E685B6E0-6594-4AF0-A9EC-B465F85DF4FA}" name="contents"/>
    <tableColumn id="12" xr3:uid="{7FBA76E9-774C-4DE4-A396-858760334886}" name="Usage-Delta-MB" dataDxfId="12"/>
    <tableColumn id="13" xr3:uid="{6A56EEF8-3010-44B4-AB78-B7ED01CA70E8}" name="Free-of-Max" dataDxfId="11">
      <calculatedColumnFormula>InterspecUsage[[#This Row],[Max]]-InterspecUsage[[#This Row],[Used-MB]]</calculatedColumnFormula>
    </tableColumn>
    <tableColumn id="14" xr3:uid="{FE54647E-0C29-488E-866F-92D20951A0DE}" name="#wk-FULL" dataDxfId="10">
      <calculatedColumnFormula>IF($L2&gt;0,InterspecUsage[[#This Row],[Free-of-Max]]/InterspecUsage[[#This Row],[Usage-Delta-MB]],InterspecUsage[[#This Row],[Free-of-Max]])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33D392-7D3F-4593-A415-3563978298C0}" name="Tabel5" displayName="Tabel5" ref="R1:AE91" totalsRowShown="0" headerRowDxfId="9">
  <autoFilter ref="R1:AE91" xr:uid="{2793290B-50BA-4D77-81FE-EE4A66BEE83F}"/>
  <tableColumns count="14">
    <tableColumn id="1" xr3:uid="{A98A44E9-79AF-4FA0-ABF6-EAAFD0FC5FA8}" name="Datum" dataDxfId="8"/>
    <tableColumn id="2" xr3:uid="{05BCA53C-279C-445C-81B4-9349E6ED5C43}" name="Tablespace"/>
    <tableColumn id="3" xr3:uid="{05C3A0B7-E4D3-4059-B808-1E4ADF4A607D}" name="Usage"/>
    <tableColumn id="4" xr3:uid="{FC67B6EB-FBDF-4E8B-A8A1-7EB5455776E4}" name="Size"/>
    <tableColumn id="5" xr3:uid="{85DB7915-FA33-49E0-A115-A1DAF7F6F11D}" name="Free"/>
    <tableColumn id="6" xr3:uid="{83EF6D57-F4CD-4C49-B123-69E8CD5EA52D}" name="Used-MB"/>
    <tableColumn id="7" xr3:uid="{1C6A6651-8B00-4024-9EC4-F1A9141AE3EB}" name="Free-PCT"/>
    <tableColumn id="8" xr3:uid="{1636C2D1-32D3-48EF-9C06-2946DA5207E4}" name="Max"/>
    <tableColumn id="9" xr3:uid="{56244D8F-5D3F-48A3-B5E6-352B6DC36915}" name="Used-pct-of-max"/>
    <tableColumn id="10" xr3:uid="{40DCCF56-8872-43EF-ADA1-9827CD668FE2}" name="status"/>
    <tableColumn id="11" xr3:uid="{38E91BF0-F606-403A-8296-E4529D0F2C43}" name="contents"/>
    <tableColumn id="12" xr3:uid="{CED9A997-0D14-49FA-B00A-D5A5E378CF22}" name="Usage-Delta-MB" dataDxfId="7"/>
    <tableColumn id="13" xr3:uid="{4CC440D0-ED92-4A2D-92B1-8657A8DFBF51}" name="Free-of-Max" dataDxfId="6"/>
    <tableColumn id="14" xr3:uid="{F9B1EB25-C25B-4652-847C-CB03336CA28E}" name="#wk-FULL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42767E-23DC-4512-A6BA-3994613E32E9}" name="Tabel6" displayName="Tabel6" ref="AI1:AV91" totalsRowShown="0" headerRowDxfId="4">
  <autoFilter ref="AI1:AV91" xr:uid="{F1328298-E51B-4DC4-A21F-E68D89F0CD7E}"/>
  <tableColumns count="14">
    <tableColumn id="1" xr3:uid="{783AAE0D-603F-49E6-8D16-72D404962E4F}" name="Datum" dataDxfId="3"/>
    <tableColumn id="2" xr3:uid="{A5186DED-4CB0-4F90-A8AF-C165A4D59741}" name="Tablespace"/>
    <tableColumn id="3" xr3:uid="{6E2CF597-D1DB-413F-BFC8-38DC7608BE13}" name="Usage"/>
    <tableColumn id="4" xr3:uid="{12991B1E-6C50-492A-9C22-24551108F12F}" name="Size"/>
    <tableColumn id="5" xr3:uid="{6F279C39-AC0C-4434-827D-1AB962F14163}" name="Free"/>
    <tableColumn id="6" xr3:uid="{55CBE771-126F-4FA4-88B5-2383DCD5E9C0}" name="Used-MB"/>
    <tableColumn id="7" xr3:uid="{3A144E51-BB5B-4BDA-999B-307F1DFDA864}" name="Free-PCT"/>
    <tableColumn id="8" xr3:uid="{06AE7307-E76C-40B2-9F8E-CF1137E4B4F2}" name="Max"/>
    <tableColumn id="9" xr3:uid="{D26EF86D-D001-4F31-86DF-62A8A815028F}" name="Used-pct-of-max"/>
    <tableColumn id="10" xr3:uid="{F916B7D8-EF6F-4FBC-9F60-D9468EF3C924}" name="status"/>
    <tableColumn id="11" xr3:uid="{EAB0A297-A7E5-4565-ADC1-36ACBA8C6ABC}" name="contents"/>
    <tableColumn id="12" xr3:uid="{01E7C631-95A4-4205-BA3F-755B9CF0CE14}" name="Usage-Delta-MB" dataDxfId="2"/>
    <tableColumn id="13" xr3:uid="{E3445D2C-C26B-4C93-BEDE-155C641121F5}" name="Free-of-Max" dataDxfId="1"/>
    <tableColumn id="14" xr3:uid="{18FBE98E-29AB-433E-BFDA-E0C6351CEA9C}" name="#wk-FUL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7A52-5139-4BC7-89E5-370A19B31ACD}">
  <sheetPr codeName="Blad1"/>
  <dimension ref="A1:AV901"/>
  <sheetViews>
    <sheetView topLeftCell="V1" workbookViewId="0">
      <pane ySplit="1" topLeftCell="A59" activePane="bottomLeft" state="frozen"/>
      <selection pane="bottomLeft" activeCell="AJ95" sqref="AJ95"/>
    </sheetView>
  </sheetViews>
  <sheetFormatPr defaultRowHeight="15" x14ac:dyDescent="0.25"/>
  <cols>
    <col min="1" max="1" width="11.5703125" style="3" customWidth="1"/>
    <col min="2" max="2" width="13.140625" bestFit="1" customWidth="1"/>
    <col min="3" max="3" width="9" bestFit="1" customWidth="1"/>
    <col min="4" max="4" width="7" bestFit="1" customWidth="1"/>
    <col min="5" max="5" width="7.28515625" bestFit="1" customWidth="1"/>
    <col min="6" max="6" width="11.5703125" bestFit="1" customWidth="1"/>
    <col min="7" max="7" width="11.28515625" bestFit="1" customWidth="1"/>
    <col min="8" max="8" width="7.140625" bestFit="1" customWidth="1"/>
    <col min="9" max="9" width="18.42578125" bestFit="1" customWidth="1"/>
    <col min="10" max="10" width="8.5703125" bestFit="1" customWidth="1"/>
    <col min="11" max="11" width="12.140625" bestFit="1" customWidth="1"/>
    <col min="12" max="12" width="10.7109375" style="8" customWidth="1"/>
    <col min="13" max="13" width="12.42578125" customWidth="1"/>
    <col min="14" max="14" width="9.42578125" style="5" bestFit="1" customWidth="1"/>
    <col min="16" max="16" width="11.5703125" bestFit="1" customWidth="1"/>
    <col min="17" max="17" width="2.85546875" customWidth="1"/>
    <col min="18" max="18" width="10.42578125" style="3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2.140625" bestFit="1" customWidth="1"/>
    <col min="34" max="34" width="3.42578125" customWidth="1"/>
    <col min="35" max="35" width="10.42578125" bestFit="1" customWidth="1"/>
    <col min="36" max="36" width="17.7109375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8" s="7" customFormat="1" x14ac:dyDescent="0.25">
      <c r="A1" s="11" t="s">
        <v>23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32</v>
      </c>
      <c r="G1" s="12" t="s">
        <v>18</v>
      </c>
      <c r="H1" s="12" t="s">
        <v>19</v>
      </c>
      <c r="I1" s="12" t="s">
        <v>20</v>
      </c>
      <c r="J1" s="12" t="s">
        <v>21</v>
      </c>
      <c r="K1" s="12" t="s">
        <v>22</v>
      </c>
      <c r="L1" s="13" t="s">
        <v>31</v>
      </c>
      <c r="M1" s="12" t="s">
        <v>33</v>
      </c>
      <c r="N1" s="14" t="s">
        <v>34</v>
      </c>
      <c r="P1" s="12" t="s">
        <v>14</v>
      </c>
      <c r="R1" s="11" t="s">
        <v>23</v>
      </c>
      <c r="S1" s="12" t="s">
        <v>14</v>
      </c>
      <c r="T1" s="12" t="s">
        <v>15</v>
      </c>
      <c r="U1" s="12" t="s">
        <v>16</v>
      </c>
      <c r="V1" s="12" t="s">
        <v>17</v>
      </c>
      <c r="W1" s="12" t="s">
        <v>32</v>
      </c>
      <c r="X1" s="12" t="s">
        <v>18</v>
      </c>
      <c r="Y1" s="12" t="s">
        <v>19</v>
      </c>
      <c r="Z1" s="12" t="s">
        <v>20</v>
      </c>
      <c r="AA1" s="12" t="s">
        <v>21</v>
      </c>
      <c r="AB1" s="12" t="s">
        <v>22</v>
      </c>
      <c r="AC1" s="12" t="s">
        <v>31</v>
      </c>
      <c r="AD1" s="12" t="s">
        <v>33</v>
      </c>
      <c r="AE1" s="14" t="s">
        <v>34</v>
      </c>
      <c r="AG1" s="12" t="s">
        <v>14</v>
      </c>
      <c r="AI1" s="11" t="s">
        <v>23</v>
      </c>
      <c r="AJ1" s="12" t="s">
        <v>14</v>
      </c>
      <c r="AK1" s="12" t="s">
        <v>15</v>
      </c>
      <c r="AL1" s="12" t="s">
        <v>16</v>
      </c>
      <c r="AM1" s="12" t="s">
        <v>17</v>
      </c>
      <c r="AN1" s="12" t="s">
        <v>32</v>
      </c>
      <c r="AO1" s="12" t="s">
        <v>18</v>
      </c>
      <c r="AP1" s="12" t="s">
        <v>19</v>
      </c>
      <c r="AQ1" s="12" t="s">
        <v>20</v>
      </c>
      <c r="AR1" s="12" t="s">
        <v>21</v>
      </c>
      <c r="AS1" s="12" t="s">
        <v>22</v>
      </c>
      <c r="AT1" s="12" t="s">
        <v>31</v>
      </c>
      <c r="AU1" s="12" t="s">
        <v>33</v>
      </c>
      <c r="AV1" s="14" t="s">
        <v>34</v>
      </c>
    </row>
    <row r="2" spans="1:48" x14ac:dyDescent="0.25">
      <c r="A2" s="3">
        <v>44243</v>
      </c>
      <c r="B2" t="s">
        <v>7</v>
      </c>
      <c r="C2">
        <v>94</v>
      </c>
      <c r="D2">
        <v>1070</v>
      </c>
      <c r="E2">
        <v>60</v>
      </c>
      <c r="F2">
        <v>1010</v>
      </c>
      <c r="G2">
        <v>6</v>
      </c>
      <c r="H2">
        <v>32768</v>
      </c>
      <c r="I2">
        <v>3</v>
      </c>
      <c r="J2" t="s">
        <v>1</v>
      </c>
      <c r="K2" t="s">
        <v>2</v>
      </c>
      <c r="M2">
        <f>UnilabUsage[[#This Row],[Max]]-UnilabUsage[[#This Row],[Used-MB]]</f>
        <v>31758</v>
      </c>
      <c r="N2" s="5">
        <f>IF($L2&gt;0,UnilabUsage[[#This Row],[Free-of-Max]]/UnilabUsage[[#This Row],[Usage-Delta-MB]],UnilabUsage[[#This Row],[Free-of-Max]])</f>
        <v>31758</v>
      </c>
      <c r="P2" s="6" t="s">
        <v>3</v>
      </c>
      <c r="R2" s="3">
        <v>44243</v>
      </c>
      <c r="S2" t="s">
        <v>3</v>
      </c>
      <c r="T2">
        <v>99</v>
      </c>
      <c r="U2">
        <v>360184</v>
      </c>
      <c r="V2">
        <v>4779</v>
      </c>
      <c r="W2">
        <v>355405</v>
      </c>
      <c r="X2">
        <v>1</v>
      </c>
      <c r="Y2">
        <v>393216</v>
      </c>
      <c r="Z2">
        <v>90</v>
      </c>
      <c r="AA2" t="s">
        <v>1</v>
      </c>
      <c r="AB2" t="s">
        <v>2</v>
      </c>
      <c r="AC2" s="8"/>
      <c r="AD2">
        <v>37811</v>
      </c>
      <c r="AE2" s="10">
        <v>99</v>
      </c>
      <c r="AG2" s="6" t="s">
        <v>8</v>
      </c>
      <c r="AI2" s="3">
        <v>44243</v>
      </c>
      <c r="AJ2" t="s">
        <v>8</v>
      </c>
      <c r="AK2">
        <v>88</v>
      </c>
      <c r="AL2">
        <v>262144</v>
      </c>
      <c r="AM2">
        <v>32233</v>
      </c>
      <c r="AN2">
        <v>229911</v>
      </c>
      <c r="AO2">
        <v>12</v>
      </c>
      <c r="AP2">
        <v>262144</v>
      </c>
      <c r="AQ2">
        <v>88</v>
      </c>
      <c r="AR2" t="s">
        <v>1</v>
      </c>
      <c r="AS2" t="s">
        <v>2</v>
      </c>
      <c r="AT2" s="8"/>
      <c r="AU2">
        <v>32233</v>
      </c>
      <c r="AV2" s="10">
        <v>99</v>
      </c>
    </row>
    <row r="3" spans="1:48" x14ac:dyDescent="0.25">
      <c r="A3" s="3">
        <v>44243</v>
      </c>
      <c r="B3" t="s">
        <v>0</v>
      </c>
      <c r="C3">
        <v>100</v>
      </c>
      <c r="D3">
        <v>14800</v>
      </c>
      <c r="E3">
        <v>8</v>
      </c>
      <c r="F3">
        <v>14792</v>
      </c>
      <c r="G3">
        <v>0</v>
      </c>
      <c r="H3">
        <v>32768</v>
      </c>
      <c r="I3">
        <v>45</v>
      </c>
      <c r="J3" t="s">
        <v>1</v>
      </c>
      <c r="K3" t="s">
        <v>2</v>
      </c>
      <c r="M3">
        <f>UnilabUsage[[#This Row],[Max]]-UnilabUsage[[#This Row],[Used-MB]]</f>
        <v>17976</v>
      </c>
      <c r="N3" s="5">
        <f>IF($L3&gt;0,UnilabUsage[[#This Row],[Free-of-Max]]/UnilabUsage[[#This Row],[Usage-Delta-MB]],UnilabUsage[[#This Row],[Free-of-Max]])</f>
        <v>17976</v>
      </c>
      <c r="R3" s="3">
        <v>44249</v>
      </c>
      <c r="S3" t="s">
        <v>3</v>
      </c>
      <c r="T3">
        <v>99</v>
      </c>
      <c r="U3">
        <v>360184</v>
      </c>
      <c r="V3">
        <v>4170</v>
      </c>
      <c r="W3">
        <v>356014</v>
      </c>
      <c r="X3">
        <v>1</v>
      </c>
      <c r="Y3">
        <v>393216</v>
      </c>
      <c r="Z3">
        <v>91</v>
      </c>
      <c r="AA3" t="s">
        <v>1</v>
      </c>
      <c r="AB3" t="s">
        <v>2</v>
      </c>
      <c r="AC3" s="8">
        <v>609</v>
      </c>
      <c r="AD3">
        <v>37202</v>
      </c>
      <c r="AE3" s="5">
        <v>61.087027914614119</v>
      </c>
      <c r="AI3" s="3">
        <v>44249</v>
      </c>
      <c r="AJ3" t="s">
        <v>8</v>
      </c>
      <c r="AK3">
        <v>88</v>
      </c>
      <c r="AL3">
        <v>262144</v>
      </c>
      <c r="AM3">
        <v>31795</v>
      </c>
      <c r="AN3">
        <v>230349</v>
      </c>
      <c r="AO3">
        <v>12</v>
      </c>
      <c r="AP3">
        <v>262144</v>
      </c>
      <c r="AQ3">
        <v>88</v>
      </c>
      <c r="AR3" t="s">
        <v>1</v>
      </c>
      <c r="AS3" t="s">
        <v>2</v>
      </c>
      <c r="AT3" s="8">
        <v>438</v>
      </c>
      <c r="AU3">
        <v>31795</v>
      </c>
      <c r="AV3" s="5">
        <v>72.591324200913249</v>
      </c>
    </row>
    <row r="4" spans="1:48" x14ac:dyDescent="0.25">
      <c r="A4" s="3">
        <v>44243</v>
      </c>
      <c r="B4" t="s">
        <v>11</v>
      </c>
      <c r="C4">
        <v>1</v>
      </c>
      <c r="D4">
        <v>100</v>
      </c>
      <c r="E4">
        <v>99</v>
      </c>
      <c r="F4">
        <v>1</v>
      </c>
      <c r="G4">
        <v>99</v>
      </c>
      <c r="H4">
        <v>32768</v>
      </c>
      <c r="I4">
        <v>0</v>
      </c>
      <c r="J4" t="s">
        <v>1</v>
      </c>
      <c r="K4" t="s">
        <v>2</v>
      </c>
      <c r="M4">
        <f>UnilabUsage[[#This Row],[Max]]-UnilabUsage[[#This Row],[Used-MB]]</f>
        <v>32767</v>
      </c>
      <c r="N4" s="5">
        <f>IF($L4&gt;0,UnilabUsage[[#This Row],[Free-of-Max]]/UnilabUsage[[#This Row],[Usage-Delta-MB]],UnilabUsage[[#This Row],[Free-of-Max]])</f>
        <v>32767</v>
      </c>
      <c r="R4" s="3">
        <v>44256</v>
      </c>
      <c r="S4" t="s">
        <v>3</v>
      </c>
      <c r="T4">
        <v>99</v>
      </c>
      <c r="U4">
        <v>360184</v>
      </c>
      <c r="V4">
        <v>3775</v>
      </c>
      <c r="W4">
        <v>356409</v>
      </c>
      <c r="X4">
        <v>1</v>
      </c>
      <c r="Y4">
        <v>393216</v>
      </c>
      <c r="Z4">
        <v>91</v>
      </c>
      <c r="AA4" t="s">
        <v>1</v>
      </c>
      <c r="AB4" t="s">
        <v>2</v>
      </c>
      <c r="AC4" s="8">
        <v>395</v>
      </c>
      <c r="AD4">
        <v>36807</v>
      </c>
      <c r="AE4" s="5">
        <v>93.182278481012659</v>
      </c>
      <c r="AI4" s="3">
        <v>44256</v>
      </c>
      <c r="AJ4" t="s">
        <v>8</v>
      </c>
      <c r="AK4">
        <v>88</v>
      </c>
      <c r="AL4">
        <v>262144</v>
      </c>
      <c r="AM4">
        <v>31390</v>
      </c>
      <c r="AN4">
        <v>230754</v>
      </c>
      <c r="AO4">
        <v>12</v>
      </c>
      <c r="AP4">
        <v>262144</v>
      </c>
      <c r="AQ4">
        <v>88</v>
      </c>
      <c r="AR4" t="s">
        <v>1</v>
      </c>
      <c r="AS4" t="s">
        <v>2</v>
      </c>
      <c r="AT4" s="8">
        <v>405</v>
      </c>
      <c r="AU4">
        <v>31390</v>
      </c>
      <c r="AV4" s="5">
        <v>77.506172839506178</v>
      </c>
    </row>
    <row r="5" spans="1:48" x14ac:dyDescent="0.25">
      <c r="A5" s="3">
        <v>44243</v>
      </c>
      <c r="B5" t="s">
        <v>6</v>
      </c>
      <c r="C5">
        <v>94</v>
      </c>
      <c r="D5">
        <v>6375</v>
      </c>
      <c r="E5">
        <v>362</v>
      </c>
      <c r="F5">
        <v>6013</v>
      </c>
      <c r="G5">
        <v>6</v>
      </c>
      <c r="H5">
        <v>32768</v>
      </c>
      <c r="I5">
        <v>18</v>
      </c>
      <c r="J5" t="s">
        <v>1</v>
      </c>
      <c r="K5" t="s">
        <v>2</v>
      </c>
      <c r="M5">
        <f>UnilabUsage[[#This Row],[Max]]-UnilabUsage[[#This Row],[Used-MB]]</f>
        <v>26755</v>
      </c>
      <c r="N5" s="5">
        <f>IF($L5&gt;0,UnilabUsage[[#This Row],[Free-of-Max]]/UnilabUsage[[#This Row],[Usage-Delta-MB]],UnilabUsage[[#This Row],[Free-of-Max]])</f>
        <v>26755</v>
      </c>
      <c r="R5" s="3">
        <v>44263</v>
      </c>
      <c r="S5" t="s">
        <v>3</v>
      </c>
      <c r="T5">
        <v>99</v>
      </c>
      <c r="U5">
        <v>360184</v>
      </c>
      <c r="V5">
        <v>3012</v>
      </c>
      <c r="W5">
        <v>357172</v>
      </c>
      <c r="X5">
        <v>1</v>
      </c>
      <c r="Y5">
        <v>393216</v>
      </c>
      <c r="Z5">
        <v>91</v>
      </c>
      <c r="AA5" t="s">
        <v>1</v>
      </c>
      <c r="AB5" t="s">
        <v>2</v>
      </c>
      <c r="AC5" s="8">
        <v>763</v>
      </c>
      <c r="AD5">
        <v>36044</v>
      </c>
      <c r="AE5" s="5">
        <v>47.239842726081257</v>
      </c>
      <c r="AI5" s="3">
        <v>44263</v>
      </c>
      <c r="AJ5" t="s">
        <v>8</v>
      </c>
      <c r="AK5">
        <v>88</v>
      </c>
      <c r="AL5">
        <v>262144</v>
      </c>
      <c r="AM5">
        <v>30928</v>
      </c>
      <c r="AN5">
        <v>231216</v>
      </c>
      <c r="AO5">
        <v>12</v>
      </c>
      <c r="AP5">
        <v>262144</v>
      </c>
      <c r="AQ5">
        <v>88</v>
      </c>
      <c r="AR5" t="s">
        <v>1</v>
      </c>
      <c r="AS5" t="s">
        <v>2</v>
      </c>
      <c r="AT5" s="8">
        <v>462</v>
      </c>
      <c r="AU5">
        <v>30928</v>
      </c>
      <c r="AV5" s="5">
        <v>66.943722943722946</v>
      </c>
    </row>
    <row r="6" spans="1:48" x14ac:dyDescent="0.25">
      <c r="A6" s="3">
        <v>44243</v>
      </c>
      <c r="B6" t="s">
        <v>3</v>
      </c>
      <c r="C6">
        <v>99</v>
      </c>
      <c r="D6">
        <v>360184</v>
      </c>
      <c r="E6">
        <v>4779</v>
      </c>
      <c r="F6">
        <v>355405</v>
      </c>
      <c r="G6">
        <v>1</v>
      </c>
      <c r="H6">
        <v>393216</v>
      </c>
      <c r="I6">
        <v>90</v>
      </c>
      <c r="J6" t="s">
        <v>1</v>
      </c>
      <c r="K6" t="s">
        <v>2</v>
      </c>
      <c r="M6">
        <f>UnilabUsage[[#This Row],[Max]]-UnilabUsage[[#This Row],[Used-MB]]</f>
        <v>37811</v>
      </c>
      <c r="N6" s="10">
        <v>99</v>
      </c>
      <c r="R6" s="3">
        <v>44270</v>
      </c>
      <c r="S6" t="s">
        <v>3</v>
      </c>
      <c r="T6">
        <v>99</v>
      </c>
      <c r="U6">
        <v>360184</v>
      </c>
      <c r="V6">
        <v>2523</v>
      </c>
      <c r="W6">
        <v>357661</v>
      </c>
      <c r="X6">
        <v>1</v>
      </c>
      <c r="Y6">
        <v>393216</v>
      </c>
      <c r="Z6">
        <v>91</v>
      </c>
      <c r="AA6" t="s">
        <v>1</v>
      </c>
      <c r="AB6" t="s">
        <v>2</v>
      </c>
      <c r="AC6" s="8">
        <v>489</v>
      </c>
      <c r="AD6">
        <v>35555</v>
      </c>
      <c r="AE6" s="5">
        <v>72.709611451942735</v>
      </c>
      <c r="AI6" s="3">
        <v>44270</v>
      </c>
      <c r="AJ6" t="s">
        <v>8</v>
      </c>
      <c r="AK6">
        <v>88</v>
      </c>
      <c r="AL6">
        <v>262144</v>
      </c>
      <c r="AM6">
        <v>30604</v>
      </c>
      <c r="AN6">
        <v>231540</v>
      </c>
      <c r="AO6">
        <v>12</v>
      </c>
      <c r="AP6">
        <v>262144</v>
      </c>
      <c r="AQ6">
        <v>88</v>
      </c>
      <c r="AR6" t="s">
        <v>1</v>
      </c>
      <c r="AS6" t="s">
        <v>2</v>
      </c>
      <c r="AT6" s="8">
        <v>324</v>
      </c>
      <c r="AU6">
        <v>30604</v>
      </c>
      <c r="AV6" s="5">
        <v>94.456790123456784</v>
      </c>
    </row>
    <row r="7" spans="1:48" x14ac:dyDescent="0.25">
      <c r="A7" s="3">
        <v>44243</v>
      </c>
      <c r="B7" t="s">
        <v>5</v>
      </c>
      <c r="C7">
        <v>95</v>
      </c>
      <c r="D7">
        <v>15900</v>
      </c>
      <c r="E7">
        <v>784</v>
      </c>
      <c r="F7">
        <v>15116</v>
      </c>
      <c r="G7">
        <v>5</v>
      </c>
      <c r="H7">
        <v>32768</v>
      </c>
      <c r="I7">
        <v>46</v>
      </c>
      <c r="J7" t="s">
        <v>1</v>
      </c>
      <c r="K7" t="s">
        <v>2</v>
      </c>
      <c r="M7">
        <f>UnilabUsage[[#This Row],[Max]]-UnilabUsage[[#This Row],[Used-MB]]</f>
        <v>17652</v>
      </c>
      <c r="N7" s="5">
        <f>IF($L7&gt;0,UnilabUsage[[#This Row],[Free-of-Max]]/UnilabUsage[[#This Row],[Usage-Delta-MB]],UnilabUsage[[#This Row],[Free-of-Max]])</f>
        <v>17652</v>
      </c>
      <c r="R7" s="3">
        <v>44277</v>
      </c>
      <c r="S7" t="s">
        <v>3</v>
      </c>
      <c r="T7">
        <v>99</v>
      </c>
      <c r="U7">
        <v>360184</v>
      </c>
      <c r="V7">
        <v>1874</v>
      </c>
      <c r="W7">
        <v>358310</v>
      </c>
      <c r="X7">
        <v>1</v>
      </c>
      <c r="Y7">
        <v>393216</v>
      </c>
      <c r="Z7">
        <v>91</v>
      </c>
      <c r="AA7" t="s">
        <v>1</v>
      </c>
      <c r="AB7" t="s">
        <v>2</v>
      </c>
      <c r="AC7" s="8">
        <v>649</v>
      </c>
      <c r="AD7">
        <v>34906</v>
      </c>
      <c r="AE7" s="5">
        <v>53.784283513097073</v>
      </c>
      <c r="AI7" s="3">
        <v>44277</v>
      </c>
      <c r="AJ7" t="s">
        <v>8</v>
      </c>
      <c r="AK7">
        <v>89</v>
      </c>
      <c r="AL7">
        <v>262144</v>
      </c>
      <c r="AM7">
        <v>30098</v>
      </c>
      <c r="AN7">
        <v>232046</v>
      </c>
      <c r="AO7">
        <v>11</v>
      </c>
      <c r="AP7">
        <v>262144</v>
      </c>
      <c r="AQ7">
        <v>89</v>
      </c>
      <c r="AR7" t="s">
        <v>1</v>
      </c>
      <c r="AS7" t="s">
        <v>2</v>
      </c>
      <c r="AT7" s="8">
        <v>506</v>
      </c>
      <c r="AU7">
        <v>30098</v>
      </c>
      <c r="AV7" s="5">
        <v>59.48221343873518</v>
      </c>
    </row>
    <row r="8" spans="1:48" x14ac:dyDescent="0.25">
      <c r="A8" s="3">
        <v>44243</v>
      </c>
      <c r="B8" t="s">
        <v>8</v>
      </c>
      <c r="C8">
        <v>88</v>
      </c>
      <c r="D8">
        <v>262144</v>
      </c>
      <c r="E8">
        <v>32233</v>
      </c>
      <c r="F8">
        <v>229911</v>
      </c>
      <c r="G8">
        <v>12</v>
      </c>
      <c r="H8">
        <v>262144</v>
      </c>
      <c r="I8">
        <v>88</v>
      </c>
      <c r="J8" t="s">
        <v>1</v>
      </c>
      <c r="K8" t="s">
        <v>2</v>
      </c>
      <c r="M8">
        <f>UnilabUsage[[#This Row],[Max]]-UnilabUsage[[#This Row],[Used-MB]]</f>
        <v>32233</v>
      </c>
      <c r="N8" s="10">
        <v>99</v>
      </c>
      <c r="R8" s="3">
        <v>44284</v>
      </c>
      <c r="S8" t="s">
        <v>3</v>
      </c>
      <c r="T8">
        <v>100</v>
      </c>
      <c r="U8">
        <v>360184</v>
      </c>
      <c r="V8">
        <v>1224</v>
      </c>
      <c r="W8">
        <v>358960</v>
      </c>
      <c r="X8">
        <v>0</v>
      </c>
      <c r="Y8">
        <v>393216</v>
      </c>
      <c r="Z8">
        <v>91</v>
      </c>
      <c r="AA8" t="s">
        <v>1</v>
      </c>
      <c r="AB8" t="s">
        <v>2</v>
      </c>
      <c r="AC8" s="8">
        <v>650</v>
      </c>
      <c r="AD8">
        <v>34256</v>
      </c>
      <c r="AE8" s="5">
        <v>52.701538461538462</v>
      </c>
      <c r="AI8" s="3">
        <v>44284</v>
      </c>
      <c r="AJ8" t="s">
        <v>8</v>
      </c>
      <c r="AK8">
        <v>89</v>
      </c>
      <c r="AL8">
        <v>262144</v>
      </c>
      <c r="AM8">
        <v>29751</v>
      </c>
      <c r="AN8">
        <v>232393</v>
      </c>
      <c r="AO8">
        <v>11</v>
      </c>
      <c r="AP8">
        <v>262144</v>
      </c>
      <c r="AQ8">
        <v>89</v>
      </c>
      <c r="AR8" t="s">
        <v>1</v>
      </c>
      <c r="AS8" t="s">
        <v>2</v>
      </c>
      <c r="AT8" s="8">
        <v>347</v>
      </c>
      <c r="AU8">
        <v>29751</v>
      </c>
      <c r="AV8" s="5">
        <v>85.737752161383284</v>
      </c>
    </row>
    <row r="9" spans="1:48" x14ac:dyDescent="0.25">
      <c r="A9" s="3">
        <v>44243</v>
      </c>
      <c r="B9" t="s">
        <v>4</v>
      </c>
      <c r="C9">
        <v>96</v>
      </c>
      <c r="D9">
        <v>74709</v>
      </c>
      <c r="E9">
        <v>3324</v>
      </c>
      <c r="F9">
        <v>71385</v>
      </c>
      <c r="G9">
        <v>4</v>
      </c>
      <c r="H9">
        <v>98304</v>
      </c>
      <c r="I9">
        <v>73</v>
      </c>
      <c r="J9" t="s">
        <v>1</v>
      </c>
      <c r="K9" t="s">
        <v>2</v>
      </c>
      <c r="M9">
        <f>UnilabUsage[[#This Row],[Max]]-UnilabUsage[[#This Row],[Used-MB]]</f>
        <v>26919</v>
      </c>
      <c r="N9" s="5">
        <f>IF($L9&gt;0,UnilabUsage[[#This Row],[Free-of-Max]]/UnilabUsage[[#This Row],[Usage-Delta-MB]],UnilabUsage[[#This Row],[Free-of-Max]])</f>
        <v>26919</v>
      </c>
      <c r="R9" s="3">
        <v>44292</v>
      </c>
      <c r="S9" t="s">
        <v>3</v>
      </c>
      <c r="T9">
        <v>95</v>
      </c>
      <c r="U9">
        <v>377328</v>
      </c>
      <c r="V9">
        <v>17672</v>
      </c>
      <c r="W9">
        <v>359656</v>
      </c>
      <c r="X9">
        <v>5</v>
      </c>
      <c r="Y9">
        <v>393216</v>
      </c>
      <c r="Z9">
        <v>91</v>
      </c>
      <c r="AA9" t="s">
        <v>1</v>
      </c>
      <c r="AB9" t="s">
        <v>2</v>
      </c>
      <c r="AC9" s="8">
        <v>696</v>
      </c>
      <c r="AD9">
        <v>33560</v>
      </c>
      <c r="AE9" s="5">
        <v>48.218390804597703</v>
      </c>
      <c r="AI9" s="3">
        <v>44292</v>
      </c>
      <c r="AJ9" t="s">
        <v>8</v>
      </c>
      <c r="AK9">
        <v>89</v>
      </c>
      <c r="AL9">
        <v>262144</v>
      </c>
      <c r="AM9">
        <v>29386</v>
      </c>
      <c r="AN9">
        <v>232758</v>
      </c>
      <c r="AO9">
        <v>11</v>
      </c>
      <c r="AP9">
        <v>262144</v>
      </c>
      <c r="AQ9">
        <v>89</v>
      </c>
      <c r="AR9" t="s">
        <v>1</v>
      </c>
      <c r="AS9" t="s">
        <v>2</v>
      </c>
      <c r="AT9" s="8">
        <v>365</v>
      </c>
      <c r="AU9">
        <v>29386</v>
      </c>
      <c r="AV9" s="5">
        <v>80.509589041095893</v>
      </c>
    </row>
    <row r="10" spans="1:48" x14ac:dyDescent="0.25">
      <c r="A10" s="3">
        <v>44243</v>
      </c>
      <c r="B10" t="s">
        <v>12</v>
      </c>
      <c r="C10">
        <v>0</v>
      </c>
      <c r="D10">
        <v>30720</v>
      </c>
      <c r="E10">
        <v>30600</v>
      </c>
      <c r="F10">
        <v>120</v>
      </c>
      <c r="G10">
        <v>100</v>
      </c>
      <c r="H10">
        <v>30720</v>
      </c>
      <c r="I10">
        <v>0</v>
      </c>
      <c r="J10" t="s">
        <v>1</v>
      </c>
      <c r="K10" t="s">
        <v>13</v>
      </c>
      <c r="M10">
        <f>UnilabUsage[[#This Row],[Max]]-UnilabUsage[[#This Row],[Used-MB]]</f>
        <v>30600</v>
      </c>
      <c r="N10" s="5">
        <f>IF($L10&gt;0,UnilabUsage[[#This Row],[Free-of-Max]]/UnilabUsage[[#This Row],[Usage-Delta-MB]],UnilabUsage[[#This Row],[Free-of-Max]])</f>
        <v>30600</v>
      </c>
      <c r="R10" s="3">
        <v>44298</v>
      </c>
      <c r="S10" t="s">
        <v>3</v>
      </c>
      <c r="T10">
        <v>95</v>
      </c>
      <c r="U10">
        <v>377328</v>
      </c>
      <c r="V10">
        <v>17269</v>
      </c>
      <c r="W10">
        <v>360059</v>
      </c>
      <c r="X10">
        <v>5</v>
      </c>
      <c r="Y10">
        <v>393216</v>
      </c>
      <c r="Z10">
        <v>92</v>
      </c>
      <c r="AA10" t="s">
        <v>1</v>
      </c>
      <c r="AB10" t="s">
        <v>2</v>
      </c>
      <c r="AC10" s="8">
        <v>403</v>
      </c>
      <c r="AD10">
        <v>33157</v>
      </c>
      <c r="AE10" s="5">
        <v>82.275434243176178</v>
      </c>
      <c r="AI10" s="3">
        <v>44298</v>
      </c>
      <c r="AJ10" t="s">
        <v>8</v>
      </c>
      <c r="AK10">
        <v>89</v>
      </c>
      <c r="AL10">
        <v>262144</v>
      </c>
      <c r="AM10">
        <v>28885</v>
      </c>
      <c r="AN10">
        <v>233259</v>
      </c>
      <c r="AO10">
        <v>11</v>
      </c>
      <c r="AP10">
        <v>262144</v>
      </c>
      <c r="AQ10">
        <v>89</v>
      </c>
      <c r="AR10" t="s">
        <v>1</v>
      </c>
      <c r="AS10" t="s">
        <v>2</v>
      </c>
      <c r="AT10" s="8">
        <v>501</v>
      </c>
      <c r="AU10">
        <v>28885</v>
      </c>
      <c r="AV10" s="5">
        <v>57.654690618762473</v>
      </c>
    </row>
    <row r="11" spans="1:48" x14ac:dyDescent="0.25">
      <c r="A11" s="3">
        <v>44243</v>
      </c>
      <c r="B11" t="s">
        <v>9</v>
      </c>
      <c r="C11">
        <v>2</v>
      </c>
      <c r="D11">
        <v>10440</v>
      </c>
      <c r="E11">
        <v>10214</v>
      </c>
      <c r="F11">
        <v>226</v>
      </c>
      <c r="G11">
        <v>98</v>
      </c>
      <c r="H11">
        <v>32768</v>
      </c>
      <c r="I11">
        <v>1</v>
      </c>
      <c r="J11" t="s">
        <v>1</v>
      </c>
      <c r="K11" t="s">
        <v>10</v>
      </c>
      <c r="M11">
        <f>UnilabUsage[[#This Row],[Max]]-UnilabUsage[[#This Row],[Used-MB]]</f>
        <v>32542</v>
      </c>
      <c r="N11" s="5">
        <f>IF($L11&gt;0,UnilabUsage[[#This Row],[Free-of-Max]]/UnilabUsage[[#This Row],[Usage-Delta-MB]],UnilabUsage[[#This Row],[Free-of-Max]])</f>
        <v>32542</v>
      </c>
      <c r="R11" s="3">
        <v>44305</v>
      </c>
      <c r="S11" t="s">
        <v>3</v>
      </c>
      <c r="T11">
        <v>96</v>
      </c>
      <c r="U11">
        <v>377328</v>
      </c>
      <c r="V11">
        <v>16571</v>
      </c>
      <c r="W11">
        <v>360757</v>
      </c>
      <c r="X11">
        <v>4</v>
      </c>
      <c r="Y11">
        <v>393216</v>
      </c>
      <c r="Z11">
        <v>92</v>
      </c>
      <c r="AA11" t="s">
        <v>1</v>
      </c>
      <c r="AB11" t="s">
        <v>2</v>
      </c>
      <c r="AC11" s="8">
        <v>698</v>
      </c>
      <c r="AD11">
        <v>32459</v>
      </c>
      <c r="AE11" s="5">
        <v>46.502865329512893</v>
      </c>
      <c r="AI11" s="3">
        <v>44305</v>
      </c>
      <c r="AJ11" t="s">
        <v>8</v>
      </c>
      <c r="AK11">
        <v>89</v>
      </c>
      <c r="AL11">
        <v>262144</v>
      </c>
      <c r="AM11">
        <v>28138</v>
      </c>
      <c r="AN11">
        <v>234006</v>
      </c>
      <c r="AO11">
        <v>11</v>
      </c>
      <c r="AP11">
        <v>262144</v>
      </c>
      <c r="AQ11">
        <v>89</v>
      </c>
      <c r="AR11" t="s">
        <v>1</v>
      </c>
      <c r="AS11" t="s">
        <v>2</v>
      </c>
      <c r="AT11" s="8">
        <v>747</v>
      </c>
      <c r="AU11">
        <v>28138</v>
      </c>
      <c r="AV11" s="5">
        <v>37.668005354752346</v>
      </c>
    </row>
    <row r="12" spans="1:48" x14ac:dyDescent="0.25">
      <c r="A12" s="3">
        <v>44249</v>
      </c>
      <c r="B12" t="s">
        <v>7</v>
      </c>
      <c r="C12">
        <v>96</v>
      </c>
      <c r="D12">
        <v>1070</v>
      </c>
      <c r="E12">
        <v>43</v>
      </c>
      <c r="F12">
        <v>1027</v>
      </c>
      <c r="G12">
        <v>4</v>
      </c>
      <c r="H12">
        <v>32768</v>
      </c>
      <c r="I12">
        <v>3</v>
      </c>
      <c r="J12" t="s">
        <v>1</v>
      </c>
      <c r="K12" t="s">
        <v>2</v>
      </c>
      <c r="L12" s="8">
        <f>UnilabUsage[[#This Row],[Used-MB]]-F2</f>
        <v>17</v>
      </c>
      <c r="M12">
        <f>UnilabUsage[[#This Row],[Max]]-UnilabUsage[[#This Row],[Used-MB]]</f>
        <v>31741</v>
      </c>
      <c r="N12" s="5">
        <f>IF($L12&gt;0,UnilabUsage[[#This Row],[Free-of-Max]]/UnilabUsage[[#This Row],[Usage-Delta-MB]],UnilabUsage[[#This Row],[Free-of-Max]])</f>
        <v>1867.1176470588234</v>
      </c>
      <c r="R12" s="3">
        <v>44312</v>
      </c>
      <c r="S12" t="s">
        <v>3</v>
      </c>
      <c r="T12">
        <v>96</v>
      </c>
      <c r="U12">
        <v>377328</v>
      </c>
      <c r="V12">
        <v>15980</v>
      </c>
      <c r="W12">
        <v>361348</v>
      </c>
      <c r="X12">
        <v>4</v>
      </c>
      <c r="Y12">
        <v>393216</v>
      </c>
      <c r="Z12">
        <v>92</v>
      </c>
      <c r="AA12" t="s">
        <v>1</v>
      </c>
      <c r="AB12" t="s">
        <v>2</v>
      </c>
      <c r="AC12" s="8">
        <v>591</v>
      </c>
      <c r="AD12">
        <v>31868</v>
      </c>
      <c r="AE12" s="5">
        <v>53.922165820642981</v>
      </c>
      <c r="AI12" s="3">
        <v>44312</v>
      </c>
      <c r="AJ12" t="s">
        <v>8</v>
      </c>
      <c r="AK12">
        <v>89</v>
      </c>
      <c r="AL12">
        <v>262144</v>
      </c>
      <c r="AM12">
        <v>27841</v>
      </c>
      <c r="AN12">
        <v>234303</v>
      </c>
      <c r="AO12">
        <v>11</v>
      </c>
      <c r="AP12">
        <v>262144</v>
      </c>
      <c r="AQ12">
        <v>89</v>
      </c>
      <c r="AR12" t="s">
        <v>1</v>
      </c>
      <c r="AS12" t="s">
        <v>2</v>
      </c>
      <c r="AT12" s="8">
        <v>297</v>
      </c>
      <c r="AU12">
        <v>27841</v>
      </c>
      <c r="AV12" s="5">
        <v>93.740740740740748</v>
      </c>
    </row>
    <row r="13" spans="1:48" x14ac:dyDescent="0.25">
      <c r="A13" s="3">
        <v>44249</v>
      </c>
      <c r="B13" t="s">
        <v>0</v>
      </c>
      <c r="C13">
        <v>100</v>
      </c>
      <c r="D13">
        <v>14800</v>
      </c>
      <c r="E13">
        <v>8</v>
      </c>
      <c r="F13">
        <v>14792</v>
      </c>
      <c r="G13">
        <v>0</v>
      </c>
      <c r="H13">
        <v>32768</v>
      </c>
      <c r="I13">
        <v>45</v>
      </c>
      <c r="J13" t="s">
        <v>1</v>
      </c>
      <c r="K13" t="s">
        <v>2</v>
      </c>
      <c r="L13" s="8">
        <f>UnilabUsage[[#This Row],[Used-MB]]-F3</f>
        <v>0</v>
      </c>
      <c r="M13">
        <f>UnilabUsage[[#This Row],[Max]]-UnilabUsage[[#This Row],[Used-MB]]</f>
        <v>17976</v>
      </c>
      <c r="N13" s="5">
        <f>IF($L13&gt;0,UnilabUsage[[#This Row],[Free-of-Max]]/UnilabUsage[[#This Row],[Usage-Delta-MB]],UnilabUsage[[#This Row],[Free-of-Max]])</f>
        <v>17976</v>
      </c>
      <c r="R13" s="3">
        <v>44319</v>
      </c>
      <c r="S13" t="s">
        <v>3</v>
      </c>
      <c r="T13">
        <v>96</v>
      </c>
      <c r="U13">
        <v>377328</v>
      </c>
      <c r="V13">
        <v>15372</v>
      </c>
      <c r="W13">
        <v>361956</v>
      </c>
      <c r="X13">
        <v>4</v>
      </c>
      <c r="Y13">
        <v>393216</v>
      </c>
      <c r="Z13">
        <v>92</v>
      </c>
      <c r="AA13" t="s">
        <v>1</v>
      </c>
      <c r="AB13" t="s">
        <v>2</v>
      </c>
      <c r="AC13" s="8">
        <v>608</v>
      </c>
      <c r="AD13">
        <v>31260</v>
      </c>
      <c r="AE13" s="5">
        <v>51.414473684210527</v>
      </c>
      <c r="AI13" s="3">
        <v>44319</v>
      </c>
      <c r="AJ13" t="s">
        <v>8</v>
      </c>
      <c r="AK13">
        <v>90</v>
      </c>
      <c r="AL13">
        <v>262144</v>
      </c>
      <c r="AM13">
        <v>27523</v>
      </c>
      <c r="AN13">
        <v>234621</v>
      </c>
      <c r="AO13">
        <v>10</v>
      </c>
      <c r="AP13">
        <v>262144</v>
      </c>
      <c r="AQ13">
        <v>90</v>
      </c>
      <c r="AR13" t="s">
        <v>1</v>
      </c>
      <c r="AS13" t="s">
        <v>2</v>
      </c>
      <c r="AT13" s="8">
        <v>318</v>
      </c>
      <c r="AU13">
        <v>27523</v>
      </c>
      <c r="AV13" s="5">
        <v>86.550314465408803</v>
      </c>
    </row>
    <row r="14" spans="1:48" x14ac:dyDescent="0.25">
      <c r="A14" s="3">
        <v>44249</v>
      </c>
      <c r="B14" t="s">
        <v>11</v>
      </c>
      <c r="C14">
        <v>1</v>
      </c>
      <c r="D14">
        <v>100</v>
      </c>
      <c r="E14">
        <v>99</v>
      </c>
      <c r="F14">
        <v>1</v>
      </c>
      <c r="G14">
        <v>99</v>
      </c>
      <c r="H14">
        <v>32768</v>
      </c>
      <c r="I14">
        <v>0</v>
      </c>
      <c r="J14" t="s">
        <v>1</v>
      </c>
      <c r="K14" t="s">
        <v>2</v>
      </c>
      <c r="L14" s="8">
        <f>UnilabUsage[[#This Row],[Used-MB]]-F4</f>
        <v>0</v>
      </c>
      <c r="M14">
        <f>UnilabUsage[[#This Row],[Max]]-UnilabUsage[[#This Row],[Used-MB]]</f>
        <v>32767</v>
      </c>
      <c r="N14" s="5">
        <f>IF($L14&gt;0,UnilabUsage[[#This Row],[Free-of-Max]]/UnilabUsage[[#This Row],[Usage-Delta-MB]],UnilabUsage[[#This Row],[Free-of-Max]])</f>
        <v>32767</v>
      </c>
      <c r="R14" s="3">
        <v>44326</v>
      </c>
      <c r="S14" t="s">
        <v>3</v>
      </c>
      <c r="T14">
        <v>96</v>
      </c>
      <c r="U14">
        <v>377328</v>
      </c>
      <c r="V14">
        <v>14762</v>
      </c>
      <c r="W14">
        <v>362566</v>
      </c>
      <c r="X14">
        <v>4</v>
      </c>
      <c r="Y14">
        <v>393216</v>
      </c>
      <c r="Z14">
        <v>92</v>
      </c>
      <c r="AA14" t="s">
        <v>1</v>
      </c>
      <c r="AB14" t="s">
        <v>2</v>
      </c>
      <c r="AC14" s="8">
        <v>610</v>
      </c>
      <c r="AD14">
        <v>30650</v>
      </c>
      <c r="AE14" s="5">
        <v>50.245901639344261</v>
      </c>
      <c r="AI14" s="3">
        <v>44326</v>
      </c>
      <c r="AJ14" t="s">
        <v>8</v>
      </c>
      <c r="AK14">
        <v>90</v>
      </c>
      <c r="AL14">
        <v>262144</v>
      </c>
      <c r="AM14">
        <v>27049</v>
      </c>
      <c r="AN14">
        <v>235095</v>
      </c>
      <c r="AO14">
        <v>10</v>
      </c>
      <c r="AP14">
        <v>262144</v>
      </c>
      <c r="AQ14">
        <v>90</v>
      </c>
      <c r="AR14" t="s">
        <v>1</v>
      </c>
      <c r="AS14" t="s">
        <v>2</v>
      </c>
      <c r="AT14" s="8">
        <v>474</v>
      </c>
      <c r="AU14">
        <v>27049</v>
      </c>
      <c r="AV14" s="5">
        <v>57.065400843881854</v>
      </c>
    </row>
    <row r="15" spans="1:48" x14ac:dyDescent="0.25">
      <c r="A15" s="3">
        <v>44249</v>
      </c>
      <c r="B15" t="s">
        <v>6</v>
      </c>
      <c r="C15">
        <v>95</v>
      </c>
      <c r="D15">
        <v>6375</v>
      </c>
      <c r="E15">
        <v>336</v>
      </c>
      <c r="F15">
        <v>6040</v>
      </c>
      <c r="G15">
        <v>5</v>
      </c>
      <c r="H15">
        <v>32768</v>
      </c>
      <c r="I15">
        <v>18</v>
      </c>
      <c r="J15" t="s">
        <v>1</v>
      </c>
      <c r="K15" t="s">
        <v>2</v>
      </c>
      <c r="L15" s="8">
        <f>UnilabUsage[[#This Row],[Used-MB]]-F5</f>
        <v>27</v>
      </c>
      <c r="M15">
        <f>UnilabUsage[[#This Row],[Max]]-UnilabUsage[[#This Row],[Used-MB]]</f>
        <v>26728</v>
      </c>
      <c r="N15" s="5">
        <f>IF($L15&gt;0,UnilabUsage[[#This Row],[Free-of-Max]]/UnilabUsage[[#This Row],[Usage-Delta-MB]],UnilabUsage[[#This Row],[Free-of-Max]])</f>
        <v>989.92592592592598</v>
      </c>
      <c r="R15" s="3">
        <v>44333</v>
      </c>
      <c r="S15" t="s">
        <v>3</v>
      </c>
      <c r="T15">
        <v>96</v>
      </c>
      <c r="U15">
        <v>377328</v>
      </c>
      <c r="V15">
        <v>14353</v>
      </c>
      <c r="W15">
        <v>362975</v>
      </c>
      <c r="X15">
        <v>4</v>
      </c>
      <c r="Y15">
        <v>393216</v>
      </c>
      <c r="Z15">
        <v>92</v>
      </c>
      <c r="AA15" t="s">
        <v>1</v>
      </c>
      <c r="AB15" t="s">
        <v>2</v>
      </c>
      <c r="AC15" s="8">
        <v>409</v>
      </c>
      <c r="AD15">
        <v>30241</v>
      </c>
      <c r="AE15" s="5">
        <v>73.938875305623469</v>
      </c>
      <c r="AI15" s="3">
        <v>44333</v>
      </c>
      <c r="AJ15" t="s">
        <v>8</v>
      </c>
      <c r="AK15">
        <v>90</v>
      </c>
      <c r="AL15">
        <v>262144</v>
      </c>
      <c r="AM15">
        <v>26775</v>
      </c>
      <c r="AN15">
        <v>235369</v>
      </c>
      <c r="AO15">
        <v>10</v>
      </c>
      <c r="AP15">
        <v>262144</v>
      </c>
      <c r="AQ15">
        <v>90</v>
      </c>
      <c r="AR15" t="s">
        <v>1</v>
      </c>
      <c r="AS15" t="s">
        <v>2</v>
      </c>
      <c r="AT15" s="8">
        <v>274</v>
      </c>
      <c r="AU15">
        <v>26775</v>
      </c>
      <c r="AV15" s="5">
        <v>97.71897810218978</v>
      </c>
    </row>
    <row r="16" spans="1:48" x14ac:dyDescent="0.25">
      <c r="A16" s="3">
        <v>44249</v>
      </c>
      <c r="B16" t="s">
        <v>3</v>
      </c>
      <c r="C16">
        <v>99</v>
      </c>
      <c r="D16">
        <v>360184</v>
      </c>
      <c r="E16">
        <v>4170</v>
      </c>
      <c r="F16">
        <v>356014</v>
      </c>
      <c r="G16">
        <v>1</v>
      </c>
      <c r="H16">
        <v>393216</v>
      </c>
      <c r="I16">
        <v>91</v>
      </c>
      <c r="J16" t="s">
        <v>1</v>
      </c>
      <c r="K16" t="s">
        <v>2</v>
      </c>
      <c r="L16" s="8">
        <f>UnilabUsage[[#This Row],[Used-MB]]-F6</f>
        <v>609</v>
      </c>
      <c r="M16">
        <f>UnilabUsage[[#This Row],[Max]]-UnilabUsage[[#This Row],[Used-MB]]</f>
        <v>37202</v>
      </c>
      <c r="N16" s="5">
        <f>IF($L16&gt;0,UnilabUsage[[#This Row],[Free-of-Max]]/UnilabUsage[[#This Row],[Usage-Delta-MB]],UnilabUsage[[#This Row],[Free-of-Max]])</f>
        <v>61.087027914614119</v>
      </c>
      <c r="R16" s="3">
        <v>44341</v>
      </c>
      <c r="S16" t="s">
        <v>3</v>
      </c>
      <c r="T16">
        <v>96</v>
      </c>
      <c r="U16">
        <v>377328</v>
      </c>
      <c r="V16">
        <v>13854</v>
      </c>
      <c r="W16">
        <v>363473</v>
      </c>
      <c r="X16">
        <v>4</v>
      </c>
      <c r="Y16">
        <v>393216</v>
      </c>
      <c r="Z16">
        <v>92</v>
      </c>
      <c r="AA16" t="s">
        <v>1</v>
      </c>
      <c r="AB16" t="s">
        <v>2</v>
      </c>
      <c r="AC16" s="8">
        <v>498</v>
      </c>
      <c r="AD16">
        <v>29743</v>
      </c>
      <c r="AE16" s="5">
        <v>59.724899598393577</v>
      </c>
      <c r="AI16" s="3">
        <v>44341</v>
      </c>
      <c r="AJ16" t="s">
        <v>8</v>
      </c>
      <c r="AK16">
        <v>90</v>
      </c>
      <c r="AL16">
        <v>262144</v>
      </c>
      <c r="AM16">
        <v>26401</v>
      </c>
      <c r="AN16">
        <v>235743</v>
      </c>
      <c r="AO16">
        <v>10</v>
      </c>
      <c r="AP16">
        <v>262144</v>
      </c>
      <c r="AQ16">
        <v>90</v>
      </c>
      <c r="AR16" t="s">
        <v>1</v>
      </c>
      <c r="AS16" t="s">
        <v>2</v>
      </c>
      <c r="AT16" s="8">
        <v>374</v>
      </c>
      <c r="AU16">
        <v>26401</v>
      </c>
      <c r="AV16" s="5">
        <v>70.590909090909093</v>
      </c>
    </row>
    <row r="17" spans="1:48" x14ac:dyDescent="0.25">
      <c r="A17" s="3">
        <v>44249</v>
      </c>
      <c r="B17" t="s">
        <v>5</v>
      </c>
      <c r="C17">
        <v>95</v>
      </c>
      <c r="D17">
        <v>15950</v>
      </c>
      <c r="E17">
        <v>798</v>
      </c>
      <c r="F17">
        <v>15152</v>
      </c>
      <c r="G17">
        <v>5</v>
      </c>
      <c r="H17">
        <v>32768</v>
      </c>
      <c r="I17">
        <v>46</v>
      </c>
      <c r="J17" t="s">
        <v>1</v>
      </c>
      <c r="K17" t="s">
        <v>2</v>
      </c>
      <c r="L17" s="8">
        <f>UnilabUsage[[#This Row],[Used-MB]]-F7</f>
        <v>36</v>
      </c>
      <c r="M17">
        <f>UnilabUsage[[#This Row],[Max]]-UnilabUsage[[#This Row],[Used-MB]]</f>
        <v>17616</v>
      </c>
      <c r="N17" s="5">
        <f>IF($L17&gt;0,UnilabUsage[[#This Row],[Free-of-Max]]/UnilabUsage[[#This Row],[Usage-Delta-MB]],UnilabUsage[[#This Row],[Free-of-Max]])</f>
        <v>489.33333333333331</v>
      </c>
      <c r="R17" s="3">
        <v>44347</v>
      </c>
      <c r="S17" t="s">
        <v>3</v>
      </c>
      <c r="T17">
        <v>96</v>
      </c>
      <c r="U17">
        <v>377328</v>
      </c>
      <c r="V17">
        <v>13374</v>
      </c>
      <c r="W17">
        <v>363954</v>
      </c>
      <c r="X17">
        <v>4</v>
      </c>
      <c r="Y17">
        <v>393216</v>
      </c>
      <c r="Z17">
        <v>93</v>
      </c>
      <c r="AA17" t="s">
        <v>1</v>
      </c>
      <c r="AB17" t="s">
        <v>2</v>
      </c>
      <c r="AC17" s="8">
        <v>481</v>
      </c>
      <c r="AD17">
        <v>29262</v>
      </c>
      <c r="AE17" s="5">
        <v>60.835758835758838</v>
      </c>
      <c r="AI17" s="3">
        <v>44347</v>
      </c>
      <c r="AJ17" t="s">
        <v>8</v>
      </c>
      <c r="AK17">
        <v>90</v>
      </c>
      <c r="AL17">
        <v>262144</v>
      </c>
      <c r="AM17">
        <v>25959</v>
      </c>
      <c r="AN17">
        <v>236185</v>
      </c>
      <c r="AO17">
        <v>10</v>
      </c>
      <c r="AP17">
        <v>262144</v>
      </c>
      <c r="AQ17">
        <v>90</v>
      </c>
      <c r="AR17" t="s">
        <v>1</v>
      </c>
      <c r="AS17" t="s">
        <v>2</v>
      </c>
      <c r="AT17" s="8">
        <v>442</v>
      </c>
      <c r="AU17">
        <v>25959</v>
      </c>
      <c r="AV17" s="5">
        <v>58.730769230769234</v>
      </c>
    </row>
    <row r="18" spans="1:48" x14ac:dyDescent="0.25">
      <c r="A18" s="3">
        <v>44249</v>
      </c>
      <c r="B18" t="s">
        <v>8</v>
      </c>
      <c r="C18">
        <v>88</v>
      </c>
      <c r="D18">
        <v>262144</v>
      </c>
      <c r="E18">
        <v>31795</v>
      </c>
      <c r="F18">
        <v>230349</v>
      </c>
      <c r="G18">
        <v>12</v>
      </c>
      <c r="H18">
        <v>262144</v>
      </c>
      <c r="I18">
        <v>88</v>
      </c>
      <c r="J18" t="s">
        <v>1</v>
      </c>
      <c r="K18" t="s">
        <v>2</v>
      </c>
      <c r="L18" s="8">
        <f>UnilabUsage[[#This Row],[Used-MB]]-F8</f>
        <v>438</v>
      </c>
      <c r="M18">
        <f>UnilabUsage[[#This Row],[Max]]-UnilabUsage[[#This Row],[Used-MB]]</f>
        <v>31795</v>
      </c>
      <c r="N18" s="5">
        <f>IF($L18&gt;0,UnilabUsage[[#This Row],[Free-of-Max]]/UnilabUsage[[#This Row],[Usage-Delta-MB]],UnilabUsage[[#This Row],[Free-of-Max]])</f>
        <v>72.591324200913249</v>
      </c>
      <c r="R18" s="3">
        <v>44354</v>
      </c>
      <c r="S18" t="s">
        <v>3</v>
      </c>
      <c r="T18">
        <v>97</v>
      </c>
      <c r="U18">
        <v>377328</v>
      </c>
      <c r="V18">
        <v>12901</v>
      </c>
      <c r="W18">
        <v>364427</v>
      </c>
      <c r="X18">
        <v>3</v>
      </c>
      <c r="Y18">
        <v>393216</v>
      </c>
      <c r="Z18">
        <v>93</v>
      </c>
      <c r="AA18" t="s">
        <v>1</v>
      </c>
      <c r="AB18" t="s">
        <v>2</v>
      </c>
      <c r="AC18" s="8">
        <v>473</v>
      </c>
      <c r="AD18">
        <v>28789</v>
      </c>
      <c r="AE18" s="5">
        <v>60.864693446088793</v>
      </c>
      <c r="AI18" s="3">
        <v>44354</v>
      </c>
      <c r="AJ18" t="s">
        <v>8</v>
      </c>
      <c r="AK18">
        <v>90</v>
      </c>
      <c r="AL18">
        <v>262144</v>
      </c>
      <c r="AM18">
        <v>25627</v>
      </c>
      <c r="AN18">
        <v>236516</v>
      </c>
      <c r="AO18">
        <v>10</v>
      </c>
      <c r="AP18">
        <v>262144</v>
      </c>
      <c r="AQ18">
        <v>90</v>
      </c>
      <c r="AR18" t="s">
        <v>1</v>
      </c>
      <c r="AS18" t="s">
        <v>2</v>
      </c>
      <c r="AT18" s="8">
        <v>331</v>
      </c>
      <c r="AU18">
        <v>25628</v>
      </c>
      <c r="AV18" s="5">
        <v>77.42598187311178</v>
      </c>
    </row>
    <row r="19" spans="1:48" x14ac:dyDescent="0.25">
      <c r="A19" s="3">
        <v>44249</v>
      </c>
      <c r="B19" t="s">
        <v>4</v>
      </c>
      <c r="C19">
        <v>96</v>
      </c>
      <c r="D19">
        <v>74709</v>
      </c>
      <c r="E19">
        <v>3004</v>
      </c>
      <c r="F19">
        <v>71705</v>
      </c>
      <c r="G19">
        <v>4</v>
      </c>
      <c r="H19">
        <v>98304</v>
      </c>
      <c r="I19">
        <v>73</v>
      </c>
      <c r="J19" t="s">
        <v>1</v>
      </c>
      <c r="K19" t="s">
        <v>2</v>
      </c>
      <c r="L19" s="8">
        <f>UnilabUsage[[#This Row],[Used-MB]]-F9</f>
        <v>320</v>
      </c>
      <c r="M19">
        <f>UnilabUsage[[#This Row],[Max]]-UnilabUsage[[#This Row],[Used-MB]]</f>
        <v>26599</v>
      </c>
      <c r="N19" s="5">
        <f>IF($L19&gt;0,UnilabUsage[[#This Row],[Free-of-Max]]/UnilabUsage[[#This Row],[Usage-Delta-MB]],UnilabUsage[[#This Row],[Free-of-Max]])</f>
        <v>83.121875000000003</v>
      </c>
      <c r="R19" s="3">
        <v>44361</v>
      </c>
      <c r="S19" t="s">
        <v>3</v>
      </c>
      <c r="T19">
        <v>97</v>
      </c>
      <c r="U19">
        <v>377328</v>
      </c>
      <c r="V19">
        <v>12360</v>
      </c>
      <c r="W19">
        <v>364968</v>
      </c>
      <c r="X19">
        <v>3</v>
      </c>
      <c r="Y19">
        <v>393216</v>
      </c>
      <c r="Z19">
        <v>93</v>
      </c>
      <c r="AA19" t="s">
        <v>1</v>
      </c>
      <c r="AB19" t="s">
        <v>2</v>
      </c>
      <c r="AC19" s="8">
        <v>541</v>
      </c>
      <c r="AD19">
        <v>28248</v>
      </c>
      <c r="AE19" s="5">
        <v>52.214417744916823</v>
      </c>
      <c r="AI19" s="3">
        <v>44361</v>
      </c>
      <c r="AJ19" t="s">
        <v>8</v>
      </c>
      <c r="AK19">
        <v>91</v>
      </c>
      <c r="AL19">
        <v>262144</v>
      </c>
      <c r="AM19">
        <v>24685</v>
      </c>
      <c r="AN19">
        <v>237459</v>
      </c>
      <c r="AO19">
        <v>9</v>
      </c>
      <c r="AP19">
        <v>262144</v>
      </c>
      <c r="AQ19">
        <v>91</v>
      </c>
      <c r="AR19" t="s">
        <v>1</v>
      </c>
      <c r="AS19" t="s">
        <v>2</v>
      </c>
      <c r="AT19" s="8">
        <v>943</v>
      </c>
      <c r="AU19">
        <v>24685</v>
      </c>
      <c r="AV19" s="5">
        <v>26.177094379639449</v>
      </c>
    </row>
    <row r="20" spans="1:48" x14ac:dyDescent="0.25">
      <c r="A20" s="3">
        <v>44249</v>
      </c>
      <c r="B20" t="s">
        <v>12</v>
      </c>
      <c r="C20">
        <v>1</v>
      </c>
      <c r="D20">
        <v>30720</v>
      </c>
      <c r="E20">
        <v>30424</v>
      </c>
      <c r="F20">
        <v>296</v>
      </c>
      <c r="G20">
        <v>99</v>
      </c>
      <c r="H20">
        <v>30720</v>
      </c>
      <c r="I20">
        <v>1</v>
      </c>
      <c r="J20" t="s">
        <v>1</v>
      </c>
      <c r="K20" t="s">
        <v>13</v>
      </c>
      <c r="L20" s="8">
        <f>UnilabUsage[[#This Row],[Used-MB]]-F10</f>
        <v>176</v>
      </c>
      <c r="M20">
        <f>UnilabUsage[[#This Row],[Max]]-UnilabUsage[[#This Row],[Used-MB]]</f>
        <v>30424</v>
      </c>
      <c r="N20" s="5">
        <f>IF($L20&gt;0,UnilabUsage[[#This Row],[Free-of-Max]]/UnilabUsage[[#This Row],[Usage-Delta-MB]],UnilabUsage[[#This Row],[Free-of-Max]])</f>
        <v>172.86363636363637</v>
      </c>
      <c r="R20" s="3">
        <v>44368</v>
      </c>
      <c r="S20" t="s">
        <v>3</v>
      </c>
      <c r="T20">
        <v>97</v>
      </c>
      <c r="U20">
        <v>377328</v>
      </c>
      <c r="V20">
        <v>11967</v>
      </c>
      <c r="W20">
        <v>365360</v>
      </c>
      <c r="X20">
        <v>3</v>
      </c>
      <c r="Y20">
        <v>393216</v>
      </c>
      <c r="Z20">
        <v>93</v>
      </c>
      <c r="AA20" t="s">
        <v>1</v>
      </c>
      <c r="AB20" t="s">
        <v>2</v>
      </c>
      <c r="AC20" s="8">
        <v>392</v>
      </c>
      <c r="AD20">
        <v>27856</v>
      </c>
      <c r="AE20" s="5">
        <v>71.061224489795919</v>
      </c>
      <c r="AI20" s="3">
        <v>44368</v>
      </c>
      <c r="AJ20" t="s">
        <v>8</v>
      </c>
      <c r="AK20">
        <v>91</v>
      </c>
      <c r="AL20">
        <v>262144</v>
      </c>
      <c r="AM20">
        <v>24349</v>
      </c>
      <c r="AN20">
        <v>237795</v>
      </c>
      <c r="AO20">
        <v>9</v>
      </c>
      <c r="AP20">
        <v>262144</v>
      </c>
      <c r="AQ20">
        <v>91</v>
      </c>
      <c r="AR20" t="s">
        <v>1</v>
      </c>
      <c r="AS20" t="s">
        <v>2</v>
      </c>
      <c r="AT20" s="8">
        <v>336</v>
      </c>
      <c r="AU20">
        <v>24349</v>
      </c>
      <c r="AV20" s="5">
        <v>72.467261904761898</v>
      </c>
    </row>
    <row r="21" spans="1:48" x14ac:dyDescent="0.25">
      <c r="A21" s="3">
        <v>44249</v>
      </c>
      <c r="B21" t="s">
        <v>9</v>
      </c>
      <c r="C21">
        <v>1</v>
      </c>
      <c r="D21">
        <v>10440</v>
      </c>
      <c r="E21">
        <v>10299</v>
      </c>
      <c r="F21">
        <v>141</v>
      </c>
      <c r="G21">
        <v>99</v>
      </c>
      <c r="H21">
        <v>32768</v>
      </c>
      <c r="I21">
        <v>0</v>
      </c>
      <c r="J21" t="s">
        <v>1</v>
      </c>
      <c r="K21" t="s">
        <v>10</v>
      </c>
      <c r="L21" s="8">
        <f>UnilabUsage[[#This Row],[Used-MB]]-F11</f>
        <v>-85</v>
      </c>
      <c r="M21">
        <f>UnilabUsage[[#This Row],[Max]]-UnilabUsage[[#This Row],[Used-MB]]</f>
        <v>32627</v>
      </c>
      <c r="N21" s="5">
        <f>IF($L21&gt;0,UnilabUsage[[#This Row],[Free-of-Max]]/UnilabUsage[[#This Row],[Usage-Delta-MB]],UnilabUsage[[#This Row],[Free-of-Max]])</f>
        <v>32627</v>
      </c>
      <c r="R21" s="3">
        <v>44375</v>
      </c>
      <c r="S21" t="s">
        <v>3</v>
      </c>
      <c r="T21">
        <v>97</v>
      </c>
      <c r="U21">
        <v>377328</v>
      </c>
      <c r="V21">
        <v>11431</v>
      </c>
      <c r="W21">
        <v>365897</v>
      </c>
      <c r="X21">
        <v>3</v>
      </c>
      <c r="Y21">
        <v>393216</v>
      </c>
      <c r="Z21">
        <v>93</v>
      </c>
      <c r="AA21" t="s">
        <v>1</v>
      </c>
      <c r="AB21" t="s">
        <v>2</v>
      </c>
      <c r="AC21" s="8">
        <v>537</v>
      </c>
      <c r="AD21">
        <v>27319</v>
      </c>
      <c r="AE21" s="5">
        <v>50.873370577281193</v>
      </c>
      <c r="AI21" s="3">
        <v>44375</v>
      </c>
      <c r="AJ21" t="s">
        <v>8</v>
      </c>
      <c r="AK21">
        <v>91</v>
      </c>
      <c r="AL21">
        <v>262144</v>
      </c>
      <c r="AM21">
        <v>24186</v>
      </c>
      <c r="AN21">
        <v>237958</v>
      </c>
      <c r="AO21">
        <v>9</v>
      </c>
      <c r="AP21">
        <v>262144</v>
      </c>
      <c r="AQ21">
        <v>91</v>
      </c>
      <c r="AR21" t="s">
        <v>1</v>
      </c>
      <c r="AS21" t="s">
        <v>2</v>
      </c>
      <c r="AT21" s="8">
        <v>163</v>
      </c>
      <c r="AU21">
        <v>24186</v>
      </c>
      <c r="AV21" s="5">
        <v>148.38036809815952</v>
      </c>
    </row>
    <row r="22" spans="1:48" x14ac:dyDescent="0.25">
      <c r="A22" s="3">
        <v>44256</v>
      </c>
      <c r="B22" t="s">
        <v>7</v>
      </c>
      <c r="C22">
        <v>95</v>
      </c>
      <c r="D22">
        <v>1090</v>
      </c>
      <c r="E22">
        <v>55</v>
      </c>
      <c r="F22">
        <v>1035</v>
      </c>
      <c r="G22">
        <v>5</v>
      </c>
      <c r="H22">
        <v>32768</v>
      </c>
      <c r="I22">
        <v>3</v>
      </c>
      <c r="J22" t="s">
        <v>1</v>
      </c>
      <c r="K22" t="s">
        <v>2</v>
      </c>
      <c r="L22" s="8">
        <f>UnilabUsage[[#This Row],[Used-MB]]-F12</f>
        <v>8</v>
      </c>
      <c r="M22">
        <f>UnilabUsage[[#This Row],[Max]]-UnilabUsage[[#This Row],[Used-MB]]</f>
        <v>31733</v>
      </c>
      <c r="N22" s="5">
        <f>IF($L22&gt;0,UnilabUsage[[#This Row],[Free-of-Max]]/UnilabUsage[[#This Row],[Usage-Delta-MB]],UnilabUsage[[#This Row],[Free-of-Max]])</f>
        <v>3966.625</v>
      </c>
      <c r="R22" s="3">
        <v>44382</v>
      </c>
      <c r="S22" t="s">
        <v>3</v>
      </c>
      <c r="T22">
        <v>97</v>
      </c>
      <c r="U22">
        <v>377328</v>
      </c>
      <c r="V22">
        <v>10858</v>
      </c>
      <c r="W22">
        <v>366470</v>
      </c>
      <c r="X22">
        <v>3</v>
      </c>
      <c r="Y22">
        <v>393216</v>
      </c>
      <c r="Z22">
        <v>93</v>
      </c>
      <c r="AA22" t="s">
        <v>1</v>
      </c>
      <c r="AB22" t="s">
        <v>2</v>
      </c>
      <c r="AC22" s="8">
        <v>573</v>
      </c>
      <c r="AD22">
        <v>26746</v>
      </c>
      <c r="AE22" s="5">
        <v>46.677137870855148</v>
      </c>
      <c r="AI22" s="3">
        <v>44382</v>
      </c>
      <c r="AJ22" t="s">
        <v>8</v>
      </c>
      <c r="AK22">
        <v>91</v>
      </c>
      <c r="AL22">
        <v>262144</v>
      </c>
      <c r="AM22">
        <v>23534</v>
      </c>
      <c r="AN22">
        <v>238610</v>
      </c>
      <c r="AO22">
        <v>9</v>
      </c>
      <c r="AP22">
        <v>262144</v>
      </c>
      <c r="AQ22">
        <v>91</v>
      </c>
      <c r="AR22" t="s">
        <v>1</v>
      </c>
      <c r="AS22" t="s">
        <v>2</v>
      </c>
      <c r="AT22" s="8">
        <v>652</v>
      </c>
      <c r="AU22">
        <v>23534</v>
      </c>
      <c r="AV22" s="5">
        <v>36.095092024539881</v>
      </c>
    </row>
    <row r="23" spans="1:48" x14ac:dyDescent="0.25">
      <c r="A23" s="3">
        <v>44256</v>
      </c>
      <c r="B23" t="s">
        <v>0</v>
      </c>
      <c r="C23">
        <v>100</v>
      </c>
      <c r="D23">
        <v>14900</v>
      </c>
      <c r="E23">
        <v>43</v>
      </c>
      <c r="F23">
        <v>14857</v>
      </c>
      <c r="G23">
        <v>0</v>
      </c>
      <c r="H23">
        <v>32768</v>
      </c>
      <c r="I23">
        <v>45</v>
      </c>
      <c r="J23" t="s">
        <v>1</v>
      </c>
      <c r="K23" t="s">
        <v>2</v>
      </c>
      <c r="L23" s="8">
        <f>UnilabUsage[[#This Row],[Used-MB]]-F13</f>
        <v>65</v>
      </c>
      <c r="M23">
        <f>UnilabUsage[[#This Row],[Max]]-UnilabUsage[[#This Row],[Used-MB]]</f>
        <v>17911</v>
      </c>
      <c r="N23" s="5">
        <f>IF($L23&gt;0,UnilabUsage[[#This Row],[Free-of-Max]]/UnilabUsage[[#This Row],[Usage-Delta-MB]],UnilabUsage[[#This Row],[Free-of-Max]])</f>
        <v>275.55384615384617</v>
      </c>
      <c r="R23" s="3">
        <v>44389</v>
      </c>
      <c r="S23" t="s">
        <v>3</v>
      </c>
      <c r="T23">
        <v>97</v>
      </c>
      <c r="U23">
        <v>377328</v>
      </c>
      <c r="V23">
        <v>10458</v>
      </c>
      <c r="W23">
        <v>366870</v>
      </c>
      <c r="X23">
        <v>3</v>
      </c>
      <c r="Y23">
        <v>393216</v>
      </c>
      <c r="Z23">
        <v>93</v>
      </c>
      <c r="AA23" t="s">
        <v>1</v>
      </c>
      <c r="AB23" t="s">
        <v>2</v>
      </c>
      <c r="AC23" s="8">
        <v>400</v>
      </c>
      <c r="AD23">
        <v>26346</v>
      </c>
      <c r="AE23" s="5">
        <v>65.864999999999995</v>
      </c>
      <c r="AI23" s="3">
        <v>44389</v>
      </c>
      <c r="AJ23" t="s">
        <v>8</v>
      </c>
      <c r="AK23">
        <v>91</v>
      </c>
      <c r="AL23">
        <v>262144</v>
      </c>
      <c r="AM23">
        <v>23236</v>
      </c>
      <c r="AN23">
        <v>238908</v>
      </c>
      <c r="AO23">
        <v>9</v>
      </c>
      <c r="AP23">
        <v>262144</v>
      </c>
      <c r="AQ23">
        <v>91</v>
      </c>
      <c r="AR23" t="s">
        <v>1</v>
      </c>
      <c r="AS23" t="s">
        <v>2</v>
      </c>
      <c r="AT23" s="8">
        <v>298</v>
      </c>
      <c r="AU23">
        <v>23236</v>
      </c>
      <c r="AV23" s="5">
        <v>77.973154362416111</v>
      </c>
    </row>
    <row r="24" spans="1:48" x14ac:dyDescent="0.25">
      <c r="A24" s="3">
        <v>44256</v>
      </c>
      <c r="B24" t="s">
        <v>11</v>
      </c>
      <c r="C24">
        <v>1</v>
      </c>
      <c r="D24">
        <v>100</v>
      </c>
      <c r="E24">
        <v>99</v>
      </c>
      <c r="F24">
        <v>1</v>
      </c>
      <c r="G24">
        <v>99</v>
      </c>
      <c r="H24">
        <v>32768</v>
      </c>
      <c r="I24">
        <v>0</v>
      </c>
      <c r="J24" t="s">
        <v>1</v>
      </c>
      <c r="K24" t="s">
        <v>2</v>
      </c>
      <c r="L24" s="8">
        <f>UnilabUsage[[#This Row],[Used-MB]]-F14</f>
        <v>0</v>
      </c>
      <c r="M24">
        <f>UnilabUsage[[#This Row],[Max]]-UnilabUsage[[#This Row],[Used-MB]]</f>
        <v>32767</v>
      </c>
      <c r="N24" s="5">
        <f>IF($L24&gt;0,UnilabUsage[[#This Row],[Free-of-Max]]/UnilabUsage[[#This Row],[Usage-Delta-MB]],UnilabUsage[[#This Row],[Free-of-Max]])</f>
        <v>32767</v>
      </c>
      <c r="R24" s="3">
        <v>44396</v>
      </c>
      <c r="S24" t="s">
        <v>3</v>
      </c>
      <c r="T24">
        <v>97</v>
      </c>
      <c r="U24">
        <v>377328</v>
      </c>
      <c r="V24">
        <v>9896</v>
      </c>
      <c r="W24">
        <v>367432</v>
      </c>
      <c r="X24">
        <v>3</v>
      </c>
      <c r="Y24">
        <v>393216</v>
      </c>
      <c r="Z24">
        <v>93</v>
      </c>
      <c r="AA24" t="s">
        <v>1</v>
      </c>
      <c r="AB24" t="s">
        <v>2</v>
      </c>
      <c r="AC24" s="8">
        <v>562</v>
      </c>
      <c r="AD24">
        <v>25784</v>
      </c>
      <c r="AE24" s="5">
        <v>45.879003558718864</v>
      </c>
      <c r="AI24" s="3">
        <v>44396</v>
      </c>
      <c r="AJ24" t="s">
        <v>8</v>
      </c>
      <c r="AK24">
        <v>91</v>
      </c>
      <c r="AL24">
        <v>262144</v>
      </c>
      <c r="AM24">
        <v>22802</v>
      </c>
      <c r="AN24">
        <v>239341</v>
      </c>
      <c r="AO24">
        <v>9</v>
      </c>
      <c r="AP24">
        <v>262144</v>
      </c>
      <c r="AQ24">
        <v>91</v>
      </c>
      <c r="AR24" t="s">
        <v>1</v>
      </c>
      <c r="AS24" t="s">
        <v>2</v>
      </c>
      <c r="AT24" s="8">
        <v>433</v>
      </c>
      <c r="AU24">
        <v>22803</v>
      </c>
      <c r="AV24" s="5">
        <v>52.662817551963052</v>
      </c>
    </row>
    <row r="25" spans="1:48" x14ac:dyDescent="0.25">
      <c r="A25" s="3">
        <v>44256</v>
      </c>
      <c r="B25" t="s">
        <v>6</v>
      </c>
      <c r="C25">
        <v>95</v>
      </c>
      <c r="D25">
        <v>6375</v>
      </c>
      <c r="E25">
        <v>318</v>
      </c>
      <c r="F25">
        <v>6058</v>
      </c>
      <c r="G25">
        <v>5</v>
      </c>
      <c r="H25">
        <v>32768</v>
      </c>
      <c r="I25">
        <v>18</v>
      </c>
      <c r="J25" t="s">
        <v>1</v>
      </c>
      <c r="K25" t="s">
        <v>2</v>
      </c>
      <c r="L25" s="8">
        <f>UnilabUsage[[#This Row],[Used-MB]]-F15</f>
        <v>18</v>
      </c>
      <c r="M25">
        <f>UnilabUsage[[#This Row],[Max]]-UnilabUsage[[#This Row],[Used-MB]]</f>
        <v>26710</v>
      </c>
      <c r="N25" s="5">
        <f>IF($L25&gt;0,UnilabUsage[[#This Row],[Free-of-Max]]/UnilabUsage[[#This Row],[Usage-Delta-MB]],UnilabUsage[[#This Row],[Free-of-Max]])</f>
        <v>1483.8888888888889</v>
      </c>
      <c r="R25" s="3">
        <v>44403</v>
      </c>
      <c r="S25" t="s">
        <v>3</v>
      </c>
      <c r="T25">
        <v>98</v>
      </c>
      <c r="U25">
        <v>377328</v>
      </c>
      <c r="V25">
        <v>9188</v>
      </c>
      <c r="W25">
        <v>368139</v>
      </c>
      <c r="X25">
        <v>2</v>
      </c>
      <c r="Y25">
        <v>393216</v>
      </c>
      <c r="Z25">
        <v>94</v>
      </c>
      <c r="AA25" t="s">
        <v>1</v>
      </c>
      <c r="AB25" t="s">
        <v>2</v>
      </c>
      <c r="AC25" s="8">
        <v>707</v>
      </c>
      <c r="AD25">
        <v>25077</v>
      </c>
      <c r="AE25" s="5">
        <v>35.469589816124468</v>
      </c>
      <c r="AI25" s="3">
        <v>44403</v>
      </c>
      <c r="AJ25" t="s">
        <v>8</v>
      </c>
      <c r="AK25">
        <v>91</v>
      </c>
      <c r="AL25">
        <v>262144</v>
      </c>
      <c r="AM25">
        <v>22358</v>
      </c>
      <c r="AN25">
        <v>239786</v>
      </c>
      <c r="AO25">
        <v>9</v>
      </c>
      <c r="AP25">
        <v>262144</v>
      </c>
      <c r="AQ25">
        <v>91</v>
      </c>
      <c r="AR25" t="s">
        <v>1</v>
      </c>
      <c r="AS25" t="s">
        <v>2</v>
      </c>
      <c r="AT25" s="8">
        <v>445</v>
      </c>
      <c r="AU25">
        <v>22358</v>
      </c>
      <c r="AV25" s="5">
        <v>50.242696629213484</v>
      </c>
    </row>
    <row r="26" spans="1:48" x14ac:dyDescent="0.25">
      <c r="A26" s="3">
        <v>44256</v>
      </c>
      <c r="B26" t="s">
        <v>3</v>
      </c>
      <c r="C26">
        <v>99</v>
      </c>
      <c r="D26">
        <v>360184</v>
      </c>
      <c r="E26">
        <v>3775</v>
      </c>
      <c r="F26">
        <v>356409</v>
      </c>
      <c r="G26">
        <v>1</v>
      </c>
      <c r="H26">
        <v>393216</v>
      </c>
      <c r="I26">
        <v>91</v>
      </c>
      <c r="J26" t="s">
        <v>1</v>
      </c>
      <c r="K26" t="s">
        <v>2</v>
      </c>
      <c r="L26" s="8">
        <f>UnilabUsage[[#This Row],[Used-MB]]-F16</f>
        <v>395</v>
      </c>
      <c r="M26">
        <f>UnilabUsage[[#This Row],[Max]]-UnilabUsage[[#This Row],[Used-MB]]</f>
        <v>36807</v>
      </c>
      <c r="N26" s="5">
        <f>IF($L26&gt;0,UnilabUsage[[#This Row],[Free-of-Max]]/UnilabUsage[[#This Row],[Usage-Delta-MB]],UnilabUsage[[#This Row],[Free-of-Max]])</f>
        <v>93.182278481012659</v>
      </c>
      <c r="R26" s="3">
        <v>44410</v>
      </c>
      <c r="S26" t="s">
        <v>3</v>
      </c>
      <c r="T26">
        <v>98</v>
      </c>
      <c r="U26">
        <v>377328</v>
      </c>
      <c r="V26">
        <v>8832</v>
      </c>
      <c r="W26">
        <v>368496</v>
      </c>
      <c r="X26">
        <v>2</v>
      </c>
      <c r="Y26">
        <v>393216</v>
      </c>
      <c r="Z26">
        <v>94</v>
      </c>
      <c r="AA26" t="s">
        <v>1</v>
      </c>
      <c r="AB26" t="s">
        <v>2</v>
      </c>
      <c r="AC26" s="8">
        <v>357</v>
      </c>
      <c r="AD26">
        <v>24720</v>
      </c>
      <c r="AE26" s="5">
        <v>69.243697478991592</v>
      </c>
      <c r="AI26" s="3">
        <v>44410</v>
      </c>
      <c r="AJ26" t="s">
        <v>8</v>
      </c>
      <c r="AK26">
        <v>92</v>
      </c>
      <c r="AL26">
        <v>262144</v>
      </c>
      <c r="AM26">
        <v>22180</v>
      </c>
      <c r="AN26">
        <v>239964</v>
      </c>
      <c r="AO26">
        <v>8</v>
      </c>
      <c r="AP26">
        <v>262144</v>
      </c>
      <c r="AQ26">
        <v>92</v>
      </c>
      <c r="AR26" t="s">
        <v>1</v>
      </c>
      <c r="AS26" t="s">
        <v>2</v>
      </c>
      <c r="AT26" s="8">
        <v>178</v>
      </c>
      <c r="AU26">
        <v>22180</v>
      </c>
      <c r="AV26" s="5">
        <v>124.6067415730337</v>
      </c>
    </row>
    <row r="27" spans="1:48" x14ac:dyDescent="0.25">
      <c r="A27" s="3">
        <v>44256</v>
      </c>
      <c r="B27" t="s">
        <v>5</v>
      </c>
      <c r="C27">
        <v>95</v>
      </c>
      <c r="D27">
        <v>15950</v>
      </c>
      <c r="E27">
        <v>794</v>
      </c>
      <c r="F27">
        <v>15156</v>
      </c>
      <c r="G27">
        <v>5</v>
      </c>
      <c r="H27">
        <v>32768</v>
      </c>
      <c r="I27">
        <v>46</v>
      </c>
      <c r="J27" t="s">
        <v>1</v>
      </c>
      <c r="K27" t="s">
        <v>2</v>
      </c>
      <c r="L27" s="8">
        <f>UnilabUsage[[#This Row],[Used-MB]]-F17</f>
        <v>4</v>
      </c>
      <c r="M27">
        <f>UnilabUsage[[#This Row],[Max]]-UnilabUsage[[#This Row],[Used-MB]]</f>
        <v>17612</v>
      </c>
      <c r="N27" s="5">
        <f>IF($L27&gt;0,UnilabUsage[[#This Row],[Free-of-Max]]/UnilabUsage[[#This Row],[Usage-Delta-MB]],UnilabUsage[[#This Row],[Free-of-Max]])</f>
        <v>4403</v>
      </c>
      <c r="R27" s="3">
        <v>44417</v>
      </c>
      <c r="S27" t="s">
        <v>3</v>
      </c>
      <c r="T27">
        <v>98</v>
      </c>
      <c r="U27">
        <v>377328</v>
      </c>
      <c r="V27">
        <v>8522</v>
      </c>
      <c r="W27">
        <v>368806</v>
      </c>
      <c r="X27">
        <v>2</v>
      </c>
      <c r="Y27">
        <v>393216</v>
      </c>
      <c r="Z27">
        <v>94</v>
      </c>
      <c r="AA27" t="s">
        <v>1</v>
      </c>
      <c r="AB27" t="s">
        <v>2</v>
      </c>
      <c r="AC27" s="8">
        <v>310</v>
      </c>
      <c r="AD27">
        <v>24410</v>
      </c>
      <c r="AE27" s="5">
        <v>78.741935483870961</v>
      </c>
      <c r="AI27" s="3">
        <v>44417</v>
      </c>
      <c r="AJ27" t="s">
        <v>8</v>
      </c>
      <c r="AK27">
        <v>92</v>
      </c>
      <c r="AL27">
        <v>262144</v>
      </c>
      <c r="AM27">
        <v>21753</v>
      </c>
      <c r="AN27">
        <v>240391</v>
      </c>
      <c r="AO27">
        <v>8</v>
      </c>
      <c r="AP27">
        <v>262144</v>
      </c>
      <c r="AQ27">
        <v>92</v>
      </c>
      <c r="AR27" t="s">
        <v>1</v>
      </c>
      <c r="AS27" t="s">
        <v>2</v>
      </c>
      <c r="AT27" s="8">
        <v>427</v>
      </c>
      <c r="AU27">
        <v>21753</v>
      </c>
      <c r="AV27" s="5">
        <v>50.943793911007027</v>
      </c>
    </row>
    <row r="28" spans="1:48" x14ac:dyDescent="0.25">
      <c r="A28" s="3">
        <v>44256</v>
      </c>
      <c r="B28" t="s">
        <v>8</v>
      </c>
      <c r="C28">
        <v>88</v>
      </c>
      <c r="D28">
        <v>262144</v>
      </c>
      <c r="E28">
        <v>31390</v>
      </c>
      <c r="F28">
        <v>230754</v>
      </c>
      <c r="G28">
        <v>12</v>
      </c>
      <c r="H28">
        <v>262144</v>
      </c>
      <c r="I28">
        <v>88</v>
      </c>
      <c r="J28" t="s">
        <v>1</v>
      </c>
      <c r="K28" t="s">
        <v>2</v>
      </c>
      <c r="L28" s="8">
        <f>UnilabUsage[[#This Row],[Used-MB]]-F18</f>
        <v>405</v>
      </c>
      <c r="M28">
        <f>UnilabUsage[[#This Row],[Max]]-UnilabUsage[[#This Row],[Used-MB]]</f>
        <v>31390</v>
      </c>
      <c r="N28" s="5">
        <f>IF($L28&gt;0,UnilabUsage[[#This Row],[Free-of-Max]]/UnilabUsage[[#This Row],[Usage-Delta-MB]],UnilabUsage[[#This Row],[Free-of-Max]])</f>
        <v>77.506172839506178</v>
      </c>
      <c r="R28" s="3">
        <v>44425</v>
      </c>
      <c r="S28" t="s">
        <v>3</v>
      </c>
      <c r="T28">
        <v>98</v>
      </c>
      <c r="U28">
        <v>377328</v>
      </c>
      <c r="V28">
        <v>8122</v>
      </c>
      <c r="W28">
        <v>369206</v>
      </c>
      <c r="X28">
        <v>2</v>
      </c>
      <c r="Y28">
        <v>393216</v>
      </c>
      <c r="Z28">
        <v>94</v>
      </c>
      <c r="AA28" t="s">
        <v>1</v>
      </c>
      <c r="AB28" t="s">
        <v>2</v>
      </c>
      <c r="AC28" s="8">
        <v>400</v>
      </c>
      <c r="AD28">
        <v>24010</v>
      </c>
      <c r="AE28" s="5">
        <v>60.024999999999999</v>
      </c>
      <c r="AI28" s="3">
        <v>44425</v>
      </c>
      <c r="AJ28" t="s">
        <v>8</v>
      </c>
      <c r="AK28">
        <v>92</v>
      </c>
      <c r="AL28">
        <v>262144</v>
      </c>
      <c r="AM28">
        <v>21587</v>
      </c>
      <c r="AN28">
        <v>240557</v>
      </c>
      <c r="AO28">
        <v>8</v>
      </c>
      <c r="AP28">
        <v>262144</v>
      </c>
      <c r="AQ28">
        <v>92</v>
      </c>
      <c r="AR28" t="s">
        <v>1</v>
      </c>
      <c r="AS28" t="s">
        <v>2</v>
      </c>
      <c r="AT28" s="8">
        <v>166</v>
      </c>
      <c r="AU28">
        <v>21587</v>
      </c>
      <c r="AV28" s="5">
        <v>130.04216867469879</v>
      </c>
    </row>
    <row r="29" spans="1:48" x14ac:dyDescent="0.25">
      <c r="A29" s="3">
        <v>44256</v>
      </c>
      <c r="B29" t="s">
        <v>4</v>
      </c>
      <c r="C29">
        <v>96</v>
      </c>
      <c r="D29">
        <v>74709</v>
      </c>
      <c r="E29">
        <v>2748</v>
      </c>
      <c r="F29">
        <v>71961</v>
      </c>
      <c r="G29">
        <v>4</v>
      </c>
      <c r="H29">
        <v>98304</v>
      </c>
      <c r="I29">
        <v>73</v>
      </c>
      <c r="J29" t="s">
        <v>1</v>
      </c>
      <c r="K29" t="s">
        <v>2</v>
      </c>
      <c r="L29" s="8">
        <f>UnilabUsage[[#This Row],[Used-MB]]-F19</f>
        <v>256</v>
      </c>
      <c r="M29">
        <f>UnilabUsage[[#This Row],[Max]]-UnilabUsage[[#This Row],[Used-MB]]</f>
        <v>26343</v>
      </c>
      <c r="N29" s="5">
        <f>IF($L29&gt;0,UnilabUsage[[#This Row],[Free-of-Max]]/UnilabUsage[[#This Row],[Usage-Delta-MB]],UnilabUsage[[#This Row],[Free-of-Max]])</f>
        <v>102.90234375</v>
      </c>
      <c r="R29" s="3">
        <v>44431</v>
      </c>
      <c r="S29" t="s">
        <v>3</v>
      </c>
      <c r="T29">
        <v>98</v>
      </c>
      <c r="U29">
        <v>377328</v>
      </c>
      <c r="V29">
        <v>7785</v>
      </c>
      <c r="W29">
        <v>369543</v>
      </c>
      <c r="X29">
        <v>2</v>
      </c>
      <c r="Y29">
        <v>393216</v>
      </c>
      <c r="Z29">
        <v>94</v>
      </c>
      <c r="AA29" t="s">
        <v>1</v>
      </c>
      <c r="AB29" t="s">
        <v>2</v>
      </c>
      <c r="AC29" s="8">
        <v>337</v>
      </c>
      <c r="AD29">
        <v>23673</v>
      </c>
      <c r="AE29" s="5">
        <v>70.246290801186944</v>
      </c>
      <c r="AI29" s="3">
        <v>44431</v>
      </c>
      <c r="AJ29" t="s">
        <v>8</v>
      </c>
      <c r="AK29">
        <v>93</v>
      </c>
      <c r="AL29">
        <v>262144</v>
      </c>
      <c r="AM29">
        <v>19320</v>
      </c>
      <c r="AN29">
        <v>242824</v>
      </c>
      <c r="AO29">
        <v>7</v>
      </c>
      <c r="AP29">
        <v>262144</v>
      </c>
      <c r="AQ29">
        <v>93</v>
      </c>
      <c r="AR29" t="s">
        <v>1</v>
      </c>
      <c r="AS29" t="s">
        <v>2</v>
      </c>
      <c r="AT29" s="8">
        <v>2267</v>
      </c>
      <c r="AU29">
        <v>19320</v>
      </c>
      <c r="AV29" s="5">
        <v>8.5222761358623735</v>
      </c>
    </row>
    <row r="30" spans="1:48" x14ac:dyDescent="0.25">
      <c r="A30" s="3">
        <v>44256</v>
      </c>
      <c r="B30" t="s">
        <v>12</v>
      </c>
      <c r="C30">
        <v>0</v>
      </c>
      <c r="D30">
        <v>30720</v>
      </c>
      <c r="E30">
        <v>30669</v>
      </c>
      <c r="F30">
        <v>51</v>
      </c>
      <c r="G30">
        <v>100</v>
      </c>
      <c r="H30">
        <v>30720</v>
      </c>
      <c r="I30">
        <v>0</v>
      </c>
      <c r="J30" t="s">
        <v>1</v>
      </c>
      <c r="K30" t="s">
        <v>13</v>
      </c>
      <c r="L30" s="8">
        <f>UnilabUsage[[#This Row],[Used-MB]]-F20</f>
        <v>-245</v>
      </c>
      <c r="M30">
        <f>UnilabUsage[[#This Row],[Max]]-UnilabUsage[[#This Row],[Used-MB]]</f>
        <v>30669</v>
      </c>
      <c r="N30" s="5">
        <f>IF($L30&gt;0,UnilabUsage[[#This Row],[Free-of-Max]]/UnilabUsage[[#This Row],[Usage-Delta-MB]],UnilabUsage[[#This Row],[Free-of-Max]])</f>
        <v>30669</v>
      </c>
      <c r="R30" s="3">
        <v>44438</v>
      </c>
      <c r="S30" t="s">
        <v>3</v>
      </c>
      <c r="T30">
        <v>98</v>
      </c>
      <c r="U30">
        <v>377328</v>
      </c>
      <c r="V30">
        <v>7463</v>
      </c>
      <c r="W30">
        <v>369865</v>
      </c>
      <c r="X30">
        <v>2</v>
      </c>
      <c r="Y30">
        <v>393216</v>
      </c>
      <c r="Z30">
        <v>94</v>
      </c>
      <c r="AA30" t="s">
        <v>1</v>
      </c>
      <c r="AB30" t="s">
        <v>2</v>
      </c>
      <c r="AC30" s="8">
        <v>322</v>
      </c>
      <c r="AD30">
        <v>23351</v>
      </c>
      <c r="AE30" s="5">
        <v>72.518633540372676</v>
      </c>
      <c r="AI30" s="3">
        <v>44438</v>
      </c>
      <c r="AJ30" t="s">
        <v>8</v>
      </c>
      <c r="AK30">
        <v>93</v>
      </c>
      <c r="AL30">
        <v>262144</v>
      </c>
      <c r="AM30">
        <v>19070</v>
      </c>
      <c r="AN30">
        <v>243074</v>
      </c>
      <c r="AO30">
        <v>7</v>
      </c>
      <c r="AP30">
        <v>262144</v>
      </c>
      <c r="AQ30">
        <v>93</v>
      </c>
      <c r="AR30" t="s">
        <v>1</v>
      </c>
      <c r="AS30" t="s">
        <v>2</v>
      </c>
      <c r="AT30" s="8">
        <v>250</v>
      </c>
      <c r="AU30">
        <v>19070</v>
      </c>
      <c r="AV30" s="5">
        <v>76.28</v>
      </c>
    </row>
    <row r="31" spans="1:48" x14ac:dyDescent="0.25">
      <c r="A31" s="3">
        <v>44256</v>
      </c>
      <c r="B31" t="s">
        <v>9</v>
      </c>
      <c r="C31">
        <v>1</v>
      </c>
      <c r="D31">
        <v>10440</v>
      </c>
      <c r="E31">
        <v>10327</v>
      </c>
      <c r="F31">
        <v>113</v>
      </c>
      <c r="G31">
        <v>99</v>
      </c>
      <c r="H31">
        <v>32768</v>
      </c>
      <c r="I31">
        <v>0</v>
      </c>
      <c r="J31" t="s">
        <v>1</v>
      </c>
      <c r="K31" t="s">
        <v>10</v>
      </c>
      <c r="L31" s="8">
        <f>UnilabUsage[[#This Row],[Used-MB]]-F21</f>
        <v>-28</v>
      </c>
      <c r="M31">
        <f>UnilabUsage[[#This Row],[Max]]-UnilabUsage[[#This Row],[Used-MB]]</f>
        <v>32655</v>
      </c>
      <c r="N31" s="5">
        <f>IF($L31&gt;0,UnilabUsage[[#This Row],[Free-of-Max]]/UnilabUsage[[#This Row],[Usage-Delta-MB]],UnilabUsage[[#This Row],[Free-of-Max]])</f>
        <v>32655</v>
      </c>
      <c r="R31" s="3">
        <v>44445</v>
      </c>
      <c r="S31" t="s">
        <v>3</v>
      </c>
      <c r="T31">
        <v>98</v>
      </c>
      <c r="U31">
        <v>377328</v>
      </c>
      <c r="V31">
        <v>6910</v>
      </c>
      <c r="W31">
        <v>370418</v>
      </c>
      <c r="X31">
        <v>2</v>
      </c>
      <c r="Y31">
        <v>393216</v>
      </c>
      <c r="Z31">
        <v>94</v>
      </c>
      <c r="AA31" t="s">
        <v>1</v>
      </c>
      <c r="AB31" t="s">
        <v>2</v>
      </c>
      <c r="AC31" s="8">
        <v>553</v>
      </c>
      <c r="AD31">
        <v>22798</v>
      </c>
      <c r="AE31" s="5">
        <v>41.226039783001809</v>
      </c>
      <c r="AI31" s="3">
        <v>44445</v>
      </c>
      <c r="AJ31" t="s">
        <v>8</v>
      </c>
      <c r="AK31">
        <v>93</v>
      </c>
      <c r="AL31">
        <v>262144</v>
      </c>
      <c r="AM31">
        <v>18644</v>
      </c>
      <c r="AN31">
        <v>243500</v>
      </c>
      <c r="AO31">
        <v>7</v>
      </c>
      <c r="AP31">
        <v>262144</v>
      </c>
      <c r="AQ31">
        <v>93</v>
      </c>
      <c r="AR31" t="s">
        <v>1</v>
      </c>
      <c r="AS31" t="s">
        <v>2</v>
      </c>
      <c r="AT31" s="8">
        <v>426</v>
      </c>
      <c r="AU31">
        <v>18644</v>
      </c>
      <c r="AV31" s="5">
        <v>43.76525821596244</v>
      </c>
    </row>
    <row r="32" spans="1:48" x14ac:dyDescent="0.25">
      <c r="A32" s="3">
        <v>44263</v>
      </c>
      <c r="B32" t="s">
        <v>7</v>
      </c>
      <c r="C32">
        <v>96</v>
      </c>
      <c r="D32">
        <v>1090</v>
      </c>
      <c r="E32">
        <v>47</v>
      </c>
      <c r="F32">
        <v>1043</v>
      </c>
      <c r="G32">
        <v>4</v>
      </c>
      <c r="H32">
        <v>32768</v>
      </c>
      <c r="I32">
        <v>3</v>
      </c>
      <c r="J32" t="s">
        <v>1</v>
      </c>
      <c r="K32" t="s">
        <v>2</v>
      </c>
      <c r="L32" s="8">
        <f>UnilabUsage[[#This Row],[Used-MB]]-F22</f>
        <v>8</v>
      </c>
      <c r="M32">
        <f>UnilabUsage[[#This Row],[Max]]-UnilabUsage[[#This Row],[Used-MB]]</f>
        <v>31725</v>
      </c>
      <c r="N32" s="5">
        <f>IF($L32&gt;0,UnilabUsage[[#This Row],[Free-of-Max]]/UnilabUsage[[#This Row],[Usage-Delta-MB]],UnilabUsage[[#This Row],[Free-of-Max]])</f>
        <v>3965.625</v>
      </c>
      <c r="R32" s="3">
        <v>44452</v>
      </c>
      <c r="S32" t="s">
        <v>3</v>
      </c>
      <c r="T32">
        <v>98</v>
      </c>
      <c r="U32">
        <v>377328</v>
      </c>
      <c r="V32">
        <v>6379</v>
      </c>
      <c r="W32">
        <v>370949</v>
      </c>
      <c r="X32">
        <v>2</v>
      </c>
      <c r="Y32">
        <v>393216</v>
      </c>
      <c r="Z32">
        <v>94</v>
      </c>
      <c r="AA32" t="s">
        <v>1</v>
      </c>
      <c r="AB32" t="s">
        <v>2</v>
      </c>
      <c r="AC32" s="8">
        <v>531</v>
      </c>
      <c r="AD32">
        <v>22267</v>
      </c>
      <c r="AE32" s="5">
        <v>41.934086629001882</v>
      </c>
      <c r="AI32" s="3">
        <v>44452</v>
      </c>
      <c r="AJ32" t="s">
        <v>8</v>
      </c>
      <c r="AK32">
        <v>93</v>
      </c>
      <c r="AL32">
        <v>262144</v>
      </c>
      <c r="AM32">
        <v>18300</v>
      </c>
      <c r="AN32">
        <v>243844</v>
      </c>
      <c r="AO32">
        <v>7</v>
      </c>
      <c r="AP32">
        <v>262144</v>
      </c>
      <c r="AQ32">
        <v>93</v>
      </c>
      <c r="AR32" t="s">
        <v>1</v>
      </c>
      <c r="AS32" t="s">
        <v>2</v>
      </c>
      <c r="AT32" s="8">
        <v>344</v>
      </c>
      <c r="AU32">
        <v>18300</v>
      </c>
      <c r="AV32" s="5">
        <v>53.197674418604649</v>
      </c>
    </row>
    <row r="33" spans="1:48" x14ac:dyDescent="0.25">
      <c r="A33" s="3">
        <v>44263</v>
      </c>
      <c r="B33" t="s">
        <v>0</v>
      </c>
      <c r="C33">
        <v>99</v>
      </c>
      <c r="D33">
        <v>15000</v>
      </c>
      <c r="E33">
        <v>79</v>
      </c>
      <c r="F33">
        <v>14921</v>
      </c>
      <c r="G33">
        <v>1</v>
      </c>
      <c r="H33">
        <v>32768</v>
      </c>
      <c r="I33">
        <v>46</v>
      </c>
      <c r="J33" t="s">
        <v>1</v>
      </c>
      <c r="K33" t="s">
        <v>2</v>
      </c>
      <c r="L33" s="8">
        <f>UnilabUsage[[#This Row],[Used-MB]]-F23</f>
        <v>64</v>
      </c>
      <c r="M33">
        <f>UnilabUsage[[#This Row],[Max]]-UnilabUsage[[#This Row],[Used-MB]]</f>
        <v>17847</v>
      </c>
      <c r="N33" s="5">
        <f>IF($L33&gt;0,UnilabUsage[[#This Row],[Free-of-Max]]/UnilabUsage[[#This Row],[Usage-Delta-MB]],UnilabUsage[[#This Row],[Free-of-Max]])</f>
        <v>278.859375</v>
      </c>
      <c r="R33" s="3">
        <v>44459</v>
      </c>
      <c r="S33" t="s">
        <v>3</v>
      </c>
      <c r="T33">
        <v>98</v>
      </c>
      <c r="U33">
        <v>377328</v>
      </c>
      <c r="V33">
        <v>5768</v>
      </c>
      <c r="W33">
        <v>371559</v>
      </c>
      <c r="X33">
        <v>2</v>
      </c>
      <c r="Y33">
        <v>393216</v>
      </c>
      <c r="Z33">
        <v>94</v>
      </c>
      <c r="AA33" t="s">
        <v>1</v>
      </c>
      <c r="AB33" t="s">
        <v>2</v>
      </c>
      <c r="AC33" s="8">
        <v>610</v>
      </c>
      <c r="AD33">
        <v>21657</v>
      </c>
      <c r="AE33" s="5">
        <v>35.503278688524588</v>
      </c>
      <c r="AI33" s="3">
        <v>44459</v>
      </c>
      <c r="AJ33" t="s">
        <v>8</v>
      </c>
      <c r="AK33">
        <v>93</v>
      </c>
      <c r="AL33">
        <v>262144</v>
      </c>
      <c r="AM33">
        <v>17705</v>
      </c>
      <c r="AN33">
        <v>244439</v>
      </c>
      <c r="AO33">
        <v>7</v>
      </c>
      <c r="AP33">
        <v>262144</v>
      </c>
      <c r="AQ33">
        <v>93</v>
      </c>
      <c r="AR33" t="s">
        <v>1</v>
      </c>
      <c r="AS33" t="s">
        <v>2</v>
      </c>
      <c r="AT33" s="8">
        <v>595</v>
      </c>
      <c r="AU33">
        <v>17705</v>
      </c>
      <c r="AV33" s="5">
        <v>29.756302521008404</v>
      </c>
    </row>
    <row r="34" spans="1:48" x14ac:dyDescent="0.25">
      <c r="A34" s="3">
        <v>44263</v>
      </c>
      <c r="B34" t="s">
        <v>11</v>
      </c>
      <c r="C34">
        <v>1</v>
      </c>
      <c r="D34">
        <v>100</v>
      </c>
      <c r="E34">
        <v>99</v>
      </c>
      <c r="F34">
        <v>1</v>
      </c>
      <c r="G34">
        <v>99</v>
      </c>
      <c r="H34">
        <v>32768</v>
      </c>
      <c r="I34">
        <v>0</v>
      </c>
      <c r="J34" t="s">
        <v>1</v>
      </c>
      <c r="K34" t="s">
        <v>2</v>
      </c>
      <c r="L34" s="8">
        <f>UnilabUsage[[#This Row],[Used-MB]]-F24</f>
        <v>0</v>
      </c>
      <c r="M34">
        <f>UnilabUsage[[#This Row],[Max]]-UnilabUsage[[#This Row],[Used-MB]]</f>
        <v>32767</v>
      </c>
      <c r="N34" s="5">
        <f>IF($L34&gt;0,UnilabUsage[[#This Row],[Free-of-Max]]/UnilabUsage[[#This Row],[Usage-Delta-MB]],UnilabUsage[[#This Row],[Free-of-Max]])</f>
        <v>32767</v>
      </c>
      <c r="R34" s="3">
        <v>44469</v>
      </c>
      <c r="S34" t="s">
        <v>3</v>
      </c>
      <c r="T34">
        <v>99</v>
      </c>
      <c r="U34">
        <v>377328</v>
      </c>
      <c r="V34">
        <v>4958</v>
      </c>
      <c r="W34">
        <v>372370</v>
      </c>
      <c r="X34">
        <v>1</v>
      </c>
      <c r="Y34">
        <v>393216</v>
      </c>
      <c r="Z34">
        <v>95</v>
      </c>
      <c r="AA34" t="s">
        <v>1</v>
      </c>
      <c r="AB34" t="s">
        <v>2</v>
      </c>
      <c r="AC34" s="8">
        <v>811</v>
      </c>
      <c r="AD34">
        <v>20846</v>
      </c>
      <c r="AE34" s="5">
        <v>25.704069050554871</v>
      </c>
      <c r="AI34" s="3">
        <v>44469</v>
      </c>
      <c r="AJ34" t="s">
        <v>8</v>
      </c>
      <c r="AK34">
        <v>93</v>
      </c>
      <c r="AL34">
        <v>262144</v>
      </c>
      <c r="AM34">
        <v>17172</v>
      </c>
      <c r="AN34">
        <v>244972</v>
      </c>
      <c r="AO34">
        <v>7</v>
      </c>
      <c r="AP34">
        <v>262144</v>
      </c>
      <c r="AQ34">
        <v>93</v>
      </c>
      <c r="AR34" t="s">
        <v>1</v>
      </c>
      <c r="AS34" t="s">
        <v>2</v>
      </c>
      <c r="AT34" s="8">
        <v>533</v>
      </c>
      <c r="AU34">
        <v>17172</v>
      </c>
      <c r="AV34" s="5">
        <v>32.217636022514071</v>
      </c>
    </row>
    <row r="35" spans="1:48" x14ac:dyDescent="0.25">
      <c r="A35" s="3">
        <v>44263</v>
      </c>
      <c r="B35" t="s">
        <v>6</v>
      </c>
      <c r="C35">
        <v>95</v>
      </c>
      <c r="D35">
        <v>6385</v>
      </c>
      <c r="E35">
        <v>311</v>
      </c>
      <c r="F35">
        <v>6075</v>
      </c>
      <c r="G35">
        <v>5</v>
      </c>
      <c r="H35">
        <v>32768</v>
      </c>
      <c r="I35">
        <v>19</v>
      </c>
      <c r="J35" t="s">
        <v>1</v>
      </c>
      <c r="K35" t="s">
        <v>2</v>
      </c>
      <c r="L35" s="8">
        <f>UnilabUsage[[#This Row],[Used-MB]]-F25</f>
        <v>17</v>
      </c>
      <c r="M35">
        <f>UnilabUsage[[#This Row],[Max]]-UnilabUsage[[#This Row],[Used-MB]]</f>
        <v>26693</v>
      </c>
      <c r="N35" s="5">
        <f>IF($L35&gt;0,UnilabUsage[[#This Row],[Free-of-Max]]/UnilabUsage[[#This Row],[Usage-Delta-MB]],UnilabUsage[[#This Row],[Free-of-Max]])</f>
        <v>1570.1764705882354</v>
      </c>
      <c r="R35" s="3">
        <v>44473</v>
      </c>
      <c r="S35" t="s">
        <v>3</v>
      </c>
      <c r="T35">
        <v>99</v>
      </c>
      <c r="U35">
        <v>377328</v>
      </c>
      <c r="V35">
        <v>4830</v>
      </c>
      <c r="W35">
        <v>372498</v>
      </c>
      <c r="X35">
        <v>1</v>
      </c>
      <c r="Y35">
        <v>393216</v>
      </c>
      <c r="Z35">
        <v>95</v>
      </c>
      <c r="AA35" t="s">
        <v>1</v>
      </c>
      <c r="AB35" t="s">
        <v>2</v>
      </c>
      <c r="AC35" s="8">
        <v>128</v>
      </c>
      <c r="AD35">
        <v>20718</v>
      </c>
      <c r="AE35" s="5">
        <v>161.859375</v>
      </c>
      <c r="AI35" s="3">
        <v>44473</v>
      </c>
      <c r="AJ35" t="s">
        <v>8</v>
      </c>
      <c r="AK35">
        <v>93</v>
      </c>
      <c r="AL35">
        <v>262144</v>
      </c>
      <c r="AM35">
        <v>17108</v>
      </c>
      <c r="AN35">
        <v>245036</v>
      </c>
      <c r="AO35">
        <v>7</v>
      </c>
      <c r="AP35">
        <v>262144</v>
      </c>
      <c r="AQ35">
        <v>93</v>
      </c>
      <c r="AR35" t="s">
        <v>1</v>
      </c>
      <c r="AS35" t="s">
        <v>2</v>
      </c>
      <c r="AT35" s="8">
        <v>64</v>
      </c>
      <c r="AU35">
        <v>17108</v>
      </c>
      <c r="AV35" s="5">
        <v>267.3125</v>
      </c>
    </row>
    <row r="36" spans="1:48" x14ac:dyDescent="0.25">
      <c r="A36" s="3">
        <v>44263</v>
      </c>
      <c r="B36" t="s">
        <v>3</v>
      </c>
      <c r="C36">
        <v>99</v>
      </c>
      <c r="D36">
        <v>360184</v>
      </c>
      <c r="E36">
        <v>3012</v>
      </c>
      <c r="F36">
        <v>357172</v>
      </c>
      <c r="G36">
        <v>1</v>
      </c>
      <c r="H36">
        <v>393216</v>
      </c>
      <c r="I36">
        <v>91</v>
      </c>
      <c r="J36" t="s">
        <v>1</v>
      </c>
      <c r="K36" t="s">
        <v>2</v>
      </c>
      <c r="L36" s="8">
        <f>UnilabUsage[[#This Row],[Used-MB]]-F26</f>
        <v>763</v>
      </c>
      <c r="M36">
        <f>UnilabUsage[[#This Row],[Max]]-UnilabUsage[[#This Row],[Used-MB]]</f>
        <v>36044</v>
      </c>
      <c r="N36" s="5">
        <f>IF($L36&gt;0,UnilabUsage[[#This Row],[Free-of-Max]]/UnilabUsage[[#This Row],[Usage-Delta-MB]],UnilabUsage[[#This Row],[Free-of-Max]])</f>
        <v>47.239842726081257</v>
      </c>
      <c r="R36" s="3">
        <v>44480</v>
      </c>
      <c r="S36" t="s">
        <v>3</v>
      </c>
      <c r="T36">
        <v>99</v>
      </c>
      <c r="U36">
        <v>377328</v>
      </c>
      <c r="V36">
        <v>4476</v>
      </c>
      <c r="W36">
        <v>372852</v>
      </c>
      <c r="X36">
        <v>1</v>
      </c>
      <c r="Y36">
        <v>393216</v>
      </c>
      <c r="Z36">
        <v>95</v>
      </c>
      <c r="AA36" t="s">
        <v>1</v>
      </c>
      <c r="AB36" t="s">
        <v>2</v>
      </c>
      <c r="AC36" s="8">
        <v>354</v>
      </c>
      <c r="AD36">
        <v>20364</v>
      </c>
      <c r="AE36" s="5">
        <v>57.525423728813557</v>
      </c>
      <c r="AI36" s="3">
        <v>44480</v>
      </c>
      <c r="AJ36" t="s">
        <v>8</v>
      </c>
      <c r="AK36">
        <v>94</v>
      </c>
      <c r="AL36">
        <v>262144</v>
      </c>
      <c r="AM36">
        <v>16559</v>
      </c>
      <c r="AN36">
        <v>245585</v>
      </c>
      <c r="AO36">
        <v>6</v>
      </c>
      <c r="AP36">
        <v>262144</v>
      </c>
      <c r="AQ36">
        <v>94</v>
      </c>
      <c r="AR36" t="s">
        <v>1</v>
      </c>
      <c r="AS36" t="s">
        <v>2</v>
      </c>
      <c r="AT36" s="8">
        <v>549</v>
      </c>
      <c r="AU36">
        <v>16559</v>
      </c>
      <c r="AV36" s="5">
        <v>30.162112932604735</v>
      </c>
    </row>
    <row r="37" spans="1:48" x14ac:dyDescent="0.25">
      <c r="A37" s="3">
        <v>44263</v>
      </c>
      <c r="B37" t="s">
        <v>5</v>
      </c>
      <c r="C37">
        <v>95</v>
      </c>
      <c r="D37">
        <v>16100</v>
      </c>
      <c r="E37">
        <v>783</v>
      </c>
      <c r="F37">
        <v>15317</v>
      </c>
      <c r="G37">
        <v>5</v>
      </c>
      <c r="H37">
        <v>32768</v>
      </c>
      <c r="I37">
        <v>47</v>
      </c>
      <c r="J37" t="s">
        <v>1</v>
      </c>
      <c r="K37" t="s">
        <v>2</v>
      </c>
      <c r="L37" s="8">
        <f>UnilabUsage[[#This Row],[Used-MB]]-F27</f>
        <v>161</v>
      </c>
      <c r="M37">
        <f>UnilabUsage[[#This Row],[Max]]-UnilabUsage[[#This Row],[Used-MB]]</f>
        <v>17451</v>
      </c>
      <c r="N37" s="5">
        <f>IF($L37&gt;0,UnilabUsage[[#This Row],[Free-of-Max]]/UnilabUsage[[#This Row],[Usage-Delta-MB]],UnilabUsage[[#This Row],[Free-of-Max]])</f>
        <v>108.39130434782609</v>
      </c>
      <c r="R37" s="3">
        <v>44487</v>
      </c>
      <c r="S37" t="s">
        <v>3</v>
      </c>
      <c r="T37">
        <v>99</v>
      </c>
      <c r="U37">
        <v>377328</v>
      </c>
      <c r="V37">
        <v>3793</v>
      </c>
      <c r="W37">
        <v>373535</v>
      </c>
      <c r="X37">
        <v>1</v>
      </c>
      <c r="Y37">
        <v>393216</v>
      </c>
      <c r="Z37">
        <v>95</v>
      </c>
      <c r="AA37" t="s">
        <v>1</v>
      </c>
      <c r="AB37" t="s">
        <v>2</v>
      </c>
      <c r="AC37" s="8">
        <v>683</v>
      </c>
      <c r="AD37">
        <v>19681</v>
      </c>
      <c r="AE37" s="5">
        <v>28.815519765739385</v>
      </c>
      <c r="AI37" s="3">
        <v>44487</v>
      </c>
      <c r="AJ37" t="s">
        <v>8</v>
      </c>
      <c r="AK37">
        <v>94</v>
      </c>
      <c r="AL37">
        <v>262144</v>
      </c>
      <c r="AM37">
        <v>16101</v>
      </c>
      <c r="AN37">
        <v>246043</v>
      </c>
      <c r="AO37">
        <v>6</v>
      </c>
      <c r="AP37">
        <v>262144</v>
      </c>
      <c r="AQ37">
        <v>94</v>
      </c>
      <c r="AR37" t="s">
        <v>1</v>
      </c>
      <c r="AS37" t="s">
        <v>2</v>
      </c>
      <c r="AT37" s="8">
        <v>458</v>
      </c>
      <c r="AU37">
        <v>16101</v>
      </c>
      <c r="AV37" s="5">
        <v>35.155021834061138</v>
      </c>
    </row>
    <row r="38" spans="1:48" x14ac:dyDescent="0.25">
      <c r="A38" s="3">
        <v>44263</v>
      </c>
      <c r="B38" t="s">
        <v>8</v>
      </c>
      <c r="C38">
        <v>88</v>
      </c>
      <c r="D38">
        <v>262144</v>
      </c>
      <c r="E38">
        <v>30928</v>
      </c>
      <c r="F38">
        <v>231216</v>
      </c>
      <c r="G38">
        <v>12</v>
      </c>
      <c r="H38">
        <v>262144</v>
      </c>
      <c r="I38">
        <v>88</v>
      </c>
      <c r="J38" t="s">
        <v>1</v>
      </c>
      <c r="K38" t="s">
        <v>2</v>
      </c>
      <c r="L38" s="8">
        <f>UnilabUsage[[#This Row],[Used-MB]]-F28</f>
        <v>462</v>
      </c>
      <c r="M38">
        <f>UnilabUsage[[#This Row],[Max]]-UnilabUsage[[#This Row],[Used-MB]]</f>
        <v>30928</v>
      </c>
      <c r="N38" s="5">
        <f>IF($L38&gt;0,UnilabUsage[[#This Row],[Free-of-Max]]/UnilabUsage[[#This Row],[Usage-Delta-MB]],UnilabUsage[[#This Row],[Free-of-Max]])</f>
        <v>66.943722943722946</v>
      </c>
      <c r="R38" s="3">
        <v>44494</v>
      </c>
      <c r="S38" t="s">
        <v>3</v>
      </c>
      <c r="T38">
        <v>99</v>
      </c>
      <c r="U38">
        <v>377328</v>
      </c>
      <c r="V38">
        <v>3314</v>
      </c>
      <c r="W38">
        <v>374014</v>
      </c>
      <c r="X38">
        <v>1</v>
      </c>
      <c r="Y38">
        <v>393216</v>
      </c>
      <c r="Z38">
        <v>95</v>
      </c>
      <c r="AA38" t="s">
        <v>1</v>
      </c>
      <c r="AB38" t="s">
        <v>2</v>
      </c>
      <c r="AC38" s="8">
        <v>479</v>
      </c>
      <c r="AD38">
        <v>19202</v>
      </c>
      <c r="AE38" s="5">
        <v>40.087682672233818</v>
      </c>
      <c r="AI38" s="3">
        <v>44494</v>
      </c>
      <c r="AJ38" t="s">
        <v>8</v>
      </c>
      <c r="AK38">
        <v>94</v>
      </c>
      <c r="AL38">
        <v>262144</v>
      </c>
      <c r="AM38">
        <v>15636</v>
      </c>
      <c r="AN38">
        <v>246508</v>
      </c>
      <c r="AO38">
        <v>6</v>
      </c>
      <c r="AP38">
        <v>262144</v>
      </c>
      <c r="AQ38">
        <v>94</v>
      </c>
      <c r="AR38" t="s">
        <v>1</v>
      </c>
      <c r="AS38" t="s">
        <v>2</v>
      </c>
      <c r="AT38" s="8">
        <v>465</v>
      </c>
      <c r="AU38">
        <v>15636</v>
      </c>
      <c r="AV38" s="5">
        <v>33.625806451612902</v>
      </c>
    </row>
    <row r="39" spans="1:48" x14ac:dyDescent="0.25">
      <c r="A39" s="3">
        <v>44263</v>
      </c>
      <c r="B39" t="s">
        <v>4</v>
      </c>
      <c r="C39">
        <v>97</v>
      </c>
      <c r="D39">
        <v>74709</v>
      </c>
      <c r="E39">
        <v>2420</v>
      </c>
      <c r="F39">
        <v>72289</v>
      </c>
      <c r="G39">
        <v>3</v>
      </c>
      <c r="H39">
        <v>98304</v>
      </c>
      <c r="I39">
        <v>74</v>
      </c>
      <c r="J39" t="s">
        <v>1</v>
      </c>
      <c r="K39" t="s">
        <v>2</v>
      </c>
      <c r="L39" s="8">
        <f>UnilabUsage[[#This Row],[Used-MB]]-F29</f>
        <v>328</v>
      </c>
      <c r="M39">
        <f>UnilabUsage[[#This Row],[Max]]-UnilabUsage[[#This Row],[Used-MB]]</f>
        <v>26015</v>
      </c>
      <c r="N39" s="5">
        <f>IF($L39&gt;0,UnilabUsage[[#This Row],[Free-of-Max]]/UnilabUsage[[#This Row],[Usage-Delta-MB]],UnilabUsage[[#This Row],[Free-of-Max]])</f>
        <v>79.314024390243901</v>
      </c>
      <c r="R39" s="3">
        <v>44501</v>
      </c>
      <c r="S39" t="s">
        <v>3</v>
      </c>
      <c r="T39">
        <v>99</v>
      </c>
      <c r="U39">
        <v>377328</v>
      </c>
      <c r="V39">
        <v>2846</v>
      </c>
      <c r="W39">
        <v>374482</v>
      </c>
      <c r="X39">
        <v>1</v>
      </c>
      <c r="Y39">
        <v>393216</v>
      </c>
      <c r="Z39">
        <v>95</v>
      </c>
      <c r="AA39" t="s">
        <v>1</v>
      </c>
      <c r="AB39" t="s">
        <v>2</v>
      </c>
      <c r="AC39" s="8">
        <v>468</v>
      </c>
      <c r="AD39">
        <v>18734</v>
      </c>
      <c r="AE39" s="5">
        <v>40.029914529914528</v>
      </c>
      <c r="AI39" s="3">
        <v>44501</v>
      </c>
      <c r="AJ39" t="s">
        <v>8</v>
      </c>
      <c r="AK39">
        <v>94</v>
      </c>
      <c r="AL39">
        <v>262144</v>
      </c>
      <c r="AM39">
        <v>15206</v>
      </c>
      <c r="AN39">
        <v>246938</v>
      </c>
      <c r="AO39">
        <v>6</v>
      </c>
      <c r="AP39">
        <v>262144</v>
      </c>
      <c r="AQ39">
        <v>94</v>
      </c>
      <c r="AR39" t="s">
        <v>1</v>
      </c>
      <c r="AS39" t="s">
        <v>2</v>
      </c>
      <c r="AT39" s="8">
        <v>430</v>
      </c>
      <c r="AU39">
        <v>15206</v>
      </c>
      <c r="AV39" s="5">
        <v>35.36279069767442</v>
      </c>
    </row>
    <row r="40" spans="1:48" x14ac:dyDescent="0.25">
      <c r="A40" s="3">
        <v>44263</v>
      </c>
      <c r="B40" t="s">
        <v>12</v>
      </c>
      <c r="C40">
        <v>0</v>
      </c>
      <c r="D40">
        <v>30720</v>
      </c>
      <c r="E40">
        <v>30628</v>
      </c>
      <c r="F40">
        <v>92</v>
      </c>
      <c r="G40">
        <v>100</v>
      </c>
      <c r="H40">
        <v>30720</v>
      </c>
      <c r="I40">
        <v>0</v>
      </c>
      <c r="J40" t="s">
        <v>1</v>
      </c>
      <c r="K40" t="s">
        <v>13</v>
      </c>
      <c r="L40" s="8">
        <f>UnilabUsage[[#This Row],[Used-MB]]-F30</f>
        <v>41</v>
      </c>
      <c r="M40">
        <f>UnilabUsage[[#This Row],[Max]]-UnilabUsage[[#This Row],[Used-MB]]</f>
        <v>30628</v>
      </c>
      <c r="N40" s="5">
        <f>IF($L40&gt;0,UnilabUsage[[#This Row],[Free-of-Max]]/UnilabUsage[[#This Row],[Usage-Delta-MB]],UnilabUsage[[#This Row],[Free-of-Max]])</f>
        <v>747.02439024390242</v>
      </c>
      <c r="R40" s="3">
        <v>44508</v>
      </c>
      <c r="S40" t="s">
        <v>3</v>
      </c>
      <c r="T40">
        <v>99</v>
      </c>
      <c r="U40">
        <v>377328</v>
      </c>
      <c r="V40">
        <v>2230</v>
      </c>
      <c r="W40">
        <v>375098</v>
      </c>
      <c r="X40">
        <v>1</v>
      </c>
      <c r="Y40">
        <v>393216</v>
      </c>
      <c r="Z40">
        <v>95</v>
      </c>
      <c r="AA40" t="s">
        <v>1</v>
      </c>
      <c r="AB40" t="s">
        <v>2</v>
      </c>
      <c r="AC40" s="8">
        <v>616</v>
      </c>
      <c r="AD40">
        <v>18118</v>
      </c>
      <c r="AE40" s="5">
        <v>29.412337662337663</v>
      </c>
      <c r="AI40" s="3">
        <v>44508</v>
      </c>
      <c r="AJ40" t="s">
        <v>8</v>
      </c>
      <c r="AK40">
        <v>94</v>
      </c>
      <c r="AL40">
        <v>262144</v>
      </c>
      <c r="AM40">
        <v>14886</v>
      </c>
      <c r="AN40">
        <v>247258</v>
      </c>
      <c r="AO40">
        <v>6</v>
      </c>
      <c r="AP40">
        <v>262144</v>
      </c>
      <c r="AQ40">
        <v>94</v>
      </c>
      <c r="AR40" t="s">
        <v>1</v>
      </c>
      <c r="AS40" t="s">
        <v>2</v>
      </c>
      <c r="AT40" s="8">
        <v>320</v>
      </c>
      <c r="AU40">
        <v>14886</v>
      </c>
      <c r="AV40" s="5">
        <v>46.518749999999997</v>
      </c>
    </row>
    <row r="41" spans="1:48" x14ac:dyDescent="0.25">
      <c r="A41" s="3">
        <v>44263</v>
      </c>
      <c r="B41" t="s">
        <v>9</v>
      </c>
      <c r="C41">
        <v>1</v>
      </c>
      <c r="D41">
        <v>10440</v>
      </c>
      <c r="E41">
        <v>10330</v>
      </c>
      <c r="F41">
        <v>110</v>
      </c>
      <c r="G41">
        <v>99</v>
      </c>
      <c r="H41">
        <v>32768</v>
      </c>
      <c r="I41">
        <v>0</v>
      </c>
      <c r="J41" t="s">
        <v>1</v>
      </c>
      <c r="K41" t="s">
        <v>10</v>
      </c>
      <c r="L41" s="8">
        <f>UnilabUsage[[#This Row],[Used-MB]]-F31</f>
        <v>-3</v>
      </c>
      <c r="M41">
        <f>UnilabUsage[[#This Row],[Max]]-UnilabUsage[[#This Row],[Used-MB]]</f>
        <v>32658</v>
      </c>
      <c r="N41" s="5">
        <f>IF($L41&gt;0,UnilabUsage[[#This Row],[Free-of-Max]]/UnilabUsage[[#This Row],[Usage-Delta-MB]],UnilabUsage[[#This Row],[Free-of-Max]])</f>
        <v>32658</v>
      </c>
      <c r="R41" s="3">
        <v>44515</v>
      </c>
      <c r="S41" t="s">
        <v>3</v>
      </c>
      <c r="T41">
        <v>100</v>
      </c>
      <c r="U41">
        <v>377328</v>
      </c>
      <c r="V41">
        <v>1748</v>
      </c>
      <c r="W41">
        <v>375580</v>
      </c>
      <c r="X41">
        <v>0</v>
      </c>
      <c r="Y41">
        <v>393216</v>
      </c>
      <c r="Z41">
        <v>96</v>
      </c>
      <c r="AA41" t="s">
        <v>1</v>
      </c>
      <c r="AB41" t="s">
        <v>2</v>
      </c>
      <c r="AC41" s="8">
        <v>482</v>
      </c>
      <c r="AD41">
        <v>17636</v>
      </c>
      <c r="AE41" s="5">
        <v>36.589211618257259</v>
      </c>
      <c r="AI41" s="3">
        <v>44515</v>
      </c>
      <c r="AJ41" t="s">
        <v>8</v>
      </c>
      <c r="AK41">
        <v>94</v>
      </c>
      <c r="AL41">
        <v>262144</v>
      </c>
      <c r="AM41">
        <v>14610</v>
      </c>
      <c r="AN41">
        <v>247533</v>
      </c>
      <c r="AO41">
        <v>6</v>
      </c>
      <c r="AP41">
        <v>262144</v>
      </c>
      <c r="AQ41">
        <v>94</v>
      </c>
      <c r="AR41" t="s">
        <v>1</v>
      </c>
      <c r="AS41" t="s">
        <v>2</v>
      </c>
      <c r="AT41" s="8">
        <v>275</v>
      </c>
      <c r="AU41">
        <v>14611</v>
      </c>
      <c r="AV41" s="5">
        <v>53.130909090909093</v>
      </c>
    </row>
    <row r="42" spans="1:48" x14ac:dyDescent="0.25">
      <c r="A42" s="3">
        <v>44270</v>
      </c>
      <c r="B42" t="s">
        <v>7</v>
      </c>
      <c r="C42">
        <v>95</v>
      </c>
      <c r="D42">
        <v>1110</v>
      </c>
      <c r="E42">
        <v>59</v>
      </c>
      <c r="F42">
        <v>1051</v>
      </c>
      <c r="G42">
        <v>5</v>
      </c>
      <c r="H42">
        <v>32768</v>
      </c>
      <c r="I42">
        <v>3</v>
      </c>
      <c r="J42" t="s">
        <v>1</v>
      </c>
      <c r="K42" t="s">
        <v>2</v>
      </c>
      <c r="L42" s="8">
        <f>UnilabUsage[[#This Row],[Used-MB]]-F32</f>
        <v>8</v>
      </c>
      <c r="M42">
        <f>UnilabUsage[[#This Row],[Max]]-UnilabUsage[[#This Row],[Used-MB]]</f>
        <v>31717</v>
      </c>
      <c r="N42" s="5">
        <f>IF($L42&gt;0,UnilabUsage[[#This Row],[Free-of-Max]]/UnilabUsage[[#This Row],[Usage-Delta-MB]],UnilabUsage[[#This Row],[Free-of-Max]])</f>
        <v>3964.625</v>
      </c>
      <c r="R42" s="3">
        <v>44523</v>
      </c>
      <c r="S42" t="s">
        <v>3</v>
      </c>
      <c r="T42">
        <v>96</v>
      </c>
      <c r="U42">
        <v>393216</v>
      </c>
      <c r="V42">
        <v>16867</v>
      </c>
      <c r="W42">
        <v>376349</v>
      </c>
      <c r="X42">
        <v>4</v>
      </c>
      <c r="Y42">
        <v>393216</v>
      </c>
      <c r="Z42">
        <v>96</v>
      </c>
      <c r="AA42" t="s">
        <v>1</v>
      </c>
      <c r="AB42" t="s">
        <v>2</v>
      </c>
      <c r="AC42" s="8">
        <v>769</v>
      </c>
      <c r="AD42">
        <v>16867</v>
      </c>
      <c r="AE42" s="5">
        <v>21.933680104031211</v>
      </c>
      <c r="AI42" s="3">
        <v>44523</v>
      </c>
      <c r="AJ42" t="s">
        <v>8</v>
      </c>
      <c r="AK42">
        <v>95</v>
      </c>
      <c r="AL42">
        <v>262144</v>
      </c>
      <c r="AM42">
        <v>13965</v>
      </c>
      <c r="AN42">
        <v>248179</v>
      </c>
      <c r="AO42">
        <v>5</v>
      </c>
      <c r="AP42">
        <v>262144</v>
      </c>
      <c r="AQ42">
        <v>95</v>
      </c>
      <c r="AR42" t="s">
        <v>1</v>
      </c>
      <c r="AS42" t="s">
        <v>2</v>
      </c>
      <c r="AT42" s="8">
        <v>646</v>
      </c>
      <c r="AU42">
        <v>13965</v>
      </c>
      <c r="AV42" s="5">
        <v>21.617647058823529</v>
      </c>
    </row>
    <row r="43" spans="1:48" x14ac:dyDescent="0.25">
      <c r="A43" s="3">
        <v>44270</v>
      </c>
      <c r="B43" t="s">
        <v>0</v>
      </c>
      <c r="C43">
        <v>100</v>
      </c>
      <c r="D43">
        <v>15000</v>
      </c>
      <c r="E43">
        <v>15</v>
      </c>
      <c r="F43">
        <v>14985</v>
      </c>
      <c r="G43">
        <v>0</v>
      </c>
      <c r="H43">
        <v>32768</v>
      </c>
      <c r="I43">
        <v>46</v>
      </c>
      <c r="J43" t="s">
        <v>1</v>
      </c>
      <c r="K43" t="s">
        <v>2</v>
      </c>
      <c r="L43" s="8">
        <f>UnilabUsage[[#This Row],[Used-MB]]-F33</f>
        <v>64</v>
      </c>
      <c r="M43">
        <f>UnilabUsage[[#This Row],[Max]]-UnilabUsage[[#This Row],[Used-MB]]</f>
        <v>17783</v>
      </c>
      <c r="N43" s="5">
        <f>IF($L43&gt;0,UnilabUsage[[#This Row],[Free-of-Max]]/UnilabUsage[[#This Row],[Usage-Delta-MB]],UnilabUsage[[#This Row],[Free-of-Max]])</f>
        <v>277.859375</v>
      </c>
      <c r="R43" s="3">
        <v>44529</v>
      </c>
      <c r="S43" t="s">
        <v>3</v>
      </c>
      <c r="T43">
        <v>96</v>
      </c>
      <c r="U43">
        <v>393216</v>
      </c>
      <c r="V43">
        <v>16521</v>
      </c>
      <c r="W43">
        <v>376694</v>
      </c>
      <c r="X43">
        <v>4</v>
      </c>
      <c r="Y43">
        <v>393216</v>
      </c>
      <c r="Z43">
        <v>96</v>
      </c>
      <c r="AA43" t="s">
        <v>1</v>
      </c>
      <c r="AB43" t="s">
        <v>2</v>
      </c>
      <c r="AC43" s="8">
        <v>345</v>
      </c>
      <c r="AD43">
        <v>16522</v>
      </c>
      <c r="AE43" s="5">
        <v>47.889855072463767</v>
      </c>
      <c r="AI43" s="3">
        <v>44529</v>
      </c>
      <c r="AJ43" t="s">
        <v>8</v>
      </c>
      <c r="AK43">
        <v>95</v>
      </c>
      <c r="AL43">
        <v>262144</v>
      </c>
      <c r="AM43">
        <v>13562</v>
      </c>
      <c r="AN43">
        <v>248582</v>
      </c>
      <c r="AO43">
        <v>5</v>
      </c>
      <c r="AP43">
        <v>262144</v>
      </c>
      <c r="AQ43">
        <v>95</v>
      </c>
      <c r="AR43" t="s">
        <v>1</v>
      </c>
      <c r="AS43" t="s">
        <v>2</v>
      </c>
      <c r="AT43" s="8">
        <v>403</v>
      </c>
      <c r="AU43">
        <v>13562</v>
      </c>
      <c r="AV43" s="5">
        <v>33.652605459057071</v>
      </c>
    </row>
    <row r="44" spans="1:48" x14ac:dyDescent="0.25">
      <c r="A44" s="3">
        <v>44270</v>
      </c>
      <c r="B44" t="s">
        <v>11</v>
      </c>
      <c r="C44">
        <v>1</v>
      </c>
      <c r="D44">
        <v>100</v>
      </c>
      <c r="E44">
        <v>99</v>
      </c>
      <c r="F44">
        <v>1</v>
      </c>
      <c r="G44">
        <v>99</v>
      </c>
      <c r="H44">
        <v>32768</v>
      </c>
      <c r="I44">
        <v>0</v>
      </c>
      <c r="J44" t="s">
        <v>1</v>
      </c>
      <c r="K44" t="s">
        <v>2</v>
      </c>
      <c r="L44" s="8">
        <f>UnilabUsage[[#This Row],[Used-MB]]-F34</f>
        <v>0</v>
      </c>
      <c r="M44">
        <f>UnilabUsage[[#This Row],[Max]]-UnilabUsage[[#This Row],[Used-MB]]</f>
        <v>32767</v>
      </c>
      <c r="N44" s="5">
        <f>IF($L44&gt;0,UnilabUsage[[#This Row],[Free-of-Max]]/UnilabUsage[[#This Row],[Usage-Delta-MB]],UnilabUsage[[#This Row],[Free-of-Max]])</f>
        <v>32767</v>
      </c>
      <c r="R44" s="3">
        <v>44536</v>
      </c>
      <c r="S44" t="s">
        <v>3</v>
      </c>
      <c r="T44">
        <v>96</v>
      </c>
      <c r="U44">
        <v>393216</v>
      </c>
      <c r="V44">
        <v>16137</v>
      </c>
      <c r="W44">
        <v>377079</v>
      </c>
      <c r="X44">
        <v>4</v>
      </c>
      <c r="Y44">
        <v>393216</v>
      </c>
      <c r="Z44">
        <v>96</v>
      </c>
      <c r="AA44" t="s">
        <v>1</v>
      </c>
      <c r="AB44" t="s">
        <v>2</v>
      </c>
      <c r="AC44" s="8">
        <v>385</v>
      </c>
      <c r="AD44">
        <v>16137</v>
      </c>
      <c r="AE44" s="5">
        <v>41.914285714285711</v>
      </c>
      <c r="AI44" s="3">
        <v>44536</v>
      </c>
      <c r="AJ44" t="s">
        <v>8</v>
      </c>
      <c r="AK44">
        <v>95</v>
      </c>
      <c r="AL44">
        <v>262144</v>
      </c>
      <c r="AM44">
        <v>13017</v>
      </c>
      <c r="AN44">
        <v>249127</v>
      </c>
      <c r="AO44">
        <v>5</v>
      </c>
      <c r="AP44">
        <v>262144</v>
      </c>
      <c r="AQ44">
        <v>95</v>
      </c>
      <c r="AR44" t="s">
        <v>1</v>
      </c>
      <c r="AS44" t="s">
        <v>2</v>
      </c>
      <c r="AT44" s="8">
        <v>545</v>
      </c>
      <c r="AU44">
        <v>13017</v>
      </c>
      <c r="AV44" s="5">
        <v>23.884403669724772</v>
      </c>
    </row>
    <row r="45" spans="1:48" x14ac:dyDescent="0.25">
      <c r="A45" s="3">
        <v>44270</v>
      </c>
      <c r="B45" t="s">
        <v>6</v>
      </c>
      <c r="C45">
        <v>95</v>
      </c>
      <c r="D45">
        <v>6395</v>
      </c>
      <c r="E45">
        <v>310</v>
      </c>
      <c r="F45">
        <v>6085</v>
      </c>
      <c r="G45">
        <v>5</v>
      </c>
      <c r="H45">
        <v>32768</v>
      </c>
      <c r="I45">
        <v>19</v>
      </c>
      <c r="J45" t="s">
        <v>1</v>
      </c>
      <c r="K45" t="s">
        <v>2</v>
      </c>
      <c r="L45" s="8">
        <f>UnilabUsage[[#This Row],[Used-MB]]-F35</f>
        <v>10</v>
      </c>
      <c r="M45">
        <f>UnilabUsage[[#This Row],[Max]]-UnilabUsage[[#This Row],[Used-MB]]</f>
        <v>26683</v>
      </c>
      <c r="N45" s="5">
        <f>IF($L45&gt;0,UnilabUsage[[#This Row],[Free-of-Max]]/UnilabUsage[[#This Row],[Usage-Delta-MB]],UnilabUsage[[#This Row],[Free-of-Max]])</f>
        <v>2668.3</v>
      </c>
      <c r="R45" s="3">
        <v>44543</v>
      </c>
      <c r="S45" t="s">
        <v>3</v>
      </c>
      <c r="T45">
        <v>96</v>
      </c>
      <c r="U45">
        <v>393216</v>
      </c>
      <c r="V45">
        <v>15527</v>
      </c>
      <c r="W45">
        <v>377689</v>
      </c>
      <c r="X45">
        <v>4</v>
      </c>
      <c r="Y45">
        <v>393216</v>
      </c>
      <c r="Z45">
        <v>96</v>
      </c>
      <c r="AA45" t="s">
        <v>1</v>
      </c>
      <c r="AB45" t="s">
        <v>2</v>
      </c>
      <c r="AC45" s="8">
        <v>610</v>
      </c>
      <c r="AD45">
        <v>15527</v>
      </c>
      <c r="AE45" s="5">
        <v>25.454098360655738</v>
      </c>
      <c r="AI45" s="3">
        <v>44543</v>
      </c>
      <c r="AJ45" t="s">
        <v>8</v>
      </c>
      <c r="AK45">
        <v>95</v>
      </c>
      <c r="AL45">
        <v>262144</v>
      </c>
      <c r="AM45">
        <v>12717</v>
      </c>
      <c r="AN45">
        <v>249427</v>
      </c>
      <c r="AO45">
        <v>5</v>
      </c>
      <c r="AP45">
        <v>262144</v>
      </c>
      <c r="AQ45">
        <v>95</v>
      </c>
      <c r="AR45" t="s">
        <v>1</v>
      </c>
      <c r="AS45" t="s">
        <v>2</v>
      </c>
      <c r="AT45" s="8">
        <v>300</v>
      </c>
      <c r="AU45">
        <v>12717</v>
      </c>
      <c r="AV45" s="5">
        <v>42.39</v>
      </c>
    </row>
    <row r="46" spans="1:48" x14ac:dyDescent="0.25">
      <c r="A46" s="3">
        <v>44270</v>
      </c>
      <c r="B46" t="s">
        <v>3</v>
      </c>
      <c r="C46">
        <v>99</v>
      </c>
      <c r="D46">
        <v>360184</v>
      </c>
      <c r="E46">
        <v>2523</v>
      </c>
      <c r="F46">
        <v>357661</v>
      </c>
      <c r="G46">
        <v>1</v>
      </c>
      <c r="H46">
        <v>393216</v>
      </c>
      <c r="I46">
        <v>91</v>
      </c>
      <c r="J46" t="s">
        <v>1</v>
      </c>
      <c r="K46" t="s">
        <v>2</v>
      </c>
      <c r="L46" s="8">
        <f>UnilabUsage[[#This Row],[Used-MB]]-F36</f>
        <v>489</v>
      </c>
      <c r="M46">
        <f>UnilabUsage[[#This Row],[Max]]-UnilabUsage[[#This Row],[Used-MB]]</f>
        <v>35555</v>
      </c>
      <c r="N46" s="5">
        <f>IF($L46&gt;0,UnilabUsage[[#This Row],[Free-of-Max]]/UnilabUsage[[#This Row],[Usage-Delta-MB]],UnilabUsage[[#This Row],[Free-of-Max]])</f>
        <v>72.709611451942735</v>
      </c>
      <c r="R46" s="3">
        <v>44551</v>
      </c>
      <c r="S46" t="s">
        <v>3</v>
      </c>
      <c r="T46">
        <v>96</v>
      </c>
      <c r="U46">
        <v>393216</v>
      </c>
      <c r="V46">
        <v>14799</v>
      </c>
      <c r="W46">
        <v>378417</v>
      </c>
      <c r="X46">
        <v>4</v>
      </c>
      <c r="Y46">
        <v>393216</v>
      </c>
      <c r="Z46">
        <v>96</v>
      </c>
      <c r="AA46" t="s">
        <v>1</v>
      </c>
      <c r="AB46" t="s">
        <v>2</v>
      </c>
      <c r="AC46" s="8">
        <v>728</v>
      </c>
      <c r="AD46">
        <v>14799</v>
      </c>
      <c r="AE46" s="5">
        <v>20.328296703296704</v>
      </c>
      <c r="AI46" s="3">
        <v>44551</v>
      </c>
      <c r="AJ46" t="s">
        <v>8</v>
      </c>
      <c r="AK46">
        <v>95</v>
      </c>
      <c r="AL46">
        <v>262144</v>
      </c>
      <c r="AM46">
        <v>12204</v>
      </c>
      <c r="AN46">
        <v>249940</v>
      </c>
      <c r="AO46">
        <v>5</v>
      </c>
      <c r="AP46">
        <v>262144</v>
      </c>
      <c r="AQ46">
        <v>95</v>
      </c>
      <c r="AR46" t="s">
        <v>1</v>
      </c>
      <c r="AS46" t="s">
        <v>2</v>
      </c>
      <c r="AT46" s="8">
        <v>513</v>
      </c>
      <c r="AU46">
        <v>12204</v>
      </c>
      <c r="AV46" s="5">
        <v>23.789473684210527</v>
      </c>
    </row>
    <row r="47" spans="1:48" x14ac:dyDescent="0.25">
      <c r="A47" s="3">
        <v>44270</v>
      </c>
      <c r="B47" t="s">
        <v>5</v>
      </c>
      <c r="C47">
        <v>95</v>
      </c>
      <c r="D47">
        <v>16150</v>
      </c>
      <c r="E47">
        <v>816</v>
      </c>
      <c r="F47">
        <v>15334</v>
      </c>
      <c r="G47">
        <v>5</v>
      </c>
      <c r="H47">
        <v>32768</v>
      </c>
      <c r="I47">
        <v>47</v>
      </c>
      <c r="J47" t="s">
        <v>1</v>
      </c>
      <c r="K47" t="s">
        <v>2</v>
      </c>
      <c r="L47" s="8">
        <f>UnilabUsage[[#This Row],[Used-MB]]-F37</f>
        <v>17</v>
      </c>
      <c r="M47">
        <f>UnilabUsage[[#This Row],[Max]]-UnilabUsage[[#This Row],[Used-MB]]</f>
        <v>17434</v>
      </c>
      <c r="N47" s="5">
        <f>IF($L47&gt;0,UnilabUsage[[#This Row],[Free-of-Max]]/UnilabUsage[[#This Row],[Usage-Delta-MB]],UnilabUsage[[#This Row],[Free-of-Max]])</f>
        <v>1025.5294117647059</v>
      </c>
      <c r="R47" s="3">
        <v>44565</v>
      </c>
      <c r="S47" t="s">
        <v>3</v>
      </c>
      <c r="T47">
        <v>96</v>
      </c>
      <c r="U47">
        <v>393216</v>
      </c>
      <c r="V47">
        <v>14054</v>
      </c>
      <c r="W47">
        <v>379162</v>
      </c>
      <c r="X47">
        <v>4</v>
      </c>
      <c r="Y47">
        <v>393216</v>
      </c>
      <c r="Z47">
        <v>96</v>
      </c>
      <c r="AA47" t="s">
        <v>1</v>
      </c>
      <c r="AB47" t="s">
        <v>2</v>
      </c>
      <c r="AC47" s="8">
        <v>745</v>
      </c>
      <c r="AD47">
        <v>14054</v>
      </c>
      <c r="AE47" s="5">
        <v>18.864429530201342</v>
      </c>
      <c r="AI47" s="3">
        <v>44565</v>
      </c>
      <c r="AJ47" t="s">
        <v>8</v>
      </c>
      <c r="AK47">
        <v>96</v>
      </c>
      <c r="AL47">
        <v>262144</v>
      </c>
      <c r="AM47">
        <v>11527</v>
      </c>
      <c r="AN47">
        <v>250616</v>
      </c>
      <c r="AO47">
        <v>4</v>
      </c>
      <c r="AP47">
        <v>262144</v>
      </c>
      <c r="AQ47">
        <v>96</v>
      </c>
      <c r="AR47" t="s">
        <v>1</v>
      </c>
      <c r="AS47" t="s">
        <v>2</v>
      </c>
      <c r="AT47" s="8">
        <v>676</v>
      </c>
      <c r="AU47">
        <v>11528</v>
      </c>
      <c r="AV47" s="5">
        <v>17.053254437869821</v>
      </c>
    </row>
    <row r="48" spans="1:48" x14ac:dyDescent="0.25">
      <c r="A48" s="3">
        <v>44270</v>
      </c>
      <c r="B48" t="s">
        <v>8</v>
      </c>
      <c r="C48">
        <v>88</v>
      </c>
      <c r="D48">
        <v>262144</v>
      </c>
      <c r="E48">
        <v>30604</v>
      </c>
      <c r="F48">
        <v>231540</v>
      </c>
      <c r="G48">
        <v>12</v>
      </c>
      <c r="H48">
        <v>262144</v>
      </c>
      <c r="I48">
        <v>88</v>
      </c>
      <c r="J48" t="s">
        <v>1</v>
      </c>
      <c r="K48" t="s">
        <v>2</v>
      </c>
      <c r="L48" s="8">
        <f>UnilabUsage[[#This Row],[Used-MB]]-F38</f>
        <v>324</v>
      </c>
      <c r="M48">
        <f>UnilabUsage[[#This Row],[Max]]-UnilabUsage[[#This Row],[Used-MB]]</f>
        <v>30604</v>
      </c>
      <c r="N48" s="5">
        <f>IF($L48&gt;0,UnilabUsage[[#This Row],[Free-of-Max]]/UnilabUsage[[#This Row],[Usage-Delta-MB]],UnilabUsage[[#This Row],[Free-of-Max]])</f>
        <v>94.456790123456784</v>
      </c>
      <c r="R48" s="3">
        <v>44571</v>
      </c>
      <c r="S48" t="s">
        <v>3</v>
      </c>
      <c r="T48">
        <v>97</v>
      </c>
      <c r="U48">
        <v>393216</v>
      </c>
      <c r="V48">
        <v>13710</v>
      </c>
      <c r="W48">
        <v>379506</v>
      </c>
      <c r="X48">
        <v>3</v>
      </c>
      <c r="Y48">
        <v>393216</v>
      </c>
      <c r="Z48">
        <v>97</v>
      </c>
      <c r="AA48" t="s">
        <v>1</v>
      </c>
      <c r="AB48" t="s">
        <v>2</v>
      </c>
      <c r="AC48" s="8">
        <v>344</v>
      </c>
      <c r="AD48">
        <v>13710</v>
      </c>
      <c r="AE48" s="5">
        <v>39.854651162790695</v>
      </c>
      <c r="AI48" s="3">
        <v>44571</v>
      </c>
      <c r="AJ48" t="s">
        <v>8</v>
      </c>
      <c r="AK48">
        <v>96</v>
      </c>
      <c r="AL48">
        <v>262144</v>
      </c>
      <c r="AM48">
        <v>11159</v>
      </c>
      <c r="AN48">
        <v>250985</v>
      </c>
      <c r="AO48">
        <v>4</v>
      </c>
      <c r="AP48">
        <v>262144</v>
      </c>
      <c r="AQ48">
        <v>96</v>
      </c>
      <c r="AR48" t="s">
        <v>1</v>
      </c>
      <c r="AS48" t="s">
        <v>2</v>
      </c>
      <c r="AT48" s="8">
        <v>369</v>
      </c>
      <c r="AU48">
        <v>11159</v>
      </c>
      <c r="AV48" s="5">
        <v>30.241192411924118</v>
      </c>
    </row>
    <row r="49" spans="1:48" x14ac:dyDescent="0.25">
      <c r="A49" s="3">
        <v>44270</v>
      </c>
      <c r="B49" t="s">
        <v>4</v>
      </c>
      <c r="C49">
        <v>97</v>
      </c>
      <c r="D49">
        <v>74709</v>
      </c>
      <c r="E49">
        <v>2164</v>
      </c>
      <c r="F49">
        <v>72545</v>
      </c>
      <c r="G49">
        <v>3</v>
      </c>
      <c r="H49">
        <v>98304</v>
      </c>
      <c r="I49">
        <v>74</v>
      </c>
      <c r="J49" t="s">
        <v>1</v>
      </c>
      <c r="K49" t="s">
        <v>2</v>
      </c>
      <c r="L49" s="8">
        <f>UnilabUsage[[#This Row],[Used-MB]]-F39</f>
        <v>256</v>
      </c>
      <c r="M49">
        <f>UnilabUsage[[#This Row],[Max]]-UnilabUsage[[#This Row],[Used-MB]]</f>
        <v>25759</v>
      </c>
      <c r="N49" s="5">
        <f>IF($L49&gt;0,UnilabUsage[[#This Row],[Free-of-Max]]/UnilabUsage[[#This Row],[Usage-Delta-MB]],UnilabUsage[[#This Row],[Free-of-Max]])</f>
        <v>100.62109375</v>
      </c>
      <c r="R49" s="3">
        <v>44578</v>
      </c>
      <c r="S49" t="s">
        <v>3</v>
      </c>
      <c r="T49">
        <v>96</v>
      </c>
      <c r="U49">
        <v>393216</v>
      </c>
      <c r="V49">
        <v>14742</v>
      </c>
      <c r="W49">
        <v>378474</v>
      </c>
      <c r="X49">
        <v>4</v>
      </c>
      <c r="Y49">
        <v>393216</v>
      </c>
      <c r="Z49">
        <v>96</v>
      </c>
      <c r="AA49" t="s">
        <v>1</v>
      </c>
      <c r="AB49" t="s">
        <v>2</v>
      </c>
      <c r="AC49" s="8">
        <v>-1032</v>
      </c>
      <c r="AD49">
        <v>14742</v>
      </c>
      <c r="AE49" s="5">
        <v>14742</v>
      </c>
      <c r="AI49" s="3">
        <v>44578</v>
      </c>
      <c r="AJ49" t="s">
        <v>8</v>
      </c>
      <c r="AK49">
        <v>96</v>
      </c>
      <c r="AL49">
        <v>262144</v>
      </c>
      <c r="AM49">
        <v>10703</v>
      </c>
      <c r="AN49">
        <v>251441</v>
      </c>
      <c r="AO49">
        <v>4</v>
      </c>
      <c r="AP49">
        <v>262144</v>
      </c>
      <c r="AQ49">
        <v>96</v>
      </c>
      <c r="AR49" t="s">
        <v>1</v>
      </c>
      <c r="AS49" t="s">
        <v>2</v>
      </c>
      <c r="AT49" s="8">
        <v>456</v>
      </c>
      <c r="AU49">
        <v>10703</v>
      </c>
      <c r="AV49" s="5">
        <v>23.471491228070175</v>
      </c>
    </row>
    <row r="50" spans="1:48" x14ac:dyDescent="0.25">
      <c r="A50" s="3">
        <v>44270</v>
      </c>
      <c r="B50" t="s">
        <v>12</v>
      </c>
      <c r="C50">
        <v>0</v>
      </c>
      <c r="D50">
        <v>30720</v>
      </c>
      <c r="E50">
        <v>30676</v>
      </c>
      <c r="F50">
        <v>44</v>
      </c>
      <c r="G50">
        <v>100</v>
      </c>
      <c r="H50">
        <v>30720</v>
      </c>
      <c r="I50">
        <v>0</v>
      </c>
      <c r="J50" t="s">
        <v>1</v>
      </c>
      <c r="K50" t="s">
        <v>13</v>
      </c>
      <c r="L50" s="8">
        <f>UnilabUsage[[#This Row],[Used-MB]]-F40</f>
        <v>-48</v>
      </c>
      <c r="M50">
        <f>UnilabUsage[[#This Row],[Max]]-UnilabUsage[[#This Row],[Used-MB]]</f>
        <v>30676</v>
      </c>
      <c r="N50" s="5">
        <f>IF($L50&gt;0,UnilabUsage[[#This Row],[Free-of-Max]]/UnilabUsage[[#This Row],[Usage-Delta-MB]],UnilabUsage[[#This Row],[Free-of-Max]])</f>
        <v>30676</v>
      </c>
      <c r="R50" s="3">
        <v>44585</v>
      </c>
      <c r="S50" t="s">
        <v>3</v>
      </c>
      <c r="T50">
        <v>96</v>
      </c>
      <c r="U50">
        <v>413248</v>
      </c>
      <c r="V50">
        <v>15601</v>
      </c>
      <c r="W50">
        <v>397647</v>
      </c>
      <c r="X50">
        <v>4</v>
      </c>
      <c r="Y50">
        <v>425984</v>
      </c>
      <c r="Z50">
        <v>93</v>
      </c>
      <c r="AA50" t="s">
        <v>1</v>
      </c>
      <c r="AB50" t="s">
        <v>2</v>
      </c>
      <c r="AC50" s="8">
        <v>19173</v>
      </c>
      <c r="AD50">
        <v>28337</v>
      </c>
      <c r="AE50" s="5">
        <v>1.477963803265008</v>
      </c>
      <c r="AI50" s="3">
        <v>44585</v>
      </c>
      <c r="AJ50" t="s">
        <v>8</v>
      </c>
      <c r="AK50">
        <v>96</v>
      </c>
      <c r="AL50">
        <v>262144</v>
      </c>
      <c r="AM50">
        <v>9466</v>
      </c>
      <c r="AN50">
        <v>252678</v>
      </c>
      <c r="AO50">
        <v>4</v>
      </c>
      <c r="AP50">
        <v>262144</v>
      </c>
      <c r="AQ50">
        <v>96</v>
      </c>
      <c r="AR50" t="s">
        <v>1</v>
      </c>
      <c r="AS50" t="s">
        <v>2</v>
      </c>
      <c r="AT50" s="8">
        <v>1237</v>
      </c>
      <c r="AU50">
        <v>9466</v>
      </c>
      <c r="AV50" s="5">
        <v>7.6523848019401779</v>
      </c>
    </row>
    <row r="51" spans="1:48" x14ac:dyDescent="0.25">
      <c r="A51" s="3">
        <v>44270</v>
      </c>
      <c r="B51" t="s">
        <v>9</v>
      </c>
      <c r="C51">
        <v>1</v>
      </c>
      <c r="D51">
        <v>10440</v>
      </c>
      <c r="E51">
        <v>10335</v>
      </c>
      <c r="F51">
        <v>105</v>
      </c>
      <c r="G51">
        <v>99</v>
      </c>
      <c r="H51">
        <v>32768</v>
      </c>
      <c r="I51">
        <v>0</v>
      </c>
      <c r="J51" t="s">
        <v>1</v>
      </c>
      <c r="K51" t="s">
        <v>10</v>
      </c>
      <c r="L51" s="8">
        <f>UnilabUsage[[#This Row],[Used-MB]]-F41</f>
        <v>-5</v>
      </c>
      <c r="M51">
        <f>UnilabUsage[[#This Row],[Max]]-UnilabUsage[[#This Row],[Used-MB]]</f>
        <v>32663</v>
      </c>
      <c r="N51" s="5">
        <f>IF($L51&gt;0,UnilabUsage[[#This Row],[Free-of-Max]]/UnilabUsage[[#This Row],[Usage-Delta-MB]],UnilabUsage[[#This Row],[Free-of-Max]])</f>
        <v>32663</v>
      </c>
      <c r="R51" s="3">
        <v>44592</v>
      </c>
      <c r="S51" t="s">
        <v>3</v>
      </c>
      <c r="T51">
        <v>96</v>
      </c>
      <c r="U51">
        <v>413248</v>
      </c>
      <c r="V51">
        <v>15611</v>
      </c>
      <c r="W51">
        <v>397637</v>
      </c>
      <c r="X51">
        <v>4</v>
      </c>
      <c r="Y51">
        <v>425984</v>
      </c>
      <c r="Z51">
        <v>93</v>
      </c>
      <c r="AA51" t="s">
        <v>1</v>
      </c>
      <c r="AB51" t="s">
        <v>2</v>
      </c>
      <c r="AC51" s="8">
        <v>-10</v>
      </c>
      <c r="AD51">
        <v>28347</v>
      </c>
      <c r="AE51" s="5">
        <v>28347</v>
      </c>
      <c r="AI51" s="3">
        <v>44592</v>
      </c>
      <c r="AJ51" t="s">
        <v>8</v>
      </c>
      <c r="AK51">
        <v>97</v>
      </c>
      <c r="AL51">
        <v>262144</v>
      </c>
      <c r="AM51">
        <v>8824</v>
      </c>
      <c r="AN51">
        <v>253320</v>
      </c>
      <c r="AO51">
        <v>3</v>
      </c>
      <c r="AP51">
        <v>262144</v>
      </c>
      <c r="AQ51">
        <v>97</v>
      </c>
      <c r="AR51" t="s">
        <v>1</v>
      </c>
      <c r="AS51" t="s">
        <v>2</v>
      </c>
      <c r="AT51" s="8">
        <v>642</v>
      </c>
      <c r="AU51">
        <v>8824</v>
      </c>
      <c r="AV51" s="5">
        <v>13.744548286604362</v>
      </c>
    </row>
    <row r="52" spans="1:48" x14ac:dyDescent="0.25">
      <c r="A52" s="3">
        <v>44277</v>
      </c>
      <c r="B52" t="s">
        <v>7</v>
      </c>
      <c r="C52">
        <v>95</v>
      </c>
      <c r="D52">
        <v>1110</v>
      </c>
      <c r="E52">
        <v>51</v>
      </c>
      <c r="F52">
        <v>1059</v>
      </c>
      <c r="G52">
        <v>5</v>
      </c>
      <c r="H52">
        <v>32768</v>
      </c>
      <c r="I52">
        <v>3</v>
      </c>
      <c r="J52" t="s">
        <v>1</v>
      </c>
      <c r="K52" t="s">
        <v>2</v>
      </c>
      <c r="L52" s="8">
        <f>UnilabUsage[[#This Row],[Used-MB]]-F42</f>
        <v>8</v>
      </c>
      <c r="M52">
        <f>UnilabUsage[[#This Row],[Max]]-UnilabUsage[[#This Row],[Used-MB]]</f>
        <v>31709</v>
      </c>
      <c r="N52" s="5">
        <f>IF($L52&gt;0,UnilabUsage[[#This Row],[Free-of-Max]]/UnilabUsage[[#This Row],[Usage-Delta-MB]],UnilabUsage[[#This Row],[Free-of-Max]])</f>
        <v>3963.625</v>
      </c>
      <c r="R52" s="3">
        <v>44599</v>
      </c>
      <c r="S52" t="s">
        <v>3</v>
      </c>
      <c r="T52">
        <v>96</v>
      </c>
      <c r="U52">
        <v>413248</v>
      </c>
      <c r="V52">
        <v>15020</v>
      </c>
      <c r="W52">
        <v>398228</v>
      </c>
      <c r="X52">
        <v>4</v>
      </c>
      <c r="Y52">
        <v>425984</v>
      </c>
      <c r="Z52">
        <v>93</v>
      </c>
      <c r="AA52" t="s">
        <v>1</v>
      </c>
      <c r="AB52" t="s">
        <v>2</v>
      </c>
      <c r="AC52" s="8">
        <v>591</v>
      </c>
      <c r="AD52">
        <v>27756</v>
      </c>
      <c r="AE52" s="5">
        <v>46.964467005076145</v>
      </c>
      <c r="AI52" s="3">
        <v>44599</v>
      </c>
      <c r="AJ52" t="s">
        <v>8</v>
      </c>
      <c r="AK52">
        <v>86</v>
      </c>
      <c r="AL52">
        <v>294912</v>
      </c>
      <c r="AM52">
        <v>41262</v>
      </c>
      <c r="AN52">
        <v>253650</v>
      </c>
      <c r="AO52">
        <v>14</v>
      </c>
      <c r="AP52">
        <v>294912</v>
      </c>
      <c r="AQ52">
        <v>86</v>
      </c>
      <c r="AR52" t="s">
        <v>1</v>
      </c>
      <c r="AS52" t="s">
        <v>2</v>
      </c>
      <c r="AT52" s="8">
        <v>330</v>
      </c>
      <c r="AU52">
        <v>41262</v>
      </c>
      <c r="AV52" s="5">
        <v>125.03636363636363</v>
      </c>
    </row>
    <row r="53" spans="1:48" x14ac:dyDescent="0.25">
      <c r="A53" s="3">
        <v>44277</v>
      </c>
      <c r="B53" t="s">
        <v>0</v>
      </c>
      <c r="C53">
        <v>100</v>
      </c>
      <c r="D53">
        <v>15100</v>
      </c>
      <c r="E53">
        <v>51</v>
      </c>
      <c r="F53">
        <v>15049</v>
      </c>
      <c r="G53">
        <v>0</v>
      </c>
      <c r="H53">
        <v>32768</v>
      </c>
      <c r="I53">
        <v>46</v>
      </c>
      <c r="J53" t="s">
        <v>1</v>
      </c>
      <c r="K53" t="s">
        <v>2</v>
      </c>
      <c r="L53" s="8">
        <f>UnilabUsage[[#This Row],[Used-MB]]-F43</f>
        <v>64</v>
      </c>
      <c r="M53">
        <f>UnilabUsage[[#This Row],[Max]]-UnilabUsage[[#This Row],[Used-MB]]</f>
        <v>17719</v>
      </c>
      <c r="N53" s="5">
        <f>IF($L53&gt;0,UnilabUsage[[#This Row],[Free-of-Max]]/UnilabUsage[[#This Row],[Usage-Delta-MB]],UnilabUsage[[#This Row],[Free-of-Max]])</f>
        <v>276.859375</v>
      </c>
      <c r="R53" s="3">
        <v>44606</v>
      </c>
      <c r="S53" t="s">
        <v>3</v>
      </c>
      <c r="T53">
        <v>97</v>
      </c>
      <c r="U53">
        <v>413248</v>
      </c>
      <c r="V53">
        <v>14179</v>
      </c>
      <c r="W53">
        <v>399069</v>
      </c>
      <c r="X53">
        <v>3</v>
      </c>
      <c r="Y53">
        <v>425984</v>
      </c>
      <c r="Z53">
        <v>94</v>
      </c>
      <c r="AA53" t="s">
        <v>1</v>
      </c>
      <c r="AB53" t="s">
        <v>2</v>
      </c>
      <c r="AC53" s="8">
        <v>841</v>
      </c>
      <c r="AD53">
        <v>26915</v>
      </c>
      <c r="AE53" s="5">
        <v>32.003567181926279</v>
      </c>
      <c r="AI53" s="3">
        <v>44606</v>
      </c>
      <c r="AJ53" t="s">
        <v>8</v>
      </c>
      <c r="AK53">
        <v>86</v>
      </c>
      <c r="AL53">
        <v>294912</v>
      </c>
      <c r="AM53">
        <v>40834</v>
      </c>
      <c r="AN53">
        <v>254077</v>
      </c>
      <c r="AO53">
        <v>14</v>
      </c>
      <c r="AP53">
        <v>294912</v>
      </c>
      <c r="AQ53">
        <v>86</v>
      </c>
      <c r="AR53" t="s">
        <v>1</v>
      </c>
      <c r="AS53" t="s">
        <v>2</v>
      </c>
      <c r="AT53" s="8">
        <v>427</v>
      </c>
      <c r="AU53">
        <v>40835</v>
      </c>
      <c r="AV53" s="5">
        <v>95.632318501170957</v>
      </c>
    </row>
    <row r="54" spans="1:48" x14ac:dyDescent="0.25">
      <c r="A54" s="3">
        <v>44277</v>
      </c>
      <c r="B54" t="s">
        <v>11</v>
      </c>
      <c r="C54">
        <v>1</v>
      </c>
      <c r="D54">
        <v>100</v>
      </c>
      <c r="E54">
        <v>99</v>
      </c>
      <c r="F54">
        <v>1</v>
      </c>
      <c r="G54">
        <v>99</v>
      </c>
      <c r="H54">
        <v>32768</v>
      </c>
      <c r="I54">
        <v>0</v>
      </c>
      <c r="J54" t="s">
        <v>1</v>
      </c>
      <c r="K54" t="s">
        <v>2</v>
      </c>
      <c r="L54" s="8">
        <f>UnilabUsage[[#This Row],[Used-MB]]-F44</f>
        <v>0</v>
      </c>
      <c r="M54">
        <f>UnilabUsage[[#This Row],[Max]]-UnilabUsage[[#This Row],[Used-MB]]</f>
        <v>32767</v>
      </c>
      <c r="N54" s="5">
        <f>IF($L54&gt;0,UnilabUsage[[#This Row],[Free-of-Max]]/UnilabUsage[[#This Row],[Usage-Delta-MB]],UnilabUsage[[#This Row],[Free-of-Max]])</f>
        <v>32767</v>
      </c>
      <c r="R54" s="3">
        <v>44613</v>
      </c>
      <c r="S54" t="s">
        <v>3</v>
      </c>
      <c r="T54">
        <v>97</v>
      </c>
      <c r="U54">
        <v>413248</v>
      </c>
      <c r="V54">
        <v>13824</v>
      </c>
      <c r="W54">
        <v>399424</v>
      </c>
      <c r="X54">
        <v>3</v>
      </c>
      <c r="Y54">
        <v>425984</v>
      </c>
      <c r="Z54">
        <v>94</v>
      </c>
      <c r="AA54" t="s">
        <v>1</v>
      </c>
      <c r="AB54" t="s">
        <v>2</v>
      </c>
      <c r="AC54" s="8">
        <v>355</v>
      </c>
      <c r="AD54">
        <v>26560</v>
      </c>
      <c r="AE54" s="5">
        <v>74.816901408450704</v>
      </c>
      <c r="AI54" s="3">
        <v>44613</v>
      </c>
      <c r="AJ54" t="s">
        <v>8</v>
      </c>
      <c r="AK54">
        <v>86</v>
      </c>
      <c r="AL54">
        <v>294912</v>
      </c>
      <c r="AM54">
        <v>40343</v>
      </c>
      <c r="AN54">
        <v>254569</v>
      </c>
      <c r="AO54">
        <v>14</v>
      </c>
      <c r="AP54">
        <v>294912</v>
      </c>
      <c r="AQ54">
        <v>86</v>
      </c>
      <c r="AR54" t="s">
        <v>1</v>
      </c>
      <c r="AS54" t="s">
        <v>2</v>
      </c>
      <c r="AT54" s="8">
        <v>492</v>
      </c>
      <c r="AU54">
        <v>40343</v>
      </c>
      <c r="AV54" s="5">
        <v>81.997967479674799</v>
      </c>
    </row>
    <row r="55" spans="1:48" x14ac:dyDescent="0.25">
      <c r="A55" s="3">
        <v>44277</v>
      </c>
      <c r="B55" t="s">
        <v>6</v>
      </c>
      <c r="C55">
        <v>95</v>
      </c>
      <c r="D55">
        <v>6405</v>
      </c>
      <c r="E55">
        <v>311</v>
      </c>
      <c r="F55">
        <v>6094</v>
      </c>
      <c r="G55">
        <v>5</v>
      </c>
      <c r="H55">
        <v>32768</v>
      </c>
      <c r="I55">
        <v>19</v>
      </c>
      <c r="J55" t="s">
        <v>1</v>
      </c>
      <c r="K55" t="s">
        <v>2</v>
      </c>
      <c r="L55" s="8">
        <f>UnilabUsage[[#This Row],[Used-MB]]-F45</f>
        <v>9</v>
      </c>
      <c r="M55">
        <f>UnilabUsage[[#This Row],[Max]]-UnilabUsage[[#This Row],[Used-MB]]</f>
        <v>26674</v>
      </c>
      <c r="N55" s="5">
        <f>IF($L55&gt;0,UnilabUsage[[#This Row],[Free-of-Max]]/UnilabUsage[[#This Row],[Usage-Delta-MB]],UnilabUsage[[#This Row],[Free-of-Max]])</f>
        <v>2963.7777777777778</v>
      </c>
      <c r="R55" s="3">
        <v>44620</v>
      </c>
      <c r="S55" t="s">
        <v>3</v>
      </c>
      <c r="T55">
        <v>97</v>
      </c>
      <c r="U55">
        <v>413248</v>
      </c>
      <c r="V55">
        <v>13131</v>
      </c>
      <c r="W55">
        <v>400116</v>
      </c>
      <c r="X55">
        <v>3</v>
      </c>
      <c r="Y55">
        <v>425984</v>
      </c>
      <c r="Z55">
        <v>94</v>
      </c>
      <c r="AA55" t="s">
        <v>1</v>
      </c>
      <c r="AB55" t="s">
        <v>2</v>
      </c>
      <c r="AC55" s="8">
        <v>692</v>
      </c>
      <c r="AD55">
        <v>25868</v>
      </c>
      <c r="AE55" s="5">
        <v>37.381502890173408</v>
      </c>
      <c r="AI55" s="3">
        <v>44620</v>
      </c>
      <c r="AJ55" t="s">
        <v>8</v>
      </c>
      <c r="AK55">
        <v>87</v>
      </c>
      <c r="AL55">
        <v>294912</v>
      </c>
      <c r="AM55">
        <v>39780</v>
      </c>
      <c r="AN55">
        <v>255132</v>
      </c>
      <c r="AO55">
        <v>13</v>
      </c>
      <c r="AP55">
        <v>294912</v>
      </c>
      <c r="AQ55">
        <v>87</v>
      </c>
      <c r="AR55" t="s">
        <v>1</v>
      </c>
      <c r="AS55" t="s">
        <v>2</v>
      </c>
      <c r="AT55" s="8">
        <v>563</v>
      </c>
      <c r="AU55">
        <v>39780</v>
      </c>
      <c r="AV55" s="5">
        <v>70.65719360568383</v>
      </c>
    </row>
    <row r="56" spans="1:48" x14ac:dyDescent="0.25">
      <c r="A56" s="3">
        <v>44277</v>
      </c>
      <c r="B56" t="s">
        <v>3</v>
      </c>
      <c r="C56">
        <v>99</v>
      </c>
      <c r="D56">
        <v>360184</v>
      </c>
      <c r="E56">
        <v>1874</v>
      </c>
      <c r="F56">
        <v>358310</v>
      </c>
      <c r="G56">
        <v>1</v>
      </c>
      <c r="H56">
        <v>393216</v>
      </c>
      <c r="I56">
        <v>91</v>
      </c>
      <c r="J56" t="s">
        <v>1</v>
      </c>
      <c r="K56" t="s">
        <v>2</v>
      </c>
      <c r="L56" s="8">
        <f>UnilabUsage[[#This Row],[Used-MB]]-F46</f>
        <v>649</v>
      </c>
      <c r="M56">
        <f>UnilabUsage[[#This Row],[Max]]-UnilabUsage[[#This Row],[Used-MB]]</f>
        <v>34906</v>
      </c>
      <c r="N56" s="5">
        <f>IF($L56&gt;0,UnilabUsage[[#This Row],[Free-of-Max]]/UnilabUsage[[#This Row],[Usage-Delta-MB]],UnilabUsage[[#This Row],[Free-of-Max]])</f>
        <v>53.784283513097073</v>
      </c>
      <c r="R56" s="3">
        <v>44630</v>
      </c>
      <c r="S56" t="s">
        <v>3</v>
      </c>
      <c r="T56">
        <v>97</v>
      </c>
      <c r="U56">
        <v>413248</v>
      </c>
      <c r="V56">
        <v>12458</v>
      </c>
      <c r="W56">
        <v>400790</v>
      </c>
      <c r="X56">
        <v>3</v>
      </c>
      <c r="Y56">
        <v>425984</v>
      </c>
      <c r="Z56">
        <v>94</v>
      </c>
      <c r="AA56" t="s">
        <v>1</v>
      </c>
      <c r="AB56" t="s">
        <v>2</v>
      </c>
      <c r="AC56" s="8">
        <v>674</v>
      </c>
      <c r="AD56">
        <v>25194</v>
      </c>
      <c r="AE56" s="5">
        <v>37.379821958456972</v>
      </c>
      <c r="AI56" s="3">
        <v>44630</v>
      </c>
      <c r="AJ56" t="s">
        <v>8</v>
      </c>
      <c r="AK56">
        <v>87</v>
      </c>
      <c r="AL56">
        <v>294912</v>
      </c>
      <c r="AM56">
        <v>39078</v>
      </c>
      <c r="AN56">
        <v>255834</v>
      </c>
      <c r="AO56">
        <v>13</v>
      </c>
      <c r="AP56">
        <v>294912</v>
      </c>
      <c r="AQ56">
        <v>87</v>
      </c>
      <c r="AR56" t="s">
        <v>1</v>
      </c>
      <c r="AS56" t="s">
        <v>2</v>
      </c>
      <c r="AT56" s="8">
        <v>702</v>
      </c>
      <c r="AU56">
        <v>39078</v>
      </c>
      <c r="AV56" s="5">
        <v>55.666666666666664</v>
      </c>
    </row>
    <row r="57" spans="1:48" x14ac:dyDescent="0.25">
      <c r="A57" s="3">
        <v>44277</v>
      </c>
      <c r="B57" t="s">
        <v>5</v>
      </c>
      <c r="C57">
        <v>95</v>
      </c>
      <c r="D57">
        <v>16150</v>
      </c>
      <c r="E57">
        <v>775</v>
      </c>
      <c r="F57">
        <v>15375</v>
      </c>
      <c r="G57">
        <v>5</v>
      </c>
      <c r="H57">
        <v>32768</v>
      </c>
      <c r="I57">
        <v>47</v>
      </c>
      <c r="J57" t="s">
        <v>1</v>
      </c>
      <c r="K57" t="s">
        <v>2</v>
      </c>
      <c r="L57" s="8">
        <f>UnilabUsage[[#This Row],[Used-MB]]-F47</f>
        <v>41</v>
      </c>
      <c r="M57">
        <f>UnilabUsage[[#This Row],[Max]]-UnilabUsage[[#This Row],[Used-MB]]</f>
        <v>17393</v>
      </c>
      <c r="N57" s="5">
        <f>IF($L57&gt;0,UnilabUsage[[#This Row],[Free-of-Max]]/UnilabUsage[[#This Row],[Usage-Delta-MB]],UnilabUsage[[#This Row],[Free-of-Max]])</f>
        <v>424.21951219512198</v>
      </c>
      <c r="R57" s="3">
        <v>44634</v>
      </c>
      <c r="S57" t="s">
        <v>3</v>
      </c>
      <c r="T57">
        <v>97</v>
      </c>
      <c r="U57">
        <v>413248</v>
      </c>
      <c r="V57">
        <v>12130</v>
      </c>
      <c r="W57">
        <v>401118</v>
      </c>
      <c r="X57">
        <v>3</v>
      </c>
      <c r="Y57">
        <v>425984</v>
      </c>
      <c r="Z57">
        <v>94</v>
      </c>
      <c r="AA57" t="s">
        <v>1</v>
      </c>
      <c r="AB57" t="s">
        <v>2</v>
      </c>
      <c r="AC57" s="8">
        <v>328</v>
      </c>
      <c r="AD57">
        <v>24866</v>
      </c>
      <c r="AE57" s="5">
        <v>75.810975609756099</v>
      </c>
      <c r="AI57" s="3">
        <v>44634</v>
      </c>
      <c r="AJ57" t="s">
        <v>8</v>
      </c>
      <c r="AK57">
        <v>87</v>
      </c>
      <c r="AL57">
        <v>294912</v>
      </c>
      <c r="AM57">
        <v>38925</v>
      </c>
      <c r="AN57">
        <v>255987</v>
      </c>
      <c r="AO57">
        <v>13</v>
      </c>
      <c r="AP57">
        <v>294912</v>
      </c>
      <c r="AQ57">
        <v>87</v>
      </c>
      <c r="AR57" t="s">
        <v>1</v>
      </c>
      <c r="AS57" t="s">
        <v>2</v>
      </c>
      <c r="AT57" s="8">
        <v>153</v>
      </c>
      <c r="AU57">
        <v>38925</v>
      </c>
      <c r="AV57" s="5">
        <v>254.41176470588235</v>
      </c>
    </row>
    <row r="58" spans="1:48" x14ac:dyDescent="0.25">
      <c r="A58" s="3">
        <v>44277</v>
      </c>
      <c r="B58" t="s">
        <v>8</v>
      </c>
      <c r="C58">
        <v>89</v>
      </c>
      <c r="D58">
        <v>262144</v>
      </c>
      <c r="E58">
        <v>30098</v>
      </c>
      <c r="F58">
        <v>232046</v>
      </c>
      <c r="G58">
        <v>11</v>
      </c>
      <c r="H58">
        <v>262144</v>
      </c>
      <c r="I58">
        <v>89</v>
      </c>
      <c r="J58" t="s">
        <v>1</v>
      </c>
      <c r="K58" t="s">
        <v>2</v>
      </c>
      <c r="L58" s="8">
        <f>UnilabUsage[[#This Row],[Used-MB]]-F48</f>
        <v>506</v>
      </c>
      <c r="M58">
        <f>UnilabUsage[[#This Row],[Max]]-UnilabUsage[[#This Row],[Used-MB]]</f>
        <v>30098</v>
      </c>
      <c r="N58" s="5">
        <f>IF($L58&gt;0,UnilabUsage[[#This Row],[Free-of-Max]]/UnilabUsage[[#This Row],[Usage-Delta-MB]],UnilabUsage[[#This Row],[Free-of-Max]])</f>
        <v>59.48221343873518</v>
      </c>
      <c r="R58" s="3">
        <v>44641</v>
      </c>
      <c r="S58" t="s">
        <v>3</v>
      </c>
      <c r="T58">
        <v>97</v>
      </c>
      <c r="U58">
        <v>413248</v>
      </c>
      <c r="V58">
        <v>11838</v>
      </c>
      <c r="W58">
        <v>401410</v>
      </c>
      <c r="X58">
        <v>3</v>
      </c>
      <c r="Y58">
        <v>425984</v>
      </c>
      <c r="Z58">
        <v>94</v>
      </c>
      <c r="AA58" t="s">
        <v>1</v>
      </c>
      <c r="AB58" t="s">
        <v>2</v>
      </c>
      <c r="AC58" s="8">
        <v>292</v>
      </c>
      <c r="AD58">
        <v>24574</v>
      </c>
      <c r="AE58" s="5">
        <v>84.157534246575338</v>
      </c>
      <c r="AI58" s="3">
        <v>44641</v>
      </c>
      <c r="AJ58" t="s">
        <v>8</v>
      </c>
      <c r="AK58">
        <v>87</v>
      </c>
      <c r="AL58">
        <v>294912</v>
      </c>
      <c r="AM58">
        <v>38396</v>
      </c>
      <c r="AN58">
        <v>256516</v>
      </c>
      <c r="AO58">
        <v>13</v>
      </c>
      <c r="AP58">
        <v>294912</v>
      </c>
      <c r="AQ58">
        <v>87</v>
      </c>
      <c r="AR58" t="s">
        <v>1</v>
      </c>
      <c r="AS58" t="s">
        <v>2</v>
      </c>
      <c r="AT58" s="8">
        <v>529</v>
      </c>
      <c r="AU58">
        <v>38396</v>
      </c>
      <c r="AV58" s="5">
        <v>72.582230623818532</v>
      </c>
    </row>
    <row r="59" spans="1:48" x14ac:dyDescent="0.25">
      <c r="A59" s="3">
        <v>44277</v>
      </c>
      <c r="B59" t="s">
        <v>4</v>
      </c>
      <c r="C59">
        <v>97</v>
      </c>
      <c r="D59">
        <v>74709</v>
      </c>
      <c r="E59">
        <v>2035</v>
      </c>
      <c r="F59">
        <v>72674</v>
      </c>
      <c r="G59">
        <v>3</v>
      </c>
      <c r="H59">
        <v>98304</v>
      </c>
      <c r="I59">
        <v>74</v>
      </c>
      <c r="J59" t="s">
        <v>1</v>
      </c>
      <c r="K59" t="s">
        <v>2</v>
      </c>
      <c r="L59" s="8">
        <f>UnilabUsage[[#This Row],[Used-MB]]-F49</f>
        <v>129</v>
      </c>
      <c r="M59">
        <f>UnilabUsage[[#This Row],[Max]]-UnilabUsage[[#This Row],[Used-MB]]</f>
        <v>25630</v>
      </c>
      <c r="N59" s="5">
        <f>IF($L59&gt;0,UnilabUsage[[#This Row],[Free-of-Max]]/UnilabUsage[[#This Row],[Usage-Delta-MB]],UnilabUsage[[#This Row],[Free-of-Max]])</f>
        <v>198.68217054263565</v>
      </c>
      <c r="R59" s="3">
        <v>44648</v>
      </c>
      <c r="S59" t="s">
        <v>3</v>
      </c>
      <c r="T59">
        <v>97</v>
      </c>
      <c r="U59">
        <v>413248</v>
      </c>
      <c r="V59">
        <v>11302</v>
      </c>
      <c r="W59">
        <v>401946</v>
      </c>
      <c r="X59">
        <v>3</v>
      </c>
      <c r="Y59">
        <v>425984</v>
      </c>
      <c r="Z59">
        <v>94</v>
      </c>
      <c r="AA59" t="s">
        <v>1</v>
      </c>
      <c r="AB59" t="s">
        <v>2</v>
      </c>
      <c r="AC59" s="8">
        <v>536</v>
      </c>
      <c r="AD59">
        <v>24038</v>
      </c>
      <c r="AE59" s="5">
        <v>44.847014925373138</v>
      </c>
      <c r="AI59" s="3">
        <v>44648</v>
      </c>
      <c r="AJ59" t="s">
        <v>8</v>
      </c>
      <c r="AK59">
        <v>87</v>
      </c>
      <c r="AL59">
        <v>294912</v>
      </c>
      <c r="AM59">
        <v>38057</v>
      </c>
      <c r="AN59">
        <v>256855</v>
      </c>
      <c r="AO59">
        <v>13</v>
      </c>
      <c r="AP59">
        <v>294912</v>
      </c>
      <c r="AQ59">
        <v>87</v>
      </c>
      <c r="AR59" t="s">
        <v>1</v>
      </c>
      <c r="AS59" t="s">
        <v>2</v>
      </c>
      <c r="AT59" s="8">
        <v>339</v>
      </c>
      <c r="AU59">
        <v>38057</v>
      </c>
      <c r="AV59" s="5">
        <v>112.26253687315634</v>
      </c>
    </row>
    <row r="60" spans="1:48" x14ac:dyDescent="0.25">
      <c r="A60" s="3">
        <v>44277</v>
      </c>
      <c r="B60" t="s">
        <v>12</v>
      </c>
      <c r="C60">
        <v>0</v>
      </c>
      <c r="D60">
        <v>30720</v>
      </c>
      <c r="E60">
        <v>30597</v>
      </c>
      <c r="F60">
        <v>123</v>
      </c>
      <c r="G60">
        <v>100</v>
      </c>
      <c r="H60">
        <v>30720</v>
      </c>
      <c r="I60">
        <v>0</v>
      </c>
      <c r="J60" t="s">
        <v>1</v>
      </c>
      <c r="K60" t="s">
        <v>13</v>
      </c>
      <c r="L60" s="8">
        <f>UnilabUsage[[#This Row],[Used-MB]]-F50</f>
        <v>79</v>
      </c>
      <c r="M60">
        <f>UnilabUsage[[#This Row],[Max]]-UnilabUsage[[#This Row],[Used-MB]]</f>
        <v>30597</v>
      </c>
      <c r="N60" s="5">
        <f>IF($L60&gt;0,UnilabUsage[[#This Row],[Free-of-Max]]/UnilabUsage[[#This Row],[Usage-Delta-MB]],UnilabUsage[[#This Row],[Free-of-Max]])</f>
        <v>387.30379746835445</v>
      </c>
      <c r="R60" s="3">
        <v>44656</v>
      </c>
      <c r="S60" t="s">
        <v>3</v>
      </c>
      <c r="T60">
        <v>97</v>
      </c>
      <c r="U60">
        <v>413248</v>
      </c>
      <c r="V60">
        <v>10565</v>
      </c>
      <c r="W60">
        <v>402683</v>
      </c>
      <c r="X60">
        <v>3</v>
      </c>
      <c r="Y60">
        <v>425984</v>
      </c>
      <c r="Z60">
        <v>95</v>
      </c>
      <c r="AA60" t="s">
        <v>1</v>
      </c>
      <c r="AB60" t="s">
        <v>2</v>
      </c>
      <c r="AC60" s="8">
        <v>737</v>
      </c>
      <c r="AD60">
        <v>23301</v>
      </c>
      <c r="AE60" s="5">
        <v>31.616010854816825</v>
      </c>
      <c r="AI60" s="3">
        <v>44656</v>
      </c>
      <c r="AJ60" t="s">
        <v>8</v>
      </c>
      <c r="AK60">
        <v>87</v>
      </c>
      <c r="AL60">
        <v>294912</v>
      </c>
      <c r="AM60">
        <v>37496</v>
      </c>
      <c r="AN60">
        <v>257416</v>
      </c>
      <c r="AO60">
        <v>13</v>
      </c>
      <c r="AP60">
        <v>294912</v>
      </c>
      <c r="AQ60">
        <v>87</v>
      </c>
      <c r="AR60" t="s">
        <v>1</v>
      </c>
      <c r="AS60" t="s">
        <v>2</v>
      </c>
      <c r="AT60" s="8">
        <v>561</v>
      </c>
      <c r="AU60">
        <v>37496</v>
      </c>
      <c r="AV60" s="5">
        <v>66.837789661319079</v>
      </c>
    </row>
    <row r="61" spans="1:48" x14ac:dyDescent="0.25">
      <c r="A61" s="3">
        <v>44277</v>
      </c>
      <c r="B61" t="s">
        <v>9</v>
      </c>
      <c r="C61">
        <v>1</v>
      </c>
      <c r="D61">
        <v>10440</v>
      </c>
      <c r="E61">
        <v>10294</v>
      </c>
      <c r="F61">
        <v>146</v>
      </c>
      <c r="G61">
        <v>99</v>
      </c>
      <c r="H61">
        <v>32768</v>
      </c>
      <c r="I61">
        <v>0</v>
      </c>
      <c r="J61" t="s">
        <v>1</v>
      </c>
      <c r="K61" t="s">
        <v>10</v>
      </c>
      <c r="L61" s="8">
        <f>UnilabUsage[[#This Row],[Used-MB]]-F51</f>
        <v>41</v>
      </c>
      <c r="M61">
        <f>UnilabUsage[[#This Row],[Max]]-UnilabUsage[[#This Row],[Used-MB]]</f>
        <v>32622</v>
      </c>
      <c r="N61" s="5">
        <f>IF($L61&gt;0,UnilabUsage[[#This Row],[Free-of-Max]]/UnilabUsage[[#This Row],[Usage-Delta-MB]],UnilabUsage[[#This Row],[Free-of-Max]])</f>
        <v>795.65853658536582</v>
      </c>
      <c r="R61" s="3">
        <v>44662</v>
      </c>
      <c r="S61" t="s">
        <v>3</v>
      </c>
      <c r="T61">
        <v>98</v>
      </c>
      <c r="U61">
        <v>413248</v>
      </c>
      <c r="V61">
        <v>10056</v>
      </c>
      <c r="W61">
        <v>403192</v>
      </c>
      <c r="X61">
        <v>2</v>
      </c>
      <c r="Y61">
        <v>425984</v>
      </c>
      <c r="Z61">
        <v>95</v>
      </c>
      <c r="AA61" t="s">
        <v>1</v>
      </c>
      <c r="AB61" t="s">
        <v>2</v>
      </c>
      <c r="AC61" s="8">
        <v>509</v>
      </c>
      <c r="AD61">
        <v>22792</v>
      </c>
      <c r="AE61" s="5">
        <v>44.777996070726914</v>
      </c>
      <c r="AI61" s="3">
        <v>44662</v>
      </c>
      <c r="AJ61" t="s">
        <v>8</v>
      </c>
      <c r="AK61">
        <v>87</v>
      </c>
      <c r="AL61">
        <v>294912</v>
      </c>
      <c r="AM61">
        <v>37147</v>
      </c>
      <c r="AN61">
        <v>257765</v>
      </c>
      <c r="AO61">
        <v>13</v>
      </c>
      <c r="AP61">
        <v>294912</v>
      </c>
      <c r="AQ61">
        <v>87</v>
      </c>
      <c r="AR61" t="s">
        <v>1</v>
      </c>
      <c r="AS61" t="s">
        <v>2</v>
      </c>
      <c r="AT61" s="8">
        <v>349</v>
      </c>
      <c r="AU61">
        <v>37147</v>
      </c>
      <c r="AV61" s="5">
        <v>106.43839541547278</v>
      </c>
    </row>
    <row r="62" spans="1:48" x14ac:dyDescent="0.25">
      <c r="A62" s="3">
        <v>44284</v>
      </c>
      <c r="B62" t="s">
        <v>7</v>
      </c>
      <c r="C62">
        <v>96</v>
      </c>
      <c r="D62">
        <v>1110</v>
      </c>
      <c r="E62">
        <v>43</v>
      </c>
      <c r="F62">
        <v>1067</v>
      </c>
      <c r="G62">
        <v>4</v>
      </c>
      <c r="H62">
        <v>32768</v>
      </c>
      <c r="I62">
        <v>3</v>
      </c>
      <c r="J62" t="s">
        <v>1</v>
      </c>
      <c r="K62" t="s">
        <v>2</v>
      </c>
      <c r="L62" s="8">
        <f>UnilabUsage[[#This Row],[Used-MB]]-F52</f>
        <v>8</v>
      </c>
      <c r="M62">
        <f>UnilabUsage[[#This Row],[Max]]-UnilabUsage[[#This Row],[Used-MB]]</f>
        <v>31701</v>
      </c>
      <c r="N62" s="5">
        <f>IF($L62&gt;0,UnilabUsage[[#This Row],[Free-of-Max]]/UnilabUsage[[#This Row],[Usage-Delta-MB]],UnilabUsage[[#This Row],[Free-of-Max]])</f>
        <v>3962.625</v>
      </c>
      <c r="R62" s="3">
        <v>44670</v>
      </c>
      <c r="S62" t="s">
        <v>3</v>
      </c>
      <c r="T62">
        <v>98</v>
      </c>
      <c r="U62">
        <v>413248</v>
      </c>
      <c r="V62">
        <v>9392</v>
      </c>
      <c r="W62">
        <v>403856</v>
      </c>
      <c r="X62">
        <v>2</v>
      </c>
      <c r="Y62">
        <v>425984</v>
      </c>
      <c r="Z62">
        <v>95</v>
      </c>
      <c r="AA62" t="s">
        <v>1</v>
      </c>
      <c r="AB62" t="s">
        <v>2</v>
      </c>
      <c r="AC62" s="8">
        <v>664</v>
      </c>
      <c r="AD62">
        <v>22128</v>
      </c>
      <c r="AE62" s="5">
        <v>33.325301204819276</v>
      </c>
      <c r="AI62" s="3">
        <v>44670</v>
      </c>
      <c r="AJ62" t="s">
        <v>8</v>
      </c>
      <c r="AK62">
        <v>88</v>
      </c>
      <c r="AL62">
        <v>294912</v>
      </c>
      <c r="AM62">
        <v>36805</v>
      </c>
      <c r="AN62">
        <v>258106</v>
      </c>
      <c r="AO62">
        <v>12</v>
      </c>
      <c r="AP62">
        <v>294912</v>
      </c>
      <c r="AQ62">
        <v>88</v>
      </c>
      <c r="AR62" t="s">
        <v>1</v>
      </c>
      <c r="AS62" t="s">
        <v>2</v>
      </c>
      <c r="AT62" s="8">
        <v>341</v>
      </c>
      <c r="AU62">
        <v>36806</v>
      </c>
      <c r="AV62" s="5">
        <v>107.93548387096774</v>
      </c>
    </row>
    <row r="63" spans="1:48" x14ac:dyDescent="0.25">
      <c r="A63" s="3">
        <v>44284</v>
      </c>
      <c r="B63" t="s">
        <v>0</v>
      </c>
      <c r="C63">
        <v>99</v>
      </c>
      <c r="D63">
        <v>15200</v>
      </c>
      <c r="E63">
        <v>87</v>
      </c>
      <c r="F63">
        <v>15113</v>
      </c>
      <c r="G63">
        <v>1</v>
      </c>
      <c r="H63">
        <v>32768</v>
      </c>
      <c r="I63">
        <v>46</v>
      </c>
      <c r="J63" t="s">
        <v>1</v>
      </c>
      <c r="K63" t="s">
        <v>2</v>
      </c>
      <c r="L63" s="8">
        <f>UnilabUsage[[#This Row],[Used-MB]]-F53</f>
        <v>64</v>
      </c>
      <c r="M63">
        <f>UnilabUsage[[#This Row],[Max]]-UnilabUsage[[#This Row],[Used-MB]]</f>
        <v>17655</v>
      </c>
      <c r="N63" s="5">
        <f>IF($L63&gt;0,UnilabUsage[[#This Row],[Free-of-Max]]/UnilabUsage[[#This Row],[Usage-Delta-MB]],UnilabUsage[[#This Row],[Free-of-Max]])</f>
        <v>275.859375</v>
      </c>
      <c r="R63" s="3">
        <v>44676</v>
      </c>
      <c r="S63" t="s">
        <v>3</v>
      </c>
      <c r="T63">
        <v>98</v>
      </c>
      <c r="U63">
        <v>413248</v>
      </c>
      <c r="V63">
        <v>8815</v>
      </c>
      <c r="W63">
        <v>404433</v>
      </c>
      <c r="X63">
        <v>2</v>
      </c>
      <c r="Y63">
        <v>425984</v>
      </c>
      <c r="Z63">
        <v>95</v>
      </c>
      <c r="AA63" t="s">
        <v>1</v>
      </c>
      <c r="AB63" t="s">
        <v>2</v>
      </c>
      <c r="AC63" s="8">
        <v>577</v>
      </c>
      <c r="AD63">
        <v>21551</v>
      </c>
      <c r="AE63" s="5">
        <v>37.350086655112655</v>
      </c>
      <c r="AI63" s="3">
        <v>44676</v>
      </c>
      <c r="AJ63" t="s">
        <v>8</v>
      </c>
      <c r="AK63">
        <v>88</v>
      </c>
      <c r="AL63">
        <v>294912</v>
      </c>
      <c r="AM63">
        <v>36381</v>
      </c>
      <c r="AN63">
        <v>258530</v>
      </c>
      <c r="AO63">
        <v>12</v>
      </c>
      <c r="AP63">
        <v>294912</v>
      </c>
      <c r="AQ63">
        <v>88</v>
      </c>
      <c r="AR63" t="s">
        <v>1</v>
      </c>
      <c r="AS63" t="s">
        <v>2</v>
      </c>
      <c r="AT63" s="8">
        <v>424</v>
      </c>
      <c r="AU63">
        <v>36382</v>
      </c>
      <c r="AV63" s="5">
        <v>85.806603773584911</v>
      </c>
    </row>
    <row r="64" spans="1:48" x14ac:dyDescent="0.25">
      <c r="A64" s="3">
        <v>44284</v>
      </c>
      <c r="B64" t="s">
        <v>11</v>
      </c>
      <c r="C64">
        <v>1</v>
      </c>
      <c r="D64">
        <v>100</v>
      </c>
      <c r="E64">
        <v>99</v>
      </c>
      <c r="F64">
        <v>1</v>
      </c>
      <c r="G64">
        <v>99</v>
      </c>
      <c r="H64">
        <v>32768</v>
      </c>
      <c r="I64">
        <v>0</v>
      </c>
      <c r="J64" t="s">
        <v>1</v>
      </c>
      <c r="K64" t="s">
        <v>2</v>
      </c>
      <c r="L64" s="8">
        <f>UnilabUsage[[#This Row],[Used-MB]]-F54</f>
        <v>0</v>
      </c>
      <c r="M64">
        <f>UnilabUsage[[#This Row],[Max]]-UnilabUsage[[#This Row],[Used-MB]]</f>
        <v>32767</v>
      </c>
      <c r="N64" s="5">
        <f>IF($L64&gt;0,UnilabUsage[[#This Row],[Free-of-Max]]/UnilabUsage[[#This Row],[Usage-Delta-MB]],UnilabUsage[[#This Row],[Free-of-Max]])</f>
        <v>32767</v>
      </c>
      <c r="R64" s="3">
        <v>44686</v>
      </c>
      <c r="S64" t="s">
        <v>3</v>
      </c>
      <c r="T64">
        <v>98</v>
      </c>
      <c r="U64">
        <v>413248</v>
      </c>
      <c r="V64">
        <v>8132</v>
      </c>
      <c r="W64">
        <v>405116</v>
      </c>
      <c r="X64">
        <v>2</v>
      </c>
      <c r="Y64">
        <v>425984</v>
      </c>
      <c r="Z64">
        <v>95</v>
      </c>
      <c r="AA64" t="s">
        <v>1</v>
      </c>
      <c r="AB64" t="s">
        <v>2</v>
      </c>
      <c r="AC64" s="8">
        <v>683</v>
      </c>
      <c r="AD64">
        <v>20868</v>
      </c>
      <c r="AE64" s="5">
        <v>30.553440702781845</v>
      </c>
      <c r="AI64" s="3">
        <v>44686</v>
      </c>
      <c r="AJ64" t="s">
        <v>8</v>
      </c>
      <c r="AK64">
        <v>88</v>
      </c>
      <c r="AL64">
        <v>294912</v>
      </c>
      <c r="AM64">
        <v>35675</v>
      </c>
      <c r="AN64">
        <v>259237</v>
      </c>
      <c r="AO64">
        <v>12</v>
      </c>
      <c r="AP64">
        <v>294912</v>
      </c>
      <c r="AQ64">
        <v>88</v>
      </c>
      <c r="AR64" t="s">
        <v>1</v>
      </c>
      <c r="AS64" t="s">
        <v>2</v>
      </c>
      <c r="AT64" s="8">
        <v>707</v>
      </c>
      <c r="AU64">
        <v>35675</v>
      </c>
      <c r="AV64" s="5">
        <v>50.459688826025463</v>
      </c>
    </row>
    <row r="65" spans="1:48" x14ac:dyDescent="0.25">
      <c r="A65" s="3">
        <v>44284</v>
      </c>
      <c r="B65" t="s">
        <v>6</v>
      </c>
      <c r="C65">
        <v>95</v>
      </c>
      <c r="D65">
        <v>6405</v>
      </c>
      <c r="E65">
        <v>310</v>
      </c>
      <c r="F65">
        <v>6095</v>
      </c>
      <c r="G65">
        <v>5</v>
      </c>
      <c r="H65">
        <v>32768</v>
      </c>
      <c r="I65">
        <v>19</v>
      </c>
      <c r="J65" t="s">
        <v>1</v>
      </c>
      <c r="K65" t="s">
        <v>2</v>
      </c>
      <c r="L65" s="8">
        <f>UnilabUsage[[#This Row],[Used-MB]]-F55</f>
        <v>1</v>
      </c>
      <c r="M65">
        <f>UnilabUsage[[#This Row],[Max]]-UnilabUsage[[#This Row],[Used-MB]]</f>
        <v>26673</v>
      </c>
      <c r="N65" s="5">
        <f>IF($L65&gt;0,UnilabUsage[[#This Row],[Free-of-Max]]/UnilabUsage[[#This Row],[Usage-Delta-MB]],UnilabUsage[[#This Row],[Free-of-Max]])</f>
        <v>26673</v>
      </c>
      <c r="R65" s="3">
        <v>44690</v>
      </c>
      <c r="S65" t="s">
        <v>3</v>
      </c>
      <c r="T65">
        <v>98</v>
      </c>
      <c r="U65">
        <v>413248</v>
      </c>
      <c r="V65">
        <v>7868</v>
      </c>
      <c r="W65">
        <v>405380</v>
      </c>
      <c r="X65">
        <v>2</v>
      </c>
      <c r="Y65">
        <v>425984</v>
      </c>
      <c r="Z65">
        <v>95</v>
      </c>
      <c r="AA65" t="s">
        <v>1</v>
      </c>
      <c r="AB65" t="s">
        <v>2</v>
      </c>
      <c r="AC65" s="8">
        <v>264</v>
      </c>
      <c r="AD65">
        <v>20604</v>
      </c>
      <c r="AE65" s="5">
        <v>78.045454545454547</v>
      </c>
      <c r="AI65" s="3">
        <v>44690</v>
      </c>
      <c r="AJ65" t="s">
        <v>8</v>
      </c>
      <c r="AK65">
        <v>88</v>
      </c>
      <c r="AL65">
        <v>294912</v>
      </c>
      <c r="AM65">
        <v>35450</v>
      </c>
      <c r="AN65">
        <v>259462</v>
      </c>
      <c r="AO65">
        <v>12</v>
      </c>
      <c r="AP65">
        <v>294912</v>
      </c>
      <c r="AQ65">
        <v>88</v>
      </c>
      <c r="AR65" t="s">
        <v>1</v>
      </c>
      <c r="AS65" t="s">
        <v>2</v>
      </c>
      <c r="AT65" s="8">
        <v>225</v>
      </c>
      <c r="AU65">
        <v>35450</v>
      </c>
      <c r="AV65" s="5">
        <v>157.55555555555554</v>
      </c>
    </row>
    <row r="66" spans="1:48" x14ac:dyDescent="0.25">
      <c r="A66" s="3">
        <v>44284</v>
      </c>
      <c r="B66" t="s">
        <v>3</v>
      </c>
      <c r="C66">
        <v>100</v>
      </c>
      <c r="D66">
        <v>360184</v>
      </c>
      <c r="E66">
        <v>1224</v>
      </c>
      <c r="F66">
        <v>358960</v>
      </c>
      <c r="G66">
        <v>0</v>
      </c>
      <c r="H66">
        <v>393216</v>
      </c>
      <c r="I66">
        <v>91</v>
      </c>
      <c r="J66" t="s">
        <v>1</v>
      </c>
      <c r="K66" t="s">
        <v>2</v>
      </c>
      <c r="L66" s="8">
        <f>UnilabUsage[[#This Row],[Used-MB]]-F56</f>
        <v>650</v>
      </c>
      <c r="M66">
        <f>UnilabUsage[[#This Row],[Max]]-UnilabUsage[[#This Row],[Used-MB]]</f>
        <v>34256</v>
      </c>
      <c r="N66" s="5">
        <f>IF($L66&gt;0,UnilabUsage[[#This Row],[Free-of-Max]]/UnilabUsage[[#This Row],[Usage-Delta-MB]],UnilabUsage[[#This Row],[Free-of-Max]])</f>
        <v>52.701538461538462</v>
      </c>
      <c r="R66" s="3">
        <v>44697</v>
      </c>
      <c r="S66" t="s">
        <v>3</v>
      </c>
      <c r="T66">
        <v>98</v>
      </c>
      <c r="U66">
        <v>413248</v>
      </c>
      <c r="V66">
        <v>7371</v>
      </c>
      <c r="W66">
        <v>405876</v>
      </c>
      <c r="X66">
        <v>2</v>
      </c>
      <c r="Y66">
        <v>425984</v>
      </c>
      <c r="Z66">
        <v>95</v>
      </c>
      <c r="AA66" t="s">
        <v>1</v>
      </c>
      <c r="AB66" t="s">
        <v>2</v>
      </c>
      <c r="AC66" s="8">
        <v>496</v>
      </c>
      <c r="AD66">
        <v>20108</v>
      </c>
      <c r="AE66" s="5">
        <v>40.54032258064516</v>
      </c>
      <c r="AI66" s="3">
        <v>44697</v>
      </c>
      <c r="AJ66" t="s">
        <v>8</v>
      </c>
      <c r="AK66">
        <v>88</v>
      </c>
      <c r="AL66">
        <v>294912</v>
      </c>
      <c r="AM66">
        <v>35086</v>
      </c>
      <c r="AN66">
        <v>259826</v>
      </c>
      <c r="AO66">
        <v>12</v>
      </c>
      <c r="AP66">
        <v>294912</v>
      </c>
      <c r="AQ66">
        <v>88</v>
      </c>
      <c r="AR66" t="s">
        <v>1</v>
      </c>
      <c r="AS66" t="s">
        <v>2</v>
      </c>
      <c r="AT66" s="8">
        <v>364</v>
      </c>
      <c r="AU66">
        <v>35086</v>
      </c>
      <c r="AV66" s="5">
        <v>96.390109890109883</v>
      </c>
    </row>
    <row r="67" spans="1:48" x14ac:dyDescent="0.25">
      <c r="A67" s="3">
        <v>44284</v>
      </c>
      <c r="B67" t="s">
        <v>5</v>
      </c>
      <c r="C67">
        <v>95</v>
      </c>
      <c r="D67">
        <v>16300</v>
      </c>
      <c r="E67">
        <v>797</v>
      </c>
      <c r="F67">
        <v>15503</v>
      </c>
      <c r="G67">
        <v>5</v>
      </c>
      <c r="H67">
        <v>32768</v>
      </c>
      <c r="I67">
        <v>47</v>
      </c>
      <c r="J67" t="s">
        <v>1</v>
      </c>
      <c r="K67" t="s">
        <v>2</v>
      </c>
      <c r="L67" s="8">
        <f>UnilabUsage[[#This Row],[Used-MB]]-F57</f>
        <v>128</v>
      </c>
      <c r="M67">
        <f>UnilabUsage[[#This Row],[Max]]-UnilabUsage[[#This Row],[Used-MB]]</f>
        <v>17265</v>
      </c>
      <c r="N67" s="5">
        <f>IF($L67&gt;0,UnilabUsage[[#This Row],[Free-of-Max]]/UnilabUsage[[#This Row],[Usage-Delta-MB]],UnilabUsage[[#This Row],[Free-of-Max]])</f>
        <v>134.8828125</v>
      </c>
      <c r="R67" s="3">
        <v>44705</v>
      </c>
      <c r="S67" t="s">
        <v>3</v>
      </c>
      <c r="T67">
        <v>98</v>
      </c>
      <c r="U67">
        <v>413248</v>
      </c>
      <c r="V67">
        <v>6810</v>
      </c>
      <c r="W67">
        <v>406437</v>
      </c>
      <c r="X67">
        <v>2</v>
      </c>
      <c r="Y67">
        <v>425984</v>
      </c>
      <c r="Z67">
        <v>95</v>
      </c>
      <c r="AA67" t="s">
        <v>1</v>
      </c>
      <c r="AB67" t="s">
        <v>2</v>
      </c>
      <c r="AC67" s="8">
        <v>561</v>
      </c>
      <c r="AD67">
        <v>19547</v>
      </c>
      <c r="AE67" s="5">
        <v>34.843137254901961</v>
      </c>
      <c r="AI67" s="3">
        <v>44705</v>
      </c>
      <c r="AJ67" t="s">
        <v>8</v>
      </c>
      <c r="AK67">
        <v>88</v>
      </c>
      <c r="AL67">
        <v>294912</v>
      </c>
      <c r="AM67">
        <v>36209</v>
      </c>
      <c r="AN67">
        <v>258703</v>
      </c>
      <c r="AO67">
        <v>12</v>
      </c>
      <c r="AP67">
        <v>294912</v>
      </c>
      <c r="AQ67">
        <v>88</v>
      </c>
      <c r="AR67" t="s">
        <v>1</v>
      </c>
      <c r="AS67" t="s">
        <v>2</v>
      </c>
      <c r="AT67" s="8">
        <v>-1123</v>
      </c>
      <c r="AU67">
        <v>36209</v>
      </c>
      <c r="AV67" s="5">
        <v>36209</v>
      </c>
    </row>
    <row r="68" spans="1:48" x14ac:dyDescent="0.25">
      <c r="A68" s="3">
        <v>44284</v>
      </c>
      <c r="B68" t="s">
        <v>8</v>
      </c>
      <c r="C68">
        <v>89</v>
      </c>
      <c r="D68">
        <v>262144</v>
      </c>
      <c r="E68">
        <v>29751</v>
      </c>
      <c r="F68">
        <v>232393</v>
      </c>
      <c r="G68">
        <v>11</v>
      </c>
      <c r="H68">
        <v>262144</v>
      </c>
      <c r="I68">
        <v>89</v>
      </c>
      <c r="J68" t="s">
        <v>1</v>
      </c>
      <c r="K68" t="s">
        <v>2</v>
      </c>
      <c r="L68" s="8">
        <f>UnilabUsage[[#This Row],[Used-MB]]-F58</f>
        <v>347</v>
      </c>
      <c r="M68">
        <f>UnilabUsage[[#This Row],[Max]]-UnilabUsage[[#This Row],[Used-MB]]</f>
        <v>29751</v>
      </c>
      <c r="N68" s="5">
        <f>IF($L68&gt;0,UnilabUsage[[#This Row],[Free-of-Max]]/UnilabUsage[[#This Row],[Usage-Delta-MB]],UnilabUsage[[#This Row],[Free-of-Max]])</f>
        <v>85.737752161383284</v>
      </c>
      <c r="R68" s="3">
        <v>44719</v>
      </c>
      <c r="S68" t="s">
        <v>3</v>
      </c>
      <c r="T68">
        <v>99</v>
      </c>
      <c r="U68">
        <v>413248</v>
      </c>
      <c r="V68">
        <v>5878</v>
      </c>
      <c r="W68">
        <v>407370</v>
      </c>
      <c r="X68">
        <v>1</v>
      </c>
      <c r="Y68">
        <v>425984</v>
      </c>
      <c r="Z68">
        <v>96</v>
      </c>
      <c r="AA68" t="s">
        <v>1</v>
      </c>
      <c r="AB68" t="s">
        <v>2</v>
      </c>
      <c r="AC68" s="8">
        <v>933</v>
      </c>
      <c r="AD68">
        <v>18614</v>
      </c>
      <c r="AE68" s="5">
        <v>19.95069667738478</v>
      </c>
      <c r="AI68" s="3">
        <v>44719</v>
      </c>
      <c r="AJ68" t="s">
        <v>8</v>
      </c>
      <c r="AK68">
        <v>89</v>
      </c>
      <c r="AL68">
        <v>294912</v>
      </c>
      <c r="AM68">
        <v>33680</v>
      </c>
      <c r="AN68">
        <v>261232</v>
      </c>
      <c r="AO68">
        <v>11</v>
      </c>
      <c r="AP68">
        <v>294912</v>
      </c>
      <c r="AQ68">
        <v>89</v>
      </c>
      <c r="AR68" t="s">
        <v>1</v>
      </c>
      <c r="AS68" t="s">
        <v>2</v>
      </c>
      <c r="AT68" s="8">
        <v>2529</v>
      </c>
      <c r="AU68">
        <v>33680</v>
      </c>
      <c r="AV68" s="5">
        <v>13.317516805061288</v>
      </c>
    </row>
    <row r="69" spans="1:48" x14ac:dyDescent="0.25">
      <c r="A69" s="3">
        <v>44284</v>
      </c>
      <c r="B69" t="s">
        <v>4</v>
      </c>
      <c r="C69">
        <v>97</v>
      </c>
      <c r="D69">
        <v>74709</v>
      </c>
      <c r="E69">
        <v>1971</v>
      </c>
      <c r="F69">
        <v>72738</v>
      </c>
      <c r="G69">
        <v>3</v>
      </c>
      <c r="H69">
        <v>98304</v>
      </c>
      <c r="I69">
        <v>74</v>
      </c>
      <c r="J69" t="s">
        <v>1</v>
      </c>
      <c r="K69" t="s">
        <v>2</v>
      </c>
      <c r="L69" s="8">
        <f>UnilabUsage[[#This Row],[Used-MB]]-F59</f>
        <v>64</v>
      </c>
      <c r="M69">
        <f>UnilabUsage[[#This Row],[Max]]-UnilabUsage[[#This Row],[Used-MB]]</f>
        <v>25566</v>
      </c>
      <c r="N69" s="5">
        <f>IF($L69&gt;0,UnilabUsage[[#This Row],[Free-of-Max]]/UnilabUsage[[#This Row],[Usage-Delta-MB]],UnilabUsage[[#This Row],[Free-of-Max]])</f>
        <v>399.46875</v>
      </c>
      <c r="R69" s="3">
        <v>44726</v>
      </c>
      <c r="S69" t="s">
        <v>3</v>
      </c>
      <c r="T69">
        <v>99</v>
      </c>
      <c r="U69">
        <v>413248</v>
      </c>
      <c r="V69">
        <v>5285</v>
      </c>
      <c r="W69">
        <v>407963</v>
      </c>
      <c r="X69">
        <v>1</v>
      </c>
      <c r="Y69">
        <v>425984</v>
      </c>
      <c r="Z69">
        <v>96</v>
      </c>
      <c r="AA69" t="s">
        <v>1</v>
      </c>
      <c r="AB69" t="s">
        <v>2</v>
      </c>
      <c r="AC69" s="8">
        <v>593</v>
      </c>
      <c r="AD69">
        <v>18021</v>
      </c>
      <c r="AE69" s="5">
        <v>30.38954468802698</v>
      </c>
      <c r="AI69" s="3">
        <v>44726</v>
      </c>
      <c r="AJ69" t="s">
        <v>8</v>
      </c>
      <c r="AK69">
        <v>89</v>
      </c>
      <c r="AL69">
        <v>294912</v>
      </c>
      <c r="AM69">
        <v>33334</v>
      </c>
      <c r="AN69">
        <v>261578</v>
      </c>
      <c r="AO69">
        <v>11</v>
      </c>
      <c r="AP69">
        <v>294912</v>
      </c>
      <c r="AQ69">
        <v>89</v>
      </c>
      <c r="AR69" t="s">
        <v>1</v>
      </c>
      <c r="AS69" t="s">
        <v>2</v>
      </c>
      <c r="AT69" s="8">
        <v>346</v>
      </c>
      <c r="AU69">
        <v>33334</v>
      </c>
      <c r="AV69" s="5">
        <v>96.341040462427742</v>
      </c>
    </row>
    <row r="70" spans="1:48" x14ac:dyDescent="0.25">
      <c r="A70" s="3">
        <v>44284</v>
      </c>
      <c r="B70" t="s">
        <v>12</v>
      </c>
      <c r="C70">
        <v>0</v>
      </c>
      <c r="D70">
        <v>30720</v>
      </c>
      <c r="E70">
        <v>30594</v>
      </c>
      <c r="F70">
        <v>126</v>
      </c>
      <c r="G70">
        <v>100</v>
      </c>
      <c r="H70">
        <v>30720</v>
      </c>
      <c r="I70">
        <v>0</v>
      </c>
      <c r="J70" t="s">
        <v>1</v>
      </c>
      <c r="K70" t="s">
        <v>13</v>
      </c>
      <c r="L70" s="8">
        <f>UnilabUsage[[#This Row],[Used-MB]]-F60</f>
        <v>3</v>
      </c>
      <c r="M70">
        <f>UnilabUsage[[#This Row],[Max]]-UnilabUsage[[#This Row],[Used-MB]]</f>
        <v>30594</v>
      </c>
      <c r="N70" s="5">
        <f>IF($L70&gt;0,UnilabUsage[[#This Row],[Free-of-Max]]/UnilabUsage[[#This Row],[Usage-Delta-MB]],UnilabUsage[[#This Row],[Free-of-Max]])</f>
        <v>10198</v>
      </c>
      <c r="R70" s="3">
        <v>44739</v>
      </c>
      <c r="S70" t="s">
        <v>3</v>
      </c>
      <c r="T70">
        <v>99</v>
      </c>
      <c r="U70">
        <v>413248</v>
      </c>
      <c r="V70">
        <v>4161</v>
      </c>
      <c r="W70">
        <v>409087</v>
      </c>
      <c r="X70">
        <v>1</v>
      </c>
      <c r="Y70">
        <v>425984</v>
      </c>
      <c r="Z70">
        <v>96</v>
      </c>
      <c r="AA70" t="s">
        <v>1</v>
      </c>
      <c r="AB70" t="s">
        <v>2</v>
      </c>
      <c r="AC70" s="8">
        <v>1124</v>
      </c>
      <c r="AD70">
        <v>16897</v>
      </c>
      <c r="AE70" s="5">
        <v>15.032918149466193</v>
      </c>
      <c r="AI70" s="3">
        <v>44739</v>
      </c>
      <c r="AJ70" t="s">
        <v>8</v>
      </c>
      <c r="AK70">
        <v>89</v>
      </c>
      <c r="AL70">
        <v>294912</v>
      </c>
      <c r="AM70">
        <v>32441</v>
      </c>
      <c r="AN70">
        <v>262471</v>
      </c>
      <c r="AO70">
        <v>11</v>
      </c>
      <c r="AP70">
        <v>294912</v>
      </c>
      <c r="AQ70">
        <v>89</v>
      </c>
      <c r="AR70" t="s">
        <v>1</v>
      </c>
      <c r="AS70" t="s">
        <v>2</v>
      </c>
      <c r="AT70" s="8">
        <v>893</v>
      </c>
      <c r="AU70">
        <v>32441</v>
      </c>
      <c r="AV70" s="5">
        <v>36.328107502799554</v>
      </c>
    </row>
    <row r="71" spans="1:48" x14ac:dyDescent="0.25">
      <c r="A71" s="3">
        <v>44284</v>
      </c>
      <c r="B71" t="s">
        <v>9</v>
      </c>
      <c r="C71">
        <v>2</v>
      </c>
      <c r="D71">
        <v>10440</v>
      </c>
      <c r="E71">
        <v>10192</v>
      </c>
      <c r="F71">
        <v>248</v>
      </c>
      <c r="G71">
        <v>98</v>
      </c>
      <c r="H71">
        <v>32768</v>
      </c>
      <c r="I71">
        <v>1</v>
      </c>
      <c r="J71" t="s">
        <v>1</v>
      </c>
      <c r="K71" t="s">
        <v>10</v>
      </c>
      <c r="L71" s="8">
        <f>UnilabUsage[[#This Row],[Used-MB]]-F61</f>
        <v>102</v>
      </c>
      <c r="M71">
        <f>UnilabUsage[[#This Row],[Max]]-UnilabUsage[[#This Row],[Used-MB]]</f>
        <v>32520</v>
      </c>
      <c r="N71" s="5">
        <f>IF($L71&gt;0,UnilabUsage[[#This Row],[Free-of-Max]]/UnilabUsage[[#This Row],[Usage-Delta-MB]],UnilabUsage[[#This Row],[Free-of-Max]])</f>
        <v>318.8235294117647</v>
      </c>
      <c r="R71" s="3">
        <v>44745</v>
      </c>
      <c r="S71" t="s">
        <v>3</v>
      </c>
      <c r="T71">
        <v>99</v>
      </c>
      <c r="U71">
        <v>413248</v>
      </c>
      <c r="V71">
        <v>3823</v>
      </c>
      <c r="W71">
        <v>409425</v>
      </c>
      <c r="X71">
        <v>1</v>
      </c>
      <c r="Y71">
        <v>425984</v>
      </c>
      <c r="Z71">
        <v>96</v>
      </c>
      <c r="AA71" t="s">
        <v>1</v>
      </c>
      <c r="AB71" t="s">
        <v>2</v>
      </c>
      <c r="AC71" s="8">
        <v>338</v>
      </c>
      <c r="AD71">
        <v>16559</v>
      </c>
      <c r="AE71" s="5">
        <v>48.991124260355029</v>
      </c>
      <c r="AI71" s="3">
        <v>44745</v>
      </c>
      <c r="AJ71" t="s">
        <v>8</v>
      </c>
      <c r="AK71">
        <v>89</v>
      </c>
      <c r="AL71">
        <v>294912</v>
      </c>
      <c r="AM71">
        <v>31989</v>
      </c>
      <c r="AN71">
        <v>262922</v>
      </c>
      <c r="AO71">
        <v>11</v>
      </c>
      <c r="AP71">
        <v>294912</v>
      </c>
      <c r="AQ71">
        <v>89</v>
      </c>
      <c r="AR71" t="s">
        <v>1</v>
      </c>
      <c r="AS71" t="s">
        <v>2</v>
      </c>
      <c r="AT71" s="8">
        <v>451</v>
      </c>
      <c r="AU71">
        <v>31990</v>
      </c>
      <c r="AV71" s="5">
        <v>70.931263858093132</v>
      </c>
    </row>
    <row r="72" spans="1:48" x14ac:dyDescent="0.25">
      <c r="A72" s="3">
        <v>44292</v>
      </c>
      <c r="B72" t="s">
        <v>7</v>
      </c>
      <c r="C72">
        <v>96</v>
      </c>
      <c r="D72">
        <v>1130</v>
      </c>
      <c r="E72">
        <v>48</v>
      </c>
      <c r="F72">
        <v>1082</v>
      </c>
      <c r="G72">
        <v>4</v>
      </c>
      <c r="H72">
        <v>32768</v>
      </c>
      <c r="I72">
        <v>3</v>
      </c>
      <c r="J72" t="s">
        <v>1</v>
      </c>
      <c r="K72" t="s">
        <v>2</v>
      </c>
      <c r="L72" s="8">
        <f>UnilabUsage[[#This Row],[Used-MB]]-F62</f>
        <v>15</v>
      </c>
      <c r="M72">
        <f>UnilabUsage[[#This Row],[Max]]-UnilabUsage[[#This Row],[Used-MB]]</f>
        <v>31686</v>
      </c>
      <c r="N72" s="5">
        <f>IF($L72&gt;0,UnilabUsage[[#This Row],[Free-of-Max]]/UnilabUsage[[#This Row],[Usage-Delta-MB]],UnilabUsage[[#This Row],[Free-of-Max]])</f>
        <v>2112.4</v>
      </c>
      <c r="R72" s="3">
        <v>44760</v>
      </c>
      <c r="S72" t="s">
        <v>3</v>
      </c>
      <c r="T72">
        <v>99</v>
      </c>
      <c r="U72">
        <v>413248</v>
      </c>
      <c r="V72">
        <v>3077</v>
      </c>
      <c r="W72">
        <v>410171</v>
      </c>
      <c r="X72">
        <v>1</v>
      </c>
      <c r="Y72">
        <v>425984</v>
      </c>
      <c r="Z72">
        <v>96</v>
      </c>
      <c r="AA72" t="s">
        <v>1</v>
      </c>
      <c r="AB72" t="s">
        <v>2</v>
      </c>
      <c r="AC72" s="8">
        <v>746</v>
      </c>
      <c r="AD72">
        <v>15813</v>
      </c>
      <c r="AE72" s="5">
        <v>21.197050938337803</v>
      </c>
      <c r="AI72" s="3">
        <v>44760</v>
      </c>
      <c r="AJ72" t="s">
        <v>8</v>
      </c>
      <c r="AK72">
        <v>89</v>
      </c>
      <c r="AL72">
        <v>294912</v>
      </c>
      <c r="AM72">
        <v>31227</v>
      </c>
      <c r="AN72">
        <v>263684</v>
      </c>
      <c r="AO72">
        <v>11</v>
      </c>
      <c r="AP72">
        <v>294912</v>
      </c>
      <c r="AQ72">
        <v>89</v>
      </c>
      <c r="AR72" t="s">
        <v>1</v>
      </c>
      <c r="AS72" t="s">
        <v>2</v>
      </c>
      <c r="AT72" s="8">
        <v>762</v>
      </c>
      <c r="AU72">
        <v>31228</v>
      </c>
      <c r="AV72" s="5">
        <v>40.981627296587924</v>
      </c>
    </row>
    <row r="73" spans="1:48" x14ac:dyDescent="0.25">
      <c r="A73" s="3">
        <v>44292</v>
      </c>
      <c r="B73" t="s">
        <v>0</v>
      </c>
      <c r="C73">
        <v>100</v>
      </c>
      <c r="D73">
        <v>15200</v>
      </c>
      <c r="E73">
        <v>23</v>
      </c>
      <c r="F73">
        <v>15177</v>
      </c>
      <c r="G73">
        <v>0</v>
      </c>
      <c r="H73">
        <v>32768</v>
      </c>
      <c r="I73">
        <v>46</v>
      </c>
      <c r="J73" t="s">
        <v>1</v>
      </c>
      <c r="K73" t="s">
        <v>2</v>
      </c>
      <c r="L73" s="8">
        <f>UnilabUsage[[#This Row],[Used-MB]]-F63</f>
        <v>64</v>
      </c>
      <c r="M73">
        <f>UnilabUsage[[#This Row],[Max]]-UnilabUsage[[#This Row],[Used-MB]]</f>
        <v>17591</v>
      </c>
      <c r="N73" s="5">
        <f>IF($L73&gt;0,UnilabUsage[[#This Row],[Free-of-Max]]/UnilabUsage[[#This Row],[Usage-Delta-MB]],UnilabUsage[[#This Row],[Free-of-Max]])</f>
        <v>274.859375</v>
      </c>
      <c r="R73" s="3">
        <v>44767</v>
      </c>
      <c r="S73" t="s">
        <v>3</v>
      </c>
      <c r="T73">
        <v>99</v>
      </c>
      <c r="U73">
        <v>413248</v>
      </c>
      <c r="V73">
        <v>2684</v>
      </c>
      <c r="W73">
        <v>410564</v>
      </c>
      <c r="X73">
        <v>1</v>
      </c>
      <c r="Y73">
        <v>425984</v>
      </c>
      <c r="Z73">
        <v>96</v>
      </c>
      <c r="AA73" t="s">
        <v>1</v>
      </c>
      <c r="AB73" t="s">
        <v>2</v>
      </c>
      <c r="AC73" s="8">
        <v>393</v>
      </c>
      <c r="AD73">
        <v>15420</v>
      </c>
      <c r="AE73" s="5">
        <v>39.236641221374043</v>
      </c>
      <c r="AI73" s="3">
        <v>44767</v>
      </c>
      <c r="AJ73" t="s">
        <v>8</v>
      </c>
      <c r="AK73">
        <v>89</v>
      </c>
      <c r="AL73">
        <v>294912</v>
      </c>
      <c r="AM73">
        <v>31017</v>
      </c>
      <c r="AN73">
        <v>263895</v>
      </c>
      <c r="AO73">
        <v>11</v>
      </c>
      <c r="AP73">
        <v>294912</v>
      </c>
      <c r="AQ73">
        <v>89</v>
      </c>
      <c r="AR73" t="s">
        <v>1</v>
      </c>
      <c r="AS73" t="s">
        <v>2</v>
      </c>
      <c r="AT73" s="8">
        <v>211</v>
      </c>
      <c r="AU73">
        <v>31017</v>
      </c>
      <c r="AV73" s="5">
        <v>147</v>
      </c>
    </row>
    <row r="74" spans="1:48" x14ac:dyDescent="0.25">
      <c r="A74" s="3">
        <v>44292</v>
      </c>
      <c r="B74" t="s">
        <v>11</v>
      </c>
      <c r="C74">
        <v>1</v>
      </c>
      <c r="D74">
        <v>100</v>
      </c>
      <c r="E74">
        <v>99</v>
      </c>
      <c r="F74">
        <v>1</v>
      </c>
      <c r="G74">
        <v>99</v>
      </c>
      <c r="H74">
        <v>32768</v>
      </c>
      <c r="I74">
        <v>0</v>
      </c>
      <c r="J74" t="s">
        <v>1</v>
      </c>
      <c r="K74" t="s">
        <v>2</v>
      </c>
      <c r="L74" s="8">
        <f>UnilabUsage[[#This Row],[Used-MB]]-F64</f>
        <v>0</v>
      </c>
      <c r="M74">
        <f>UnilabUsage[[#This Row],[Max]]-UnilabUsage[[#This Row],[Used-MB]]</f>
        <v>32767</v>
      </c>
      <c r="N74" s="5">
        <f>IF($L74&gt;0,UnilabUsage[[#This Row],[Free-of-Max]]/UnilabUsage[[#This Row],[Usage-Delta-MB]],UnilabUsage[[#This Row],[Free-of-Max]])</f>
        <v>32767</v>
      </c>
      <c r="R74" s="3">
        <v>44781</v>
      </c>
      <c r="S74" t="s">
        <v>3</v>
      </c>
      <c r="T74">
        <v>100</v>
      </c>
      <c r="U74">
        <v>413248</v>
      </c>
      <c r="V74">
        <v>1992</v>
      </c>
      <c r="W74">
        <v>411256</v>
      </c>
      <c r="X74">
        <v>0</v>
      </c>
      <c r="Y74">
        <v>425984</v>
      </c>
      <c r="Z74">
        <v>97</v>
      </c>
      <c r="AA74" t="s">
        <v>1</v>
      </c>
      <c r="AB74" t="s">
        <v>2</v>
      </c>
      <c r="AC74" s="8">
        <v>692</v>
      </c>
      <c r="AD74">
        <v>14728</v>
      </c>
      <c r="AE74" s="5">
        <v>21.283236994219653</v>
      </c>
      <c r="AI74" s="3">
        <v>44781</v>
      </c>
      <c r="AJ74" t="s">
        <v>8</v>
      </c>
      <c r="AK74">
        <v>90</v>
      </c>
      <c r="AL74">
        <v>294912</v>
      </c>
      <c r="AM74">
        <v>30631</v>
      </c>
      <c r="AN74">
        <v>264281</v>
      </c>
      <c r="AO74">
        <v>10</v>
      </c>
      <c r="AP74">
        <v>294912</v>
      </c>
      <c r="AQ74">
        <v>90</v>
      </c>
      <c r="AR74" t="s">
        <v>1</v>
      </c>
      <c r="AS74" t="s">
        <v>2</v>
      </c>
      <c r="AT74" s="8">
        <v>386</v>
      </c>
      <c r="AU74">
        <v>30631</v>
      </c>
      <c r="AV74" s="5">
        <v>79.354922279792746</v>
      </c>
    </row>
    <row r="75" spans="1:48" x14ac:dyDescent="0.25">
      <c r="A75" s="3">
        <v>44292</v>
      </c>
      <c r="B75" t="s">
        <v>6</v>
      </c>
      <c r="C75">
        <v>95</v>
      </c>
      <c r="D75">
        <v>6415</v>
      </c>
      <c r="E75">
        <v>312</v>
      </c>
      <c r="F75">
        <v>6103</v>
      </c>
      <c r="G75">
        <v>5</v>
      </c>
      <c r="H75">
        <v>32768</v>
      </c>
      <c r="I75">
        <v>19</v>
      </c>
      <c r="J75" t="s">
        <v>1</v>
      </c>
      <c r="K75" t="s">
        <v>2</v>
      </c>
      <c r="L75" s="8">
        <f>UnilabUsage[[#This Row],[Used-MB]]-F65</f>
        <v>8</v>
      </c>
      <c r="M75">
        <f>UnilabUsage[[#This Row],[Max]]-UnilabUsage[[#This Row],[Used-MB]]</f>
        <v>26665</v>
      </c>
      <c r="N75" s="5">
        <f>IF($L75&gt;0,UnilabUsage[[#This Row],[Free-of-Max]]/UnilabUsage[[#This Row],[Usage-Delta-MB]],UnilabUsage[[#This Row],[Free-of-Max]])</f>
        <v>3333.125</v>
      </c>
      <c r="R75" s="3">
        <v>44786</v>
      </c>
      <c r="S75" t="s">
        <v>3</v>
      </c>
      <c r="T75">
        <v>97</v>
      </c>
      <c r="U75">
        <v>425984</v>
      </c>
      <c r="V75">
        <v>13648</v>
      </c>
      <c r="W75">
        <v>412336</v>
      </c>
      <c r="X75">
        <v>3</v>
      </c>
      <c r="Y75">
        <v>425984</v>
      </c>
      <c r="Z75">
        <v>97</v>
      </c>
      <c r="AA75" t="s">
        <v>1</v>
      </c>
      <c r="AB75" t="s">
        <v>2</v>
      </c>
      <c r="AC75" s="8">
        <v>1080</v>
      </c>
      <c r="AD75">
        <v>13648</v>
      </c>
      <c r="AE75" s="5">
        <v>12.637037037037038</v>
      </c>
      <c r="AI75" s="3">
        <v>44786</v>
      </c>
      <c r="AJ75" t="s">
        <v>8</v>
      </c>
      <c r="AK75">
        <v>90</v>
      </c>
      <c r="AL75">
        <v>294912</v>
      </c>
      <c r="AM75">
        <v>29844</v>
      </c>
      <c r="AN75">
        <v>265068</v>
      </c>
      <c r="AO75">
        <v>10</v>
      </c>
      <c r="AP75">
        <v>294912</v>
      </c>
      <c r="AQ75">
        <v>90</v>
      </c>
      <c r="AR75" t="s">
        <v>1</v>
      </c>
      <c r="AS75" t="s">
        <v>2</v>
      </c>
      <c r="AT75" s="8">
        <v>787</v>
      </c>
      <c r="AU75">
        <v>29844</v>
      </c>
      <c r="AV75" s="5">
        <v>37.921219822109279</v>
      </c>
    </row>
    <row r="76" spans="1:48" x14ac:dyDescent="0.25">
      <c r="A76" s="3">
        <v>44292</v>
      </c>
      <c r="B76" t="s">
        <v>3</v>
      </c>
      <c r="C76">
        <v>95</v>
      </c>
      <c r="D76">
        <v>377328</v>
      </c>
      <c r="E76">
        <v>17672</v>
      </c>
      <c r="F76">
        <v>359656</v>
      </c>
      <c r="G76">
        <v>5</v>
      </c>
      <c r="H76">
        <v>393216</v>
      </c>
      <c r="I76">
        <v>91</v>
      </c>
      <c r="J76" t="s">
        <v>1</v>
      </c>
      <c r="K76" t="s">
        <v>2</v>
      </c>
      <c r="L76" s="8">
        <f>UnilabUsage[[#This Row],[Used-MB]]-F66</f>
        <v>696</v>
      </c>
      <c r="M76">
        <f>UnilabUsage[[#This Row],[Max]]-UnilabUsage[[#This Row],[Used-MB]]</f>
        <v>33560</v>
      </c>
      <c r="N76" s="5">
        <f>IF($L76&gt;0,UnilabUsage[[#This Row],[Free-of-Max]]/UnilabUsage[[#This Row],[Usage-Delta-MB]],UnilabUsage[[#This Row],[Free-of-Max]])</f>
        <v>48.218390804597703</v>
      </c>
      <c r="R76" s="3">
        <v>44809</v>
      </c>
      <c r="S76" t="s">
        <v>3</v>
      </c>
      <c r="T76">
        <v>97</v>
      </c>
      <c r="U76">
        <v>425984</v>
      </c>
      <c r="V76">
        <v>12593</v>
      </c>
      <c r="W76">
        <v>413391</v>
      </c>
      <c r="X76">
        <v>3</v>
      </c>
      <c r="Y76">
        <v>425984</v>
      </c>
      <c r="Z76">
        <v>97</v>
      </c>
      <c r="AA76" t="s">
        <v>1</v>
      </c>
      <c r="AB76" t="s">
        <v>2</v>
      </c>
      <c r="AC76" s="8">
        <v>1055</v>
      </c>
      <c r="AD76">
        <v>12593</v>
      </c>
      <c r="AE76" s="5">
        <v>11.936492890995261</v>
      </c>
      <c r="AI76" s="3">
        <v>44809</v>
      </c>
      <c r="AJ76" t="s">
        <v>8</v>
      </c>
      <c r="AK76">
        <v>90</v>
      </c>
      <c r="AL76">
        <v>294912</v>
      </c>
      <c r="AM76">
        <v>28958</v>
      </c>
      <c r="AN76">
        <v>265954</v>
      </c>
      <c r="AO76">
        <v>10</v>
      </c>
      <c r="AP76">
        <v>294912</v>
      </c>
      <c r="AQ76">
        <v>90</v>
      </c>
      <c r="AR76" t="s">
        <v>1</v>
      </c>
      <c r="AS76" t="s">
        <v>2</v>
      </c>
      <c r="AT76" s="8">
        <v>886</v>
      </c>
      <c r="AU76">
        <v>28958</v>
      </c>
      <c r="AV76" s="5">
        <v>32.683972911963885</v>
      </c>
    </row>
    <row r="77" spans="1:48" x14ac:dyDescent="0.25">
      <c r="A77" s="3">
        <v>44292</v>
      </c>
      <c r="B77" t="s">
        <v>5</v>
      </c>
      <c r="C77">
        <v>95</v>
      </c>
      <c r="D77">
        <v>16300</v>
      </c>
      <c r="E77">
        <v>797</v>
      </c>
      <c r="F77">
        <v>15503</v>
      </c>
      <c r="G77">
        <v>5</v>
      </c>
      <c r="H77">
        <v>32768</v>
      </c>
      <c r="I77">
        <v>47</v>
      </c>
      <c r="J77" t="s">
        <v>1</v>
      </c>
      <c r="K77" t="s">
        <v>2</v>
      </c>
      <c r="L77" s="8">
        <f>UnilabUsage[[#This Row],[Used-MB]]-F67</f>
        <v>0</v>
      </c>
      <c r="M77">
        <f>UnilabUsage[[#This Row],[Max]]-UnilabUsage[[#This Row],[Used-MB]]</f>
        <v>17265</v>
      </c>
      <c r="N77" s="5">
        <f>IF($L77&gt;0,UnilabUsage[[#This Row],[Free-of-Max]]/UnilabUsage[[#This Row],[Usage-Delta-MB]],UnilabUsage[[#This Row],[Free-of-Max]])</f>
        <v>17265</v>
      </c>
      <c r="R77" s="3">
        <v>44817</v>
      </c>
      <c r="S77" t="s">
        <v>3</v>
      </c>
      <c r="T77">
        <v>97</v>
      </c>
      <c r="U77">
        <v>425984</v>
      </c>
      <c r="V77">
        <v>12057</v>
      </c>
      <c r="W77">
        <v>413927</v>
      </c>
      <c r="X77">
        <v>3</v>
      </c>
      <c r="Y77">
        <v>425984</v>
      </c>
      <c r="Z77">
        <v>97</v>
      </c>
      <c r="AA77" t="s">
        <v>1</v>
      </c>
      <c r="AB77" t="s">
        <v>2</v>
      </c>
      <c r="AC77" s="8">
        <v>536</v>
      </c>
      <c r="AD77">
        <v>12057</v>
      </c>
      <c r="AE77" s="5">
        <v>22.494402985074625</v>
      </c>
      <c r="AI77" s="3">
        <v>44817</v>
      </c>
      <c r="AJ77" t="s">
        <v>8</v>
      </c>
      <c r="AK77">
        <v>90</v>
      </c>
      <c r="AL77">
        <v>294912</v>
      </c>
      <c r="AM77">
        <v>28395</v>
      </c>
      <c r="AN77">
        <v>266517</v>
      </c>
      <c r="AO77">
        <v>10</v>
      </c>
      <c r="AP77">
        <v>294912</v>
      </c>
      <c r="AQ77">
        <v>90</v>
      </c>
      <c r="AR77" t="s">
        <v>1</v>
      </c>
      <c r="AS77" t="s">
        <v>2</v>
      </c>
      <c r="AT77" s="8">
        <v>563</v>
      </c>
      <c r="AU77">
        <v>28395</v>
      </c>
      <c r="AV77" s="5">
        <v>50.43516873889876</v>
      </c>
    </row>
    <row r="78" spans="1:48" x14ac:dyDescent="0.25">
      <c r="A78" s="3">
        <v>44292</v>
      </c>
      <c r="B78" t="s">
        <v>8</v>
      </c>
      <c r="C78">
        <v>89</v>
      </c>
      <c r="D78">
        <v>262144</v>
      </c>
      <c r="E78">
        <v>29386</v>
      </c>
      <c r="F78">
        <v>232758</v>
      </c>
      <c r="G78">
        <v>11</v>
      </c>
      <c r="H78">
        <v>262144</v>
      </c>
      <c r="I78">
        <v>89</v>
      </c>
      <c r="J78" t="s">
        <v>1</v>
      </c>
      <c r="K78" t="s">
        <v>2</v>
      </c>
      <c r="L78" s="8">
        <f>UnilabUsage[[#This Row],[Used-MB]]-F68</f>
        <v>365</v>
      </c>
      <c r="M78">
        <f>UnilabUsage[[#This Row],[Max]]-UnilabUsage[[#This Row],[Used-MB]]</f>
        <v>29386</v>
      </c>
      <c r="N78" s="5">
        <f>IF($L78&gt;0,UnilabUsage[[#This Row],[Free-of-Max]]/UnilabUsage[[#This Row],[Usage-Delta-MB]],UnilabUsage[[#This Row],[Free-of-Max]])</f>
        <v>80.509589041095893</v>
      </c>
      <c r="R78" s="3">
        <v>44823</v>
      </c>
      <c r="S78" t="s">
        <v>3</v>
      </c>
      <c r="T78">
        <v>97</v>
      </c>
      <c r="U78">
        <v>425984</v>
      </c>
      <c r="V78">
        <v>11465</v>
      </c>
      <c r="W78">
        <v>414519</v>
      </c>
      <c r="X78">
        <v>3</v>
      </c>
      <c r="Y78">
        <v>425984</v>
      </c>
      <c r="Z78">
        <v>97</v>
      </c>
      <c r="AA78" t="s">
        <v>1</v>
      </c>
      <c r="AB78" t="s">
        <v>2</v>
      </c>
      <c r="AC78" s="8">
        <v>592</v>
      </c>
      <c r="AD78">
        <v>11465</v>
      </c>
      <c r="AE78" s="5">
        <v>19.366554054054053</v>
      </c>
      <c r="AI78" s="3">
        <v>44823</v>
      </c>
      <c r="AJ78" t="s">
        <v>8</v>
      </c>
      <c r="AK78">
        <v>90</v>
      </c>
      <c r="AL78">
        <v>294912</v>
      </c>
      <c r="AM78">
        <v>28086</v>
      </c>
      <c r="AN78">
        <v>266826</v>
      </c>
      <c r="AO78">
        <v>10</v>
      </c>
      <c r="AP78">
        <v>294912</v>
      </c>
      <c r="AQ78">
        <v>90</v>
      </c>
      <c r="AR78" t="s">
        <v>1</v>
      </c>
      <c r="AS78" t="s">
        <v>2</v>
      </c>
      <c r="AT78" s="8">
        <v>309</v>
      </c>
      <c r="AU78">
        <v>28086</v>
      </c>
      <c r="AV78" s="5">
        <v>90.893203883495147</v>
      </c>
    </row>
    <row r="79" spans="1:48" x14ac:dyDescent="0.25">
      <c r="A79" s="3">
        <v>44292</v>
      </c>
      <c r="B79" t="s">
        <v>4</v>
      </c>
      <c r="C79">
        <v>98</v>
      </c>
      <c r="D79">
        <v>74709</v>
      </c>
      <c r="E79">
        <v>1523</v>
      </c>
      <c r="F79">
        <v>73186</v>
      </c>
      <c r="G79">
        <v>2</v>
      </c>
      <c r="H79">
        <v>98304</v>
      </c>
      <c r="I79">
        <v>74</v>
      </c>
      <c r="J79" t="s">
        <v>1</v>
      </c>
      <c r="K79" t="s">
        <v>2</v>
      </c>
      <c r="L79" s="8">
        <f>UnilabUsage[[#This Row],[Used-MB]]-F69</f>
        <v>448</v>
      </c>
      <c r="M79">
        <f>UnilabUsage[[#This Row],[Max]]-UnilabUsage[[#This Row],[Used-MB]]</f>
        <v>25118</v>
      </c>
      <c r="N79" s="5">
        <f>IF($L79&gt;0,UnilabUsage[[#This Row],[Free-of-Max]]/UnilabUsage[[#This Row],[Usage-Delta-MB]],UnilabUsage[[#This Row],[Free-of-Max]])</f>
        <v>56.066964285714285</v>
      </c>
      <c r="R79" s="3">
        <v>44830</v>
      </c>
      <c r="S79" t="s">
        <v>3</v>
      </c>
      <c r="T79">
        <v>97</v>
      </c>
      <c r="U79">
        <v>425984</v>
      </c>
      <c r="V79">
        <v>10943</v>
      </c>
      <c r="W79">
        <v>415041</v>
      </c>
      <c r="X79">
        <v>3</v>
      </c>
      <c r="Y79">
        <v>425984</v>
      </c>
      <c r="Z79">
        <v>97</v>
      </c>
      <c r="AA79" t="s">
        <v>1</v>
      </c>
      <c r="AB79" t="s">
        <v>2</v>
      </c>
      <c r="AC79" s="8">
        <v>522</v>
      </c>
      <c r="AD79">
        <v>10943</v>
      </c>
      <c r="AE79" s="5">
        <v>20.963601532567051</v>
      </c>
      <c r="AI79" s="3">
        <v>44830</v>
      </c>
      <c r="AJ79" t="s">
        <v>8</v>
      </c>
      <c r="AK79">
        <v>91</v>
      </c>
      <c r="AL79">
        <v>294912</v>
      </c>
      <c r="AM79">
        <v>27757</v>
      </c>
      <c r="AN79">
        <v>267155</v>
      </c>
      <c r="AO79">
        <v>9</v>
      </c>
      <c r="AP79">
        <v>294912</v>
      </c>
      <c r="AQ79">
        <v>91</v>
      </c>
      <c r="AR79" t="s">
        <v>1</v>
      </c>
      <c r="AS79" t="s">
        <v>2</v>
      </c>
      <c r="AT79" s="8">
        <v>329</v>
      </c>
      <c r="AU79">
        <v>27757</v>
      </c>
      <c r="AV79" s="5">
        <v>84.367781155015194</v>
      </c>
    </row>
    <row r="80" spans="1:48" x14ac:dyDescent="0.25">
      <c r="A80" s="3">
        <v>44292</v>
      </c>
      <c r="B80" t="s">
        <v>12</v>
      </c>
      <c r="C80">
        <v>0</v>
      </c>
      <c r="D80">
        <v>30720</v>
      </c>
      <c r="E80">
        <v>30624</v>
      </c>
      <c r="F80">
        <v>96</v>
      </c>
      <c r="G80">
        <v>100</v>
      </c>
      <c r="H80">
        <v>30720</v>
      </c>
      <c r="I80">
        <v>0</v>
      </c>
      <c r="J80" t="s">
        <v>1</v>
      </c>
      <c r="K80" t="s">
        <v>13</v>
      </c>
      <c r="L80" s="8">
        <f>UnilabUsage[[#This Row],[Used-MB]]-F70</f>
        <v>-30</v>
      </c>
      <c r="M80">
        <f>UnilabUsage[[#This Row],[Max]]-UnilabUsage[[#This Row],[Used-MB]]</f>
        <v>30624</v>
      </c>
      <c r="N80" s="5">
        <f>IF($L80&gt;0,UnilabUsage[[#This Row],[Free-of-Max]]/UnilabUsage[[#This Row],[Usage-Delta-MB]],UnilabUsage[[#This Row],[Free-of-Max]])</f>
        <v>30624</v>
      </c>
      <c r="R80" s="3">
        <v>44837</v>
      </c>
      <c r="S80" t="s">
        <v>3</v>
      </c>
      <c r="T80">
        <v>98</v>
      </c>
      <c r="U80">
        <v>425984</v>
      </c>
      <c r="V80">
        <v>10541</v>
      </c>
      <c r="W80">
        <v>415442</v>
      </c>
      <c r="X80">
        <v>2</v>
      </c>
      <c r="Y80">
        <v>425984</v>
      </c>
      <c r="Z80">
        <v>98</v>
      </c>
      <c r="AA80" t="s">
        <v>1</v>
      </c>
      <c r="AB80" t="s">
        <v>2</v>
      </c>
      <c r="AC80" s="8">
        <v>401</v>
      </c>
      <c r="AD80">
        <v>10542</v>
      </c>
      <c r="AE80" s="5">
        <v>26.289276807980048</v>
      </c>
      <c r="AI80" s="3">
        <v>44837</v>
      </c>
      <c r="AJ80" t="s">
        <v>8</v>
      </c>
      <c r="AK80">
        <v>91</v>
      </c>
      <c r="AL80">
        <v>294912</v>
      </c>
      <c r="AM80">
        <v>27388</v>
      </c>
      <c r="AN80">
        <v>267524</v>
      </c>
      <c r="AO80">
        <v>9</v>
      </c>
      <c r="AP80">
        <v>294912</v>
      </c>
      <c r="AQ80">
        <v>91</v>
      </c>
      <c r="AR80" t="s">
        <v>1</v>
      </c>
      <c r="AS80" t="s">
        <v>2</v>
      </c>
      <c r="AT80" s="8">
        <v>369</v>
      </c>
      <c r="AU80">
        <v>27388</v>
      </c>
      <c r="AV80" s="5">
        <v>74.222222222222229</v>
      </c>
    </row>
    <row r="81" spans="1:48" x14ac:dyDescent="0.25">
      <c r="A81" s="3">
        <v>44292</v>
      </c>
      <c r="B81" t="s">
        <v>9</v>
      </c>
      <c r="C81">
        <v>1</v>
      </c>
      <c r="D81">
        <v>10440</v>
      </c>
      <c r="E81">
        <v>10329</v>
      </c>
      <c r="F81">
        <v>111</v>
      </c>
      <c r="G81">
        <v>99</v>
      </c>
      <c r="H81">
        <v>32768</v>
      </c>
      <c r="I81">
        <v>0</v>
      </c>
      <c r="J81" t="s">
        <v>1</v>
      </c>
      <c r="K81" t="s">
        <v>10</v>
      </c>
      <c r="L81" s="8">
        <f>UnilabUsage[[#This Row],[Used-MB]]-F71</f>
        <v>-137</v>
      </c>
      <c r="M81">
        <f>UnilabUsage[[#This Row],[Max]]-UnilabUsage[[#This Row],[Used-MB]]</f>
        <v>32657</v>
      </c>
      <c r="N81" s="5">
        <f>IF($L81&gt;0,UnilabUsage[[#This Row],[Free-of-Max]]/UnilabUsage[[#This Row],[Usage-Delta-MB]],UnilabUsage[[#This Row],[Free-of-Max]])</f>
        <v>32657</v>
      </c>
      <c r="R81" s="3">
        <v>44844</v>
      </c>
      <c r="S81" t="s">
        <v>3</v>
      </c>
      <c r="T81">
        <v>98</v>
      </c>
      <c r="U81">
        <v>425984</v>
      </c>
      <c r="V81">
        <v>10113</v>
      </c>
      <c r="W81">
        <v>415870</v>
      </c>
      <c r="X81">
        <v>2</v>
      </c>
      <c r="Y81">
        <v>425984</v>
      </c>
      <c r="Z81">
        <v>98</v>
      </c>
      <c r="AA81" t="s">
        <v>1</v>
      </c>
      <c r="AB81" t="s">
        <v>2</v>
      </c>
      <c r="AC81" s="8">
        <v>428</v>
      </c>
      <c r="AD81">
        <v>10114</v>
      </c>
      <c r="AE81" s="5">
        <v>23.630841121495326</v>
      </c>
      <c r="AI81" s="3">
        <v>44844</v>
      </c>
      <c r="AJ81" t="s">
        <v>8</v>
      </c>
      <c r="AK81">
        <v>91</v>
      </c>
      <c r="AL81">
        <v>294912</v>
      </c>
      <c r="AM81">
        <v>27083</v>
      </c>
      <c r="AN81">
        <v>267829</v>
      </c>
      <c r="AO81">
        <v>9</v>
      </c>
      <c r="AP81">
        <v>294912</v>
      </c>
      <c r="AQ81">
        <v>91</v>
      </c>
      <c r="AR81" t="s">
        <v>1</v>
      </c>
      <c r="AS81" t="s">
        <v>2</v>
      </c>
      <c r="AT81" s="8">
        <v>305</v>
      </c>
      <c r="AU81">
        <v>27083</v>
      </c>
      <c r="AV81" s="5">
        <v>88.796721311475409</v>
      </c>
    </row>
    <row r="82" spans="1:48" x14ac:dyDescent="0.25">
      <c r="A82" s="3">
        <v>44298</v>
      </c>
      <c r="B82" t="s">
        <v>7</v>
      </c>
      <c r="C82">
        <v>96</v>
      </c>
      <c r="D82">
        <v>1130</v>
      </c>
      <c r="E82">
        <v>48</v>
      </c>
      <c r="F82">
        <v>1082</v>
      </c>
      <c r="G82">
        <v>4</v>
      </c>
      <c r="H82">
        <v>32768</v>
      </c>
      <c r="I82">
        <v>3</v>
      </c>
      <c r="J82" t="s">
        <v>1</v>
      </c>
      <c r="K82" t="s">
        <v>2</v>
      </c>
      <c r="L82" s="8">
        <f>UnilabUsage[[#This Row],[Used-MB]]-F72</f>
        <v>0</v>
      </c>
      <c r="M82">
        <f>UnilabUsage[[#This Row],[Max]]-UnilabUsage[[#This Row],[Used-MB]]</f>
        <v>31686</v>
      </c>
      <c r="N82" s="5">
        <f>IF($L82&gt;0,UnilabUsage[[#This Row],[Free-of-Max]]/UnilabUsage[[#This Row],[Usage-Delta-MB]],UnilabUsage[[#This Row],[Free-of-Max]])</f>
        <v>31686</v>
      </c>
      <c r="R82" s="3">
        <v>44865</v>
      </c>
      <c r="S82" t="s">
        <v>3</v>
      </c>
      <c r="T82">
        <v>98</v>
      </c>
      <c r="U82">
        <v>425984</v>
      </c>
      <c r="V82">
        <v>8399</v>
      </c>
      <c r="W82">
        <v>417585</v>
      </c>
      <c r="X82">
        <v>2</v>
      </c>
      <c r="Y82">
        <v>425984</v>
      </c>
      <c r="Z82">
        <v>98</v>
      </c>
      <c r="AA82" t="s">
        <v>1</v>
      </c>
      <c r="AB82" t="s">
        <v>2</v>
      </c>
      <c r="AC82" s="8">
        <v>1715</v>
      </c>
      <c r="AD82">
        <v>8399</v>
      </c>
      <c r="AE82" s="5">
        <v>4.8973760932944606</v>
      </c>
      <c r="AI82" s="3">
        <v>44865</v>
      </c>
      <c r="AJ82" t="s">
        <v>8</v>
      </c>
      <c r="AK82">
        <v>91</v>
      </c>
      <c r="AL82">
        <v>294912</v>
      </c>
      <c r="AM82">
        <v>25355</v>
      </c>
      <c r="AN82">
        <v>269557</v>
      </c>
      <c r="AO82">
        <v>9</v>
      </c>
      <c r="AP82">
        <v>294912</v>
      </c>
      <c r="AQ82">
        <v>91</v>
      </c>
      <c r="AR82" t="s">
        <v>1</v>
      </c>
      <c r="AS82" t="s">
        <v>2</v>
      </c>
      <c r="AT82" s="8">
        <v>1728</v>
      </c>
      <c r="AU82">
        <v>25355</v>
      </c>
      <c r="AV82" s="5">
        <v>14.673032407407407</v>
      </c>
    </row>
    <row r="83" spans="1:48" x14ac:dyDescent="0.25">
      <c r="A83" s="3">
        <v>44298</v>
      </c>
      <c r="B83" t="s">
        <v>0</v>
      </c>
      <c r="C83">
        <v>100</v>
      </c>
      <c r="D83">
        <v>15300</v>
      </c>
      <c r="E83">
        <v>59</v>
      </c>
      <c r="F83">
        <v>15241</v>
      </c>
      <c r="G83">
        <v>0</v>
      </c>
      <c r="H83">
        <v>32768</v>
      </c>
      <c r="I83">
        <v>47</v>
      </c>
      <c r="J83" t="s">
        <v>1</v>
      </c>
      <c r="K83" t="s">
        <v>2</v>
      </c>
      <c r="L83" s="8">
        <f>UnilabUsage[[#This Row],[Used-MB]]-F73</f>
        <v>64</v>
      </c>
      <c r="M83">
        <f>UnilabUsage[[#This Row],[Max]]-UnilabUsage[[#This Row],[Used-MB]]</f>
        <v>17527</v>
      </c>
      <c r="N83" s="5">
        <f>IF($L83&gt;0,UnilabUsage[[#This Row],[Free-of-Max]]/UnilabUsage[[#This Row],[Usage-Delta-MB]],UnilabUsage[[#This Row],[Free-of-Max]])</f>
        <v>273.859375</v>
      </c>
      <c r="R83" s="3">
        <v>44879</v>
      </c>
      <c r="S83" t="s">
        <v>3</v>
      </c>
      <c r="T83">
        <v>91</v>
      </c>
      <c r="U83">
        <v>458751</v>
      </c>
      <c r="V83">
        <v>39849</v>
      </c>
      <c r="W83">
        <v>418902</v>
      </c>
      <c r="X83">
        <v>9</v>
      </c>
      <c r="Y83">
        <v>458752</v>
      </c>
      <c r="Z83">
        <v>91</v>
      </c>
      <c r="AA83" t="s">
        <v>1</v>
      </c>
      <c r="AB83" t="s">
        <v>2</v>
      </c>
      <c r="AC83" s="8">
        <v>1317</v>
      </c>
      <c r="AD83">
        <v>39850</v>
      </c>
      <c r="AE83" s="5">
        <v>30.258162490508731</v>
      </c>
      <c r="AI83" s="3">
        <v>44879</v>
      </c>
      <c r="AJ83" t="s">
        <v>8</v>
      </c>
      <c r="AK83">
        <v>92</v>
      </c>
      <c r="AL83">
        <v>294912</v>
      </c>
      <c r="AM83">
        <v>24303</v>
      </c>
      <c r="AN83">
        <v>270609</v>
      </c>
      <c r="AO83">
        <v>8</v>
      </c>
      <c r="AP83">
        <v>294912</v>
      </c>
      <c r="AQ83">
        <v>92</v>
      </c>
      <c r="AR83" t="s">
        <v>1</v>
      </c>
      <c r="AS83" t="s">
        <v>2</v>
      </c>
      <c r="AT83" s="8">
        <v>1052</v>
      </c>
      <c r="AU83">
        <v>24303</v>
      </c>
      <c r="AV83" s="5">
        <v>23.10171102661597</v>
      </c>
    </row>
    <row r="84" spans="1:48" x14ac:dyDescent="0.25">
      <c r="A84" s="3">
        <v>44298</v>
      </c>
      <c r="B84" t="s">
        <v>11</v>
      </c>
      <c r="C84">
        <v>1</v>
      </c>
      <c r="D84">
        <v>100</v>
      </c>
      <c r="E84">
        <v>99</v>
      </c>
      <c r="F84">
        <v>1</v>
      </c>
      <c r="G84">
        <v>99</v>
      </c>
      <c r="H84">
        <v>32768</v>
      </c>
      <c r="I84">
        <v>0</v>
      </c>
      <c r="J84" t="s">
        <v>1</v>
      </c>
      <c r="K84" t="s">
        <v>2</v>
      </c>
      <c r="L84" s="8">
        <f>UnilabUsage[[#This Row],[Used-MB]]-F74</f>
        <v>0</v>
      </c>
      <c r="M84">
        <f>UnilabUsage[[#This Row],[Max]]-UnilabUsage[[#This Row],[Used-MB]]</f>
        <v>32767</v>
      </c>
      <c r="N84" s="5">
        <f>IF($L84&gt;0,UnilabUsage[[#This Row],[Free-of-Max]]/UnilabUsage[[#This Row],[Usage-Delta-MB]],UnilabUsage[[#This Row],[Free-of-Max]])</f>
        <v>32767</v>
      </c>
      <c r="R84" s="3">
        <v>44893</v>
      </c>
      <c r="S84" t="s">
        <v>3</v>
      </c>
      <c r="T84">
        <v>92</v>
      </c>
      <c r="U84">
        <v>458751</v>
      </c>
      <c r="V84">
        <v>38431</v>
      </c>
      <c r="W84">
        <v>420320</v>
      </c>
      <c r="X84">
        <v>8</v>
      </c>
      <c r="Y84">
        <v>458752</v>
      </c>
      <c r="Z84">
        <v>92</v>
      </c>
      <c r="AA84" t="s">
        <v>1</v>
      </c>
      <c r="AB84" t="s">
        <v>2</v>
      </c>
      <c r="AC84" s="8">
        <v>1418</v>
      </c>
      <c r="AD84">
        <v>38432</v>
      </c>
      <c r="AE84" s="5">
        <v>27.102961918194641</v>
      </c>
      <c r="AI84" s="3">
        <v>44893</v>
      </c>
      <c r="AJ84" t="s">
        <v>8</v>
      </c>
      <c r="AK84">
        <v>92</v>
      </c>
      <c r="AL84">
        <v>294912</v>
      </c>
      <c r="AM84">
        <v>23488</v>
      </c>
      <c r="AN84">
        <v>271424</v>
      </c>
      <c r="AO84">
        <v>8</v>
      </c>
      <c r="AP84">
        <v>294912</v>
      </c>
      <c r="AQ84">
        <v>92</v>
      </c>
      <c r="AR84" t="s">
        <v>1</v>
      </c>
      <c r="AS84" t="s">
        <v>2</v>
      </c>
      <c r="AT84" s="8">
        <v>815</v>
      </c>
      <c r="AU84">
        <v>23488</v>
      </c>
      <c r="AV84" s="5">
        <v>28.819631901840491</v>
      </c>
    </row>
    <row r="85" spans="1:48" x14ac:dyDescent="0.25">
      <c r="A85" s="3">
        <v>44298</v>
      </c>
      <c r="B85" t="s">
        <v>6</v>
      </c>
      <c r="C85">
        <v>95</v>
      </c>
      <c r="D85">
        <v>6435</v>
      </c>
      <c r="E85">
        <v>315</v>
      </c>
      <c r="F85">
        <v>6120</v>
      </c>
      <c r="G85">
        <v>5</v>
      </c>
      <c r="H85">
        <v>32768</v>
      </c>
      <c r="I85">
        <v>19</v>
      </c>
      <c r="J85" t="s">
        <v>1</v>
      </c>
      <c r="K85" t="s">
        <v>2</v>
      </c>
      <c r="L85" s="8">
        <f>UnilabUsage[[#This Row],[Used-MB]]-F75</f>
        <v>17</v>
      </c>
      <c r="M85">
        <f>UnilabUsage[[#This Row],[Max]]-UnilabUsage[[#This Row],[Used-MB]]</f>
        <v>26648</v>
      </c>
      <c r="N85" s="5">
        <f>IF($L85&gt;0,UnilabUsage[[#This Row],[Free-of-Max]]/UnilabUsage[[#This Row],[Usage-Delta-MB]],UnilabUsage[[#This Row],[Free-of-Max]])</f>
        <v>1567.5294117647059</v>
      </c>
      <c r="R85" s="3">
        <v>44942</v>
      </c>
      <c r="S85" s="15" t="s">
        <v>3</v>
      </c>
      <c r="T85" s="16">
        <v>92</v>
      </c>
      <c r="U85" s="16">
        <v>458751</v>
      </c>
      <c r="V85" s="16">
        <v>35056</v>
      </c>
      <c r="W85" s="16">
        <v>423695</v>
      </c>
      <c r="X85" s="16">
        <v>8</v>
      </c>
      <c r="Y85" s="16">
        <v>458752</v>
      </c>
      <c r="Z85" s="16">
        <v>92</v>
      </c>
      <c r="AA85" s="15" t="s">
        <v>1</v>
      </c>
      <c r="AB85" s="15" t="s">
        <v>2</v>
      </c>
      <c r="AC85" s="8">
        <v>3375</v>
      </c>
      <c r="AD85">
        <v>35057</v>
      </c>
      <c r="AE85" s="5">
        <v>10.38725925925926</v>
      </c>
      <c r="AI85" s="3">
        <v>44942</v>
      </c>
      <c r="AJ85" s="15" t="s">
        <v>8</v>
      </c>
      <c r="AK85" s="16">
        <v>93</v>
      </c>
      <c r="AL85" s="16">
        <v>294912</v>
      </c>
      <c r="AM85" s="16">
        <v>20797</v>
      </c>
      <c r="AN85" s="16">
        <v>274115</v>
      </c>
      <c r="AO85" s="16">
        <v>7</v>
      </c>
      <c r="AP85" s="16">
        <v>294912</v>
      </c>
      <c r="AQ85" s="16">
        <v>93</v>
      </c>
      <c r="AR85" s="15" t="s">
        <v>1</v>
      </c>
      <c r="AS85" s="15" t="s">
        <v>2</v>
      </c>
      <c r="AT85" s="8">
        <v>2691</v>
      </c>
      <c r="AU85">
        <v>20797</v>
      </c>
      <c r="AV85" s="5">
        <v>7.7283537718320323</v>
      </c>
    </row>
    <row r="86" spans="1:48" x14ac:dyDescent="0.25">
      <c r="A86" s="3">
        <v>44298</v>
      </c>
      <c r="B86" t="s">
        <v>3</v>
      </c>
      <c r="C86">
        <v>95</v>
      </c>
      <c r="D86">
        <v>377328</v>
      </c>
      <c r="E86">
        <v>17269</v>
      </c>
      <c r="F86">
        <v>360059</v>
      </c>
      <c r="G86">
        <v>5</v>
      </c>
      <c r="H86">
        <v>393216</v>
      </c>
      <c r="I86">
        <v>92</v>
      </c>
      <c r="J86" t="s">
        <v>1</v>
      </c>
      <c r="K86" t="s">
        <v>2</v>
      </c>
      <c r="L86" s="8">
        <f>UnilabUsage[[#This Row],[Used-MB]]-F76</f>
        <v>403</v>
      </c>
      <c r="M86">
        <f>UnilabUsage[[#This Row],[Max]]-UnilabUsage[[#This Row],[Used-MB]]</f>
        <v>33157</v>
      </c>
      <c r="N86" s="5">
        <f>IF($L86&gt;0,UnilabUsage[[#This Row],[Free-of-Max]]/UnilabUsage[[#This Row],[Usage-Delta-MB]],UnilabUsage[[#This Row],[Free-of-Max]])</f>
        <v>82.275434243176178</v>
      </c>
      <c r="R86" s="3">
        <v>45131</v>
      </c>
      <c r="S86" s="15" t="s">
        <v>3</v>
      </c>
      <c r="T86" s="16">
        <v>89</v>
      </c>
      <c r="U86" s="16">
        <v>491518</v>
      </c>
      <c r="V86" s="16">
        <v>52248</v>
      </c>
      <c r="W86" s="16">
        <v>439270</v>
      </c>
      <c r="X86" s="16">
        <v>11</v>
      </c>
      <c r="Y86" s="16">
        <v>491520</v>
      </c>
      <c r="Z86" s="16">
        <v>89</v>
      </c>
      <c r="AA86" s="15" t="s">
        <v>1</v>
      </c>
      <c r="AB86" s="15" t="s">
        <v>2</v>
      </c>
      <c r="AC86" s="8">
        <v>15575</v>
      </c>
      <c r="AD86">
        <v>52250</v>
      </c>
      <c r="AE86" s="5">
        <v>3.3547351524879616</v>
      </c>
      <c r="AI86" s="3">
        <v>45131</v>
      </c>
      <c r="AJ86" s="15" t="s">
        <v>8</v>
      </c>
      <c r="AK86" s="16">
        <v>88</v>
      </c>
      <c r="AL86" s="16">
        <v>327680</v>
      </c>
      <c r="AM86" s="16">
        <v>40526</v>
      </c>
      <c r="AN86" s="16">
        <v>287154</v>
      </c>
      <c r="AO86" s="16">
        <v>12</v>
      </c>
      <c r="AP86" s="16">
        <v>327680</v>
      </c>
      <c r="AQ86" s="16">
        <v>88</v>
      </c>
      <c r="AR86" s="15" t="s">
        <v>1</v>
      </c>
      <c r="AS86" s="15" t="s">
        <v>2</v>
      </c>
      <c r="AT86" s="8">
        <v>13039</v>
      </c>
      <c r="AU86">
        <v>40526</v>
      </c>
      <c r="AV86" s="5">
        <v>3.1080604340823683</v>
      </c>
    </row>
    <row r="87" spans="1:48" x14ac:dyDescent="0.25">
      <c r="A87" s="3">
        <v>44298</v>
      </c>
      <c r="B87" t="s">
        <v>5</v>
      </c>
      <c r="C87">
        <v>95</v>
      </c>
      <c r="D87">
        <v>16400</v>
      </c>
      <c r="E87">
        <v>825</v>
      </c>
      <c r="F87">
        <v>15575</v>
      </c>
      <c r="G87">
        <v>5</v>
      </c>
      <c r="H87">
        <v>32768</v>
      </c>
      <c r="I87">
        <v>48</v>
      </c>
      <c r="J87" t="s">
        <v>1</v>
      </c>
      <c r="K87" t="s">
        <v>2</v>
      </c>
      <c r="L87" s="8">
        <f>UnilabUsage[[#This Row],[Used-MB]]-F77</f>
        <v>72</v>
      </c>
      <c r="M87">
        <f>UnilabUsage[[#This Row],[Max]]-UnilabUsage[[#This Row],[Used-MB]]</f>
        <v>17193</v>
      </c>
      <c r="N87" s="5">
        <f>IF($L87&gt;0,UnilabUsage[[#This Row],[Free-of-Max]]/UnilabUsage[[#This Row],[Usage-Delta-MB]],UnilabUsage[[#This Row],[Free-of-Max]])</f>
        <v>238.79166666666666</v>
      </c>
      <c r="R87" s="3">
        <v>45138</v>
      </c>
      <c r="S87" s="15" t="s">
        <v>3</v>
      </c>
      <c r="T87" s="16">
        <v>89</v>
      </c>
      <c r="U87" s="16">
        <v>491518</v>
      </c>
      <c r="V87" s="16">
        <v>51773</v>
      </c>
      <c r="W87" s="16">
        <v>439744</v>
      </c>
      <c r="X87" s="16">
        <v>11</v>
      </c>
      <c r="Y87" s="16">
        <v>491520</v>
      </c>
      <c r="Z87" s="16">
        <v>89</v>
      </c>
      <c r="AA87" s="15" t="s">
        <v>1</v>
      </c>
      <c r="AB87" s="15" t="s">
        <v>2</v>
      </c>
      <c r="AC87" s="8">
        <v>474</v>
      </c>
      <c r="AD87">
        <v>51776</v>
      </c>
      <c r="AE87" s="5">
        <v>109.23206751054852</v>
      </c>
      <c r="AI87" s="3">
        <v>45138</v>
      </c>
      <c r="AJ87" s="15" t="s">
        <v>8</v>
      </c>
      <c r="AK87" s="16">
        <v>88</v>
      </c>
      <c r="AL87" s="16">
        <v>327680</v>
      </c>
      <c r="AM87" s="16">
        <v>40091</v>
      </c>
      <c r="AN87" s="16">
        <v>287589</v>
      </c>
      <c r="AO87" s="16">
        <v>12</v>
      </c>
      <c r="AP87" s="16">
        <v>327680</v>
      </c>
      <c r="AQ87" s="16">
        <v>88</v>
      </c>
      <c r="AR87" s="15" t="s">
        <v>1</v>
      </c>
      <c r="AS87" s="15" t="s">
        <v>2</v>
      </c>
      <c r="AT87" s="8">
        <v>435</v>
      </c>
      <c r="AU87">
        <v>40091</v>
      </c>
      <c r="AV87" s="5">
        <v>92.163218390804602</v>
      </c>
    </row>
    <row r="88" spans="1:48" x14ac:dyDescent="0.25">
      <c r="A88" s="3">
        <v>44298</v>
      </c>
      <c r="B88" t="s">
        <v>8</v>
      </c>
      <c r="C88">
        <v>89</v>
      </c>
      <c r="D88">
        <v>262144</v>
      </c>
      <c r="E88">
        <v>28885</v>
      </c>
      <c r="F88">
        <v>233259</v>
      </c>
      <c r="G88">
        <v>11</v>
      </c>
      <c r="H88">
        <v>262144</v>
      </c>
      <c r="I88">
        <v>89</v>
      </c>
      <c r="J88" t="s">
        <v>1</v>
      </c>
      <c r="K88" t="s">
        <v>2</v>
      </c>
      <c r="L88" s="8">
        <f>UnilabUsage[[#This Row],[Used-MB]]-F78</f>
        <v>501</v>
      </c>
      <c r="M88">
        <f>UnilabUsage[[#This Row],[Max]]-UnilabUsage[[#This Row],[Used-MB]]</f>
        <v>28885</v>
      </c>
      <c r="N88" s="5">
        <f>IF($L88&gt;0,UnilabUsage[[#This Row],[Free-of-Max]]/UnilabUsage[[#This Row],[Usage-Delta-MB]],UnilabUsage[[#This Row],[Free-of-Max]])</f>
        <v>57.654690618762473</v>
      </c>
      <c r="R88" s="3">
        <v>45145</v>
      </c>
      <c r="S88" s="15" t="s">
        <v>3</v>
      </c>
      <c r="T88" s="16">
        <v>90</v>
      </c>
      <c r="U88" s="16">
        <v>491518</v>
      </c>
      <c r="V88" s="16">
        <v>51493</v>
      </c>
      <c r="W88" s="16">
        <v>440024</v>
      </c>
      <c r="X88" s="16">
        <v>10</v>
      </c>
      <c r="Y88" s="16">
        <v>491520</v>
      </c>
      <c r="Z88" s="16">
        <v>90</v>
      </c>
      <c r="AA88" s="15" t="s">
        <v>1</v>
      </c>
      <c r="AB88" s="15" t="s">
        <v>2</v>
      </c>
      <c r="AC88" s="8">
        <v>280</v>
      </c>
      <c r="AD88">
        <v>51496</v>
      </c>
      <c r="AE88" s="5">
        <v>183.91428571428571</v>
      </c>
      <c r="AI88" s="3">
        <v>45145</v>
      </c>
      <c r="AJ88" s="15" t="s">
        <v>8</v>
      </c>
      <c r="AK88" s="16">
        <v>88</v>
      </c>
      <c r="AL88" s="16">
        <v>327680</v>
      </c>
      <c r="AM88" s="16">
        <v>39915</v>
      </c>
      <c r="AN88" s="16">
        <v>287765</v>
      </c>
      <c r="AO88" s="16">
        <v>12</v>
      </c>
      <c r="AP88" s="16">
        <v>327680</v>
      </c>
      <c r="AQ88" s="16">
        <v>88</v>
      </c>
      <c r="AR88" s="15" t="s">
        <v>1</v>
      </c>
      <c r="AS88" s="15" t="s">
        <v>2</v>
      </c>
      <c r="AT88" s="8">
        <v>176</v>
      </c>
      <c r="AU88">
        <v>39915</v>
      </c>
      <c r="AV88" s="5">
        <v>226.78977272727272</v>
      </c>
    </row>
    <row r="89" spans="1:48" x14ac:dyDescent="0.25">
      <c r="A89" s="3">
        <v>44298</v>
      </c>
      <c r="B89" t="s">
        <v>4</v>
      </c>
      <c r="C89">
        <v>98</v>
      </c>
      <c r="D89">
        <v>74709</v>
      </c>
      <c r="E89">
        <v>1395</v>
      </c>
      <c r="F89">
        <v>73314</v>
      </c>
      <c r="G89">
        <v>2</v>
      </c>
      <c r="H89">
        <v>98304</v>
      </c>
      <c r="I89">
        <v>75</v>
      </c>
      <c r="J89" t="s">
        <v>1</v>
      </c>
      <c r="K89" t="s">
        <v>2</v>
      </c>
      <c r="L89" s="8">
        <f>UnilabUsage[[#This Row],[Used-MB]]-F79</f>
        <v>128</v>
      </c>
      <c r="M89">
        <f>UnilabUsage[[#This Row],[Max]]-UnilabUsage[[#This Row],[Used-MB]]</f>
        <v>24990</v>
      </c>
      <c r="N89" s="5">
        <f>IF($L89&gt;0,UnilabUsage[[#This Row],[Free-of-Max]]/UnilabUsage[[#This Row],[Usage-Delta-MB]],UnilabUsage[[#This Row],[Free-of-Max]])</f>
        <v>195.234375</v>
      </c>
      <c r="R89" s="3">
        <v>45152</v>
      </c>
      <c r="S89" s="15" t="s">
        <v>3</v>
      </c>
      <c r="T89" s="16">
        <v>90</v>
      </c>
      <c r="U89" s="16">
        <v>491518</v>
      </c>
      <c r="V89" s="16">
        <v>51045</v>
      </c>
      <c r="W89" s="16">
        <v>440472</v>
      </c>
      <c r="X89" s="16">
        <v>10</v>
      </c>
      <c r="Y89" s="16">
        <v>491520</v>
      </c>
      <c r="Z89" s="16">
        <v>90</v>
      </c>
      <c r="AA89" s="15" t="s">
        <v>1</v>
      </c>
      <c r="AB89" s="15" t="s">
        <v>2</v>
      </c>
      <c r="AC89" s="8">
        <v>448</v>
      </c>
      <c r="AD89">
        <v>51048</v>
      </c>
      <c r="AE89" s="5">
        <v>113.94642857142857</v>
      </c>
      <c r="AI89" s="3">
        <v>45152</v>
      </c>
      <c r="AJ89" s="15" t="s">
        <v>8</v>
      </c>
      <c r="AK89" s="16">
        <v>88</v>
      </c>
      <c r="AL89" s="16">
        <v>327680</v>
      </c>
      <c r="AM89" s="16">
        <v>39667</v>
      </c>
      <c r="AN89" s="16">
        <v>288013</v>
      </c>
      <c r="AO89" s="16">
        <v>12</v>
      </c>
      <c r="AP89" s="16">
        <v>327680</v>
      </c>
      <c r="AQ89" s="16">
        <v>88</v>
      </c>
      <c r="AR89" s="15" t="s">
        <v>1</v>
      </c>
      <c r="AS89" s="15" t="s">
        <v>2</v>
      </c>
      <c r="AT89" s="8">
        <v>248</v>
      </c>
      <c r="AU89">
        <v>39667</v>
      </c>
      <c r="AV89" s="5">
        <v>159.94758064516128</v>
      </c>
    </row>
    <row r="90" spans="1:48" x14ac:dyDescent="0.25">
      <c r="A90" s="3">
        <v>44298</v>
      </c>
      <c r="B90" t="s">
        <v>12</v>
      </c>
      <c r="C90">
        <v>0</v>
      </c>
      <c r="D90">
        <v>30720</v>
      </c>
      <c r="E90">
        <v>30591</v>
      </c>
      <c r="F90">
        <v>129</v>
      </c>
      <c r="G90">
        <v>100</v>
      </c>
      <c r="H90">
        <v>30720</v>
      </c>
      <c r="I90">
        <v>0</v>
      </c>
      <c r="J90" t="s">
        <v>1</v>
      </c>
      <c r="K90" t="s">
        <v>13</v>
      </c>
      <c r="L90" s="8">
        <f>UnilabUsage[[#This Row],[Used-MB]]-F80</f>
        <v>33</v>
      </c>
      <c r="M90">
        <f>UnilabUsage[[#This Row],[Max]]-UnilabUsage[[#This Row],[Used-MB]]</f>
        <v>30591</v>
      </c>
      <c r="N90" s="5">
        <f>IF($L90&gt;0,UnilabUsage[[#This Row],[Free-of-Max]]/UnilabUsage[[#This Row],[Usage-Delta-MB]],UnilabUsage[[#This Row],[Free-of-Max]])</f>
        <v>927</v>
      </c>
      <c r="R90" s="3">
        <v>45159</v>
      </c>
      <c r="S90" s="15" t="s">
        <v>3</v>
      </c>
      <c r="T90" s="16">
        <v>90</v>
      </c>
      <c r="U90" s="16">
        <v>491518</v>
      </c>
      <c r="V90" s="16">
        <v>50813</v>
      </c>
      <c r="W90" s="16">
        <v>440704</v>
      </c>
      <c r="X90" s="16">
        <v>10</v>
      </c>
      <c r="Y90" s="16">
        <v>491520</v>
      </c>
      <c r="Z90" s="16">
        <v>90</v>
      </c>
      <c r="AA90" s="15" t="s">
        <v>1</v>
      </c>
      <c r="AB90" s="15" t="s">
        <v>2</v>
      </c>
      <c r="AC90" s="8">
        <v>232</v>
      </c>
      <c r="AD90">
        <v>50816</v>
      </c>
      <c r="AE90" s="5">
        <v>219.0344827586207</v>
      </c>
      <c r="AI90" s="3">
        <v>45159</v>
      </c>
      <c r="AJ90" s="15" t="s">
        <v>8</v>
      </c>
      <c r="AK90" s="16">
        <v>88</v>
      </c>
      <c r="AL90" s="16">
        <v>327680</v>
      </c>
      <c r="AM90" s="16">
        <v>39446</v>
      </c>
      <c r="AN90" s="16">
        <v>288234</v>
      </c>
      <c r="AO90" s="16">
        <v>12</v>
      </c>
      <c r="AP90" s="16">
        <v>327680</v>
      </c>
      <c r="AQ90" s="16">
        <v>88</v>
      </c>
      <c r="AR90" s="15" t="s">
        <v>1</v>
      </c>
      <c r="AS90" s="15" t="s">
        <v>2</v>
      </c>
      <c r="AT90" s="8">
        <v>221</v>
      </c>
      <c r="AU90">
        <v>39446</v>
      </c>
      <c r="AV90" s="5">
        <v>178.48868778280544</v>
      </c>
    </row>
    <row r="91" spans="1:48" x14ac:dyDescent="0.25">
      <c r="A91" s="3">
        <v>44298</v>
      </c>
      <c r="B91" t="s">
        <v>9</v>
      </c>
      <c r="C91">
        <v>1</v>
      </c>
      <c r="D91">
        <v>10440</v>
      </c>
      <c r="E91">
        <v>10290</v>
      </c>
      <c r="F91">
        <v>150</v>
      </c>
      <c r="G91">
        <v>99</v>
      </c>
      <c r="H91">
        <v>32768</v>
      </c>
      <c r="I91">
        <v>0</v>
      </c>
      <c r="J91" t="s">
        <v>1</v>
      </c>
      <c r="K91" t="s">
        <v>10</v>
      </c>
      <c r="L91" s="8">
        <f>UnilabUsage[[#This Row],[Used-MB]]-F81</f>
        <v>39</v>
      </c>
      <c r="M91">
        <f>UnilabUsage[[#This Row],[Max]]-UnilabUsage[[#This Row],[Used-MB]]</f>
        <v>32618</v>
      </c>
      <c r="N91" s="5">
        <f>IF($L91&gt;0,UnilabUsage[[#This Row],[Free-of-Max]]/UnilabUsage[[#This Row],[Usage-Delta-MB]],UnilabUsage[[#This Row],[Free-of-Max]])</f>
        <v>836.35897435897436</v>
      </c>
      <c r="R91" s="3">
        <v>45166</v>
      </c>
      <c r="S91" s="15" t="s">
        <v>3</v>
      </c>
      <c r="T91" s="16">
        <v>90</v>
      </c>
      <c r="U91" s="16">
        <v>491518</v>
      </c>
      <c r="V91" s="16">
        <v>50484</v>
      </c>
      <c r="W91" s="16">
        <v>441033</v>
      </c>
      <c r="X91" s="16">
        <v>10</v>
      </c>
      <c r="Y91" s="16">
        <v>491520</v>
      </c>
      <c r="Z91" s="16">
        <v>90</v>
      </c>
      <c r="AA91" s="15" t="s">
        <v>1</v>
      </c>
      <c r="AB91" s="15" t="s">
        <v>2</v>
      </c>
      <c r="AC91" s="8">
        <v>329</v>
      </c>
      <c r="AD91" s="22">
        <v>50487</v>
      </c>
      <c r="AE91" s="5">
        <v>153.45592705167172</v>
      </c>
      <c r="AI91" s="3">
        <v>45166</v>
      </c>
      <c r="AJ91" s="15" t="s">
        <v>8</v>
      </c>
      <c r="AK91" s="16">
        <v>88</v>
      </c>
      <c r="AL91" s="16">
        <v>327680</v>
      </c>
      <c r="AM91" s="16">
        <v>39057</v>
      </c>
      <c r="AN91" s="16">
        <v>288623</v>
      </c>
      <c r="AO91" s="16">
        <v>12</v>
      </c>
      <c r="AP91" s="16">
        <v>327680</v>
      </c>
      <c r="AQ91" s="16">
        <v>88</v>
      </c>
      <c r="AR91" s="15" t="s">
        <v>1</v>
      </c>
      <c r="AS91" s="15" t="s">
        <v>2</v>
      </c>
      <c r="AT91" s="8">
        <v>389</v>
      </c>
      <c r="AU91" s="22">
        <v>39057</v>
      </c>
      <c r="AV91" s="5">
        <v>100.40359897172236</v>
      </c>
    </row>
    <row r="92" spans="1:48" x14ac:dyDescent="0.25">
      <c r="A92" s="3">
        <v>44305</v>
      </c>
      <c r="B92" t="s">
        <v>7</v>
      </c>
      <c r="C92">
        <v>95</v>
      </c>
      <c r="D92">
        <v>1150</v>
      </c>
      <c r="E92">
        <v>60</v>
      </c>
      <c r="F92">
        <v>1090</v>
      </c>
      <c r="G92">
        <v>5</v>
      </c>
      <c r="H92">
        <v>32768</v>
      </c>
      <c r="I92">
        <v>3</v>
      </c>
      <c r="J92" t="s">
        <v>1</v>
      </c>
      <c r="K92" t="s">
        <v>2</v>
      </c>
      <c r="L92" s="8">
        <f>UnilabUsage[[#This Row],[Used-MB]]-F82</f>
        <v>8</v>
      </c>
      <c r="M92">
        <f>UnilabUsage[[#This Row],[Max]]-UnilabUsage[[#This Row],[Used-MB]]</f>
        <v>31678</v>
      </c>
      <c r="N92" s="5">
        <f>IF($L92&gt;0,UnilabUsage[[#This Row],[Free-of-Max]]/UnilabUsage[[#This Row],[Usage-Delta-MB]],UnilabUsage[[#This Row],[Free-of-Max]])</f>
        <v>3959.75</v>
      </c>
    </row>
    <row r="93" spans="1:48" x14ac:dyDescent="0.25">
      <c r="A93" s="3">
        <v>44305</v>
      </c>
      <c r="B93" t="s">
        <v>0</v>
      </c>
      <c r="C93">
        <v>99</v>
      </c>
      <c r="D93">
        <v>15400</v>
      </c>
      <c r="E93">
        <v>95</v>
      </c>
      <c r="F93">
        <v>15305</v>
      </c>
      <c r="G93">
        <v>1</v>
      </c>
      <c r="H93">
        <v>32768</v>
      </c>
      <c r="I93">
        <v>47</v>
      </c>
      <c r="J93" t="s">
        <v>1</v>
      </c>
      <c r="K93" t="s">
        <v>2</v>
      </c>
      <c r="L93" s="8">
        <f>UnilabUsage[[#This Row],[Used-MB]]-F83</f>
        <v>64</v>
      </c>
      <c r="M93">
        <f>UnilabUsage[[#This Row],[Max]]-UnilabUsage[[#This Row],[Used-MB]]</f>
        <v>17463</v>
      </c>
      <c r="N93" s="5">
        <f>IF($L93&gt;0,UnilabUsage[[#This Row],[Free-of-Max]]/UnilabUsage[[#This Row],[Usage-Delta-MB]],UnilabUsage[[#This Row],[Free-of-Max]])</f>
        <v>272.859375</v>
      </c>
    </row>
    <row r="94" spans="1:48" x14ac:dyDescent="0.25">
      <c r="A94" s="3">
        <v>44305</v>
      </c>
      <c r="B94" t="s">
        <v>11</v>
      </c>
      <c r="C94">
        <v>1</v>
      </c>
      <c r="D94">
        <v>100</v>
      </c>
      <c r="E94">
        <v>99</v>
      </c>
      <c r="F94">
        <v>1</v>
      </c>
      <c r="G94">
        <v>99</v>
      </c>
      <c r="H94">
        <v>32768</v>
      </c>
      <c r="I94">
        <v>0</v>
      </c>
      <c r="J94" t="s">
        <v>1</v>
      </c>
      <c r="K94" t="s">
        <v>2</v>
      </c>
      <c r="L94" s="8">
        <f>UnilabUsage[[#This Row],[Used-MB]]-F84</f>
        <v>0</v>
      </c>
      <c r="M94">
        <f>UnilabUsage[[#This Row],[Max]]-UnilabUsage[[#This Row],[Used-MB]]</f>
        <v>32767</v>
      </c>
      <c r="N94" s="5">
        <f>IF($L94&gt;0,UnilabUsage[[#This Row],[Free-of-Max]]/UnilabUsage[[#This Row],[Usage-Delta-MB]],UnilabUsage[[#This Row],[Free-of-Max]])</f>
        <v>32767</v>
      </c>
    </row>
    <row r="95" spans="1:48" x14ac:dyDescent="0.25">
      <c r="A95" s="3">
        <v>44305</v>
      </c>
      <c r="B95" t="s">
        <v>6</v>
      </c>
      <c r="C95">
        <v>95</v>
      </c>
      <c r="D95">
        <v>6445</v>
      </c>
      <c r="E95">
        <v>307</v>
      </c>
      <c r="F95">
        <v>6138</v>
      </c>
      <c r="G95">
        <v>5</v>
      </c>
      <c r="H95">
        <v>32768</v>
      </c>
      <c r="I95">
        <v>19</v>
      </c>
      <c r="J95" t="s">
        <v>1</v>
      </c>
      <c r="K95" t="s">
        <v>2</v>
      </c>
      <c r="L95" s="8">
        <f>UnilabUsage[[#This Row],[Used-MB]]-F85</f>
        <v>18</v>
      </c>
      <c r="M95">
        <f>UnilabUsage[[#This Row],[Max]]-UnilabUsage[[#This Row],[Used-MB]]</f>
        <v>26630</v>
      </c>
      <c r="N95" s="5">
        <f>IF($L95&gt;0,UnilabUsage[[#This Row],[Free-of-Max]]/UnilabUsage[[#This Row],[Usage-Delta-MB]],UnilabUsage[[#This Row],[Free-of-Max]])</f>
        <v>1479.4444444444443</v>
      </c>
    </row>
    <row r="96" spans="1:48" x14ac:dyDescent="0.25">
      <c r="A96" s="3">
        <v>44305</v>
      </c>
      <c r="B96" t="s">
        <v>3</v>
      </c>
      <c r="C96">
        <v>96</v>
      </c>
      <c r="D96">
        <v>377328</v>
      </c>
      <c r="E96">
        <v>16571</v>
      </c>
      <c r="F96">
        <v>360757</v>
      </c>
      <c r="G96">
        <v>4</v>
      </c>
      <c r="H96">
        <v>393216</v>
      </c>
      <c r="I96">
        <v>92</v>
      </c>
      <c r="J96" t="s">
        <v>1</v>
      </c>
      <c r="K96" t="s">
        <v>2</v>
      </c>
      <c r="L96" s="8">
        <f>UnilabUsage[[#This Row],[Used-MB]]-F86</f>
        <v>698</v>
      </c>
      <c r="M96">
        <f>UnilabUsage[[#This Row],[Max]]-UnilabUsage[[#This Row],[Used-MB]]</f>
        <v>32459</v>
      </c>
      <c r="N96" s="5">
        <f>IF($L96&gt;0,UnilabUsage[[#This Row],[Free-of-Max]]/UnilabUsage[[#This Row],[Usage-Delta-MB]],UnilabUsage[[#This Row],[Free-of-Max]])</f>
        <v>46.502865329512893</v>
      </c>
    </row>
    <row r="97" spans="1:14" x14ac:dyDescent="0.25">
      <c r="A97" s="3">
        <v>44305</v>
      </c>
      <c r="B97" t="s">
        <v>5</v>
      </c>
      <c r="C97">
        <v>95</v>
      </c>
      <c r="D97">
        <v>16450</v>
      </c>
      <c r="E97">
        <v>786</v>
      </c>
      <c r="F97">
        <v>15664</v>
      </c>
      <c r="G97">
        <v>5</v>
      </c>
      <c r="H97">
        <v>32768</v>
      </c>
      <c r="I97">
        <v>48</v>
      </c>
      <c r="J97" t="s">
        <v>1</v>
      </c>
      <c r="K97" t="s">
        <v>2</v>
      </c>
      <c r="L97" s="8">
        <f>UnilabUsage[[#This Row],[Used-MB]]-F87</f>
        <v>89</v>
      </c>
      <c r="M97">
        <f>UnilabUsage[[#This Row],[Max]]-UnilabUsage[[#This Row],[Used-MB]]</f>
        <v>17104</v>
      </c>
      <c r="N97" s="5">
        <f>IF($L97&gt;0,UnilabUsage[[#This Row],[Free-of-Max]]/UnilabUsage[[#This Row],[Usage-Delta-MB]],UnilabUsage[[#This Row],[Free-of-Max]])</f>
        <v>192.17977528089887</v>
      </c>
    </row>
    <row r="98" spans="1:14" x14ac:dyDescent="0.25">
      <c r="A98" s="3">
        <v>44305</v>
      </c>
      <c r="B98" t="s">
        <v>8</v>
      </c>
      <c r="C98">
        <v>89</v>
      </c>
      <c r="D98">
        <v>262144</v>
      </c>
      <c r="E98">
        <v>28138</v>
      </c>
      <c r="F98">
        <v>234006</v>
      </c>
      <c r="G98">
        <v>11</v>
      </c>
      <c r="H98">
        <v>262144</v>
      </c>
      <c r="I98">
        <v>89</v>
      </c>
      <c r="J98" t="s">
        <v>1</v>
      </c>
      <c r="K98" t="s">
        <v>2</v>
      </c>
      <c r="L98" s="8">
        <f>UnilabUsage[[#This Row],[Used-MB]]-F88</f>
        <v>747</v>
      </c>
      <c r="M98">
        <f>UnilabUsage[[#This Row],[Max]]-UnilabUsage[[#This Row],[Used-MB]]</f>
        <v>28138</v>
      </c>
      <c r="N98" s="5">
        <f>IF($L98&gt;0,UnilabUsage[[#This Row],[Free-of-Max]]/UnilabUsage[[#This Row],[Usage-Delta-MB]],UnilabUsage[[#This Row],[Free-of-Max]])</f>
        <v>37.668005354752346</v>
      </c>
    </row>
    <row r="99" spans="1:14" x14ac:dyDescent="0.25">
      <c r="A99" s="3">
        <v>44305</v>
      </c>
      <c r="B99" t="s">
        <v>4</v>
      </c>
      <c r="C99">
        <v>98</v>
      </c>
      <c r="D99">
        <v>74709</v>
      </c>
      <c r="E99">
        <v>1277</v>
      </c>
      <c r="F99">
        <v>73432</v>
      </c>
      <c r="G99">
        <v>2</v>
      </c>
      <c r="H99">
        <v>98304</v>
      </c>
      <c r="I99">
        <v>75</v>
      </c>
      <c r="J99" t="s">
        <v>1</v>
      </c>
      <c r="K99" t="s">
        <v>2</v>
      </c>
      <c r="L99" s="8">
        <f>UnilabUsage[[#This Row],[Used-MB]]-F89</f>
        <v>118</v>
      </c>
      <c r="M99">
        <f>UnilabUsage[[#This Row],[Max]]-UnilabUsage[[#This Row],[Used-MB]]</f>
        <v>24872</v>
      </c>
      <c r="N99" s="5">
        <f>IF($L99&gt;0,UnilabUsage[[#This Row],[Free-of-Max]]/UnilabUsage[[#This Row],[Usage-Delta-MB]],UnilabUsage[[#This Row],[Free-of-Max]])</f>
        <v>210.77966101694915</v>
      </c>
    </row>
    <row r="100" spans="1:14" x14ac:dyDescent="0.25">
      <c r="A100" s="3">
        <v>44305</v>
      </c>
      <c r="B100" t="s">
        <v>12</v>
      </c>
      <c r="C100">
        <v>0</v>
      </c>
      <c r="D100">
        <v>30720</v>
      </c>
      <c r="E100">
        <v>30611</v>
      </c>
      <c r="F100">
        <v>109</v>
      </c>
      <c r="G100">
        <v>100</v>
      </c>
      <c r="H100">
        <v>30720</v>
      </c>
      <c r="I100">
        <v>0</v>
      </c>
      <c r="J100" t="s">
        <v>1</v>
      </c>
      <c r="K100" t="s">
        <v>13</v>
      </c>
      <c r="L100" s="8">
        <f>UnilabUsage[[#This Row],[Used-MB]]-F90</f>
        <v>-20</v>
      </c>
      <c r="M100">
        <f>UnilabUsage[[#This Row],[Max]]-UnilabUsage[[#This Row],[Used-MB]]</f>
        <v>30611</v>
      </c>
      <c r="N100" s="5">
        <f>IF($L100&gt;0,UnilabUsage[[#This Row],[Free-of-Max]]/UnilabUsage[[#This Row],[Usage-Delta-MB]],UnilabUsage[[#This Row],[Free-of-Max]])</f>
        <v>30611</v>
      </c>
    </row>
    <row r="101" spans="1:14" x14ac:dyDescent="0.25">
      <c r="A101" s="3">
        <v>44305</v>
      </c>
      <c r="B101" t="s">
        <v>9</v>
      </c>
      <c r="C101">
        <v>1</v>
      </c>
      <c r="D101">
        <v>10440</v>
      </c>
      <c r="E101">
        <v>10308</v>
      </c>
      <c r="F101">
        <v>132</v>
      </c>
      <c r="G101">
        <v>99</v>
      </c>
      <c r="H101">
        <v>32768</v>
      </c>
      <c r="I101">
        <v>0</v>
      </c>
      <c r="J101" t="s">
        <v>1</v>
      </c>
      <c r="K101" t="s">
        <v>10</v>
      </c>
      <c r="L101" s="8">
        <f>UnilabUsage[[#This Row],[Used-MB]]-F91</f>
        <v>-18</v>
      </c>
      <c r="M101">
        <f>UnilabUsage[[#This Row],[Max]]-UnilabUsage[[#This Row],[Used-MB]]</f>
        <v>32636</v>
      </c>
      <c r="N101" s="5">
        <f>IF($L101&gt;0,UnilabUsage[[#This Row],[Free-of-Max]]/UnilabUsage[[#This Row],[Usage-Delta-MB]],UnilabUsage[[#This Row],[Free-of-Max]])</f>
        <v>32636</v>
      </c>
    </row>
    <row r="102" spans="1:14" x14ac:dyDescent="0.25">
      <c r="A102" s="3">
        <v>44312</v>
      </c>
      <c r="B102" t="s">
        <v>7</v>
      </c>
      <c r="C102">
        <v>96</v>
      </c>
      <c r="D102">
        <v>1150</v>
      </c>
      <c r="E102">
        <v>51</v>
      </c>
      <c r="F102">
        <v>1099</v>
      </c>
      <c r="G102">
        <v>4</v>
      </c>
      <c r="H102">
        <v>32768</v>
      </c>
      <c r="I102">
        <v>3</v>
      </c>
      <c r="J102" t="s">
        <v>1</v>
      </c>
      <c r="K102" t="s">
        <v>2</v>
      </c>
      <c r="L102" s="8">
        <f>UnilabUsage[[#This Row],[Used-MB]]-F92</f>
        <v>9</v>
      </c>
      <c r="M102">
        <f>UnilabUsage[[#This Row],[Max]]-UnilabUsage[[#This Row],[Used-MB]]</f>
        <v>31669</v>
      </c>
      <c r="N102" s="5">
        <f>IF($L102&gt;0,UnilabUsage[[#This Row],[Free-of-Max]]/UnilabUsage[[#This Row],[Usage-Delta-MB]],UnilabUsage[[#This Row],[Free-of-Max]])</f>
        <v>3518.7777777777778</v>
      </c>
    </row>
    <row r="103" spans="1:14" x14ac:dyDescent="0.25">
      <c r="A103" s="3">
        <v>44312</v>
      </c>
      <c r="B103" t="s">
        <v>0</v>
      </c>
      <c r="C103">
        <v>100</v>
      </c>
      <c r="D103">
        <v>15400</v>
      </c>
      <c r="E103">
        <v>31</v>
      </c>
      <c r="F103">
        <v>15369</v>
      </c>
      <c r="G103">
        <v>0</v>
      </c>
      <c r="H103">
        <v>32768</v>
      </c>
      <c r="I103">
        <v>47</v>
      </c>
      <c r="J103" t="s">
        <v>1</v>
      </c>
      <c r="K103" t="s">
        <v>2</v>
      </c>
      <c r="L103" s="8">
        <f>UnilabUsage[[#This Row],[Used-MB]]-F93</f>
        <v>64</v>
      </c>
      <c r="M103">
        <f>UnilabUsage[[#This Row],[Max]]-UnilabUsage[[#This Row],[Used-MB]]</f>
        <v>17399</v>
      </c>
      <c r="N103" s="5">
        <f>IF($L103&gt;0,UnilabUsage[[#This Row],[Free-of-Max]]/UnilabUsage[[#This Row],[Usage-Delta-MB]],UnilabUsage[[#This Row],[Free-of-Max]])</f>
        <v>271.859375</v>
      </c>
    </row>
    <row r="104" spans="1:14" x14ac:dyDescent="0.25">
      <c r="A104" s="3">
        <v>44312</v>
      </c>
      <c r="B104" t="s">
        <v>11</v>
      </c>
      <c r="C104">
        <v>1</v>
      </c>
      <c r="D104">
        <v>100</v>
      </c>
      <c r="E104">
        <v>99</v>
      </c>
      <c r="F104">
        <v>1</v>
      </c>
      <c r="G104">
        <v>99</v>
      </c>
      <c r="H104">
        <v>32768</v>
      </c>
      <c r="I104">
        <v>0</v>
      </c>
      <c r="J104" t="s">
        <v>1</v>
      </c>
      <c r="K104" t="s">
        <v>2</v>
      </c>
      <c r="L104" s="8">
        <f>UnilabUsage[[#This Row],[Used-MB]]-F94</f>
        <v>0</v>
      </c>
      <c r="M104">
        <f>UnilabUsage[[#This Row],[Max]]-UnilabUsage[[#This Row],[Used-MB]]</f>
        <v>32767</v>
      </c>
      <c r="N104" s="5">
        <f>IF($L104&gt;0,UnilabUsage[[#This Row],[Free-of-Max]]/UnilabUsage[[#This Row],[Usage-Delta-MB]],UnilabUsage[[#This Row],[Free-of-Max]])</f>
        <v>32767</v>
      </c>
    </row>
    <row r="105" spans="1:14" x14ac:dyDescent="0.25">
      <c r="A105" s="3">
        <v>44312</v>
      </c>
      <c r="B105" t="s">
        <v>6</v>
      </c>
      <c r="C105">
        <v>95</v>
      </c>
      <c r="D105">
        <v>6465</v>
      </c>
      <c r="E105">
        <v>315</v>
      </c>
      <c r="F105">
        <v>6150</v>
      </c>
      <c r="G105">
        <v>5</v>
      </c>
      <c r="H105">
        <v>32768</v>
      </c>
      <c r="I105">
        <v>19</v>
      </c>
      <c r="J105" t="s">
        <v>1</v>
      </c>
      <c r="K105" t="s">
        <v>2</v>
      </c>
      <c r="L105" s="8">
        <f>UnilabUsage[[#This Row],[Used-MB]]-F95</f>
        <v>12</v>
      </c>
      <c r="M105">
        <f>UnilabUsage[[#This Row],[Max]]-UnilabUsage[[#This Row],[Used-MB]]</f>
        <v>26618</v>
      </c>
      <c r="N105" s="5">
        <f>IF($L105&gt;0,UnilabUsage[[#This Row],[Free-of-Max]]/UnilabUsage[[#This Row],[Usage-Delta-MB]],UnilabUsage[[#This Row],[Free-of-Max]])</f>
        <v>2218.1666666666665</v>
      </c>
    </row>
    <row r="106" spans="1:14" x14ac:dyDescent="0.25">
      <c r="A106" s="3">
        <v>44312</v>
      </c>
      <c r="B106" t="s">
        <v>3</v>
      </c>
      <c r="C106">
        <v>96</v>
      </c>
      <c r="D106">
        <v>377328</v>
      </c>
      <c r="E106">
        <v>15980</v>
      </c>
      <c r="F106">
        <v>361348</v>
      </c>
      <c r="G106">
        <v>4</v>
      </c>
      <c r="H106">
        <v>393216</v>
      </c>
      <c r="I106">
        <v>92</v>
      </c>
      <c r="J106" t="s">
        <v>1</v>
      </c>
      <c r="K106" t="s">
        <v>2</v>
      </c>
      <c r="L106" s="8">
        <f>UnilabUsage[[#This Row],[Used-MB]]-F96</f>
        <v>591</v>
      </c>
      <c r="M106">
        <f>UnilabUsage[[#This Row],[Max]]-UnilabUsage[[#This Row],[Used-MB]]</f>
        <v>31868</v>
      </c>
      <c r="N106" s="5">
        <f>IF($L106&gt;0,UnilabUsage[[#This Row],[Free-of-Max]]/UnilabUsage[[#This Row],[Usage-Delta-MB]],UnilabUsage[[#This Row],[Free-of-Max]])</f>
        <v>53.922165820642981</v>
      </c>
    </row>
    <row r="107" spans="1:14" x14ac:dyDescent="0.25">
      <c r="A107" s="3">
        <v>44312</v>
      </c>
      <c r="B107" t="s">
        <v>5</v>
      </c>
      <c r="C107">
        <v>95</v>
      </c>
      <c r="D107">
        <v>16600</v>
      </c>
      <c r="E107">
        <v>831</v>
      </c>
      <c r="F107">
        <v>15769</v>
      </c>
      <c r="G107">
        <v>5</v>
      </c>
      <c r="H107">
        <v>32768</v>
      </c>
      <c r="I107">
        <v>48</v>
      </c>
      <c r="J107" t="s">
        <v>1</v>
      </c>
      <c r="K107" t="s">
        <v>2</v>
      </c>
      <c r="L107" s="8">
        <f>UnilabUsage[[#This Row],[Used-MB]]-F97</f>
        <v>105</v>
      </c>
      <c r="M107">
        <f>UnilabUsage[[#This Row],[Max]]-UnilabUsage[[#This Row],[Used-MB]]</f>
        <v>16999</v>
      </c>
      <c r="N107" s="5">
        <f>IF($L107&gt;0,UnilabUsage[[#This Row],[Free-of-Max]]/UnilabUsage[[#This Row],[Usage-Delta-MB]],UnilabUsage[[#This Row],[Free-of-Max]])</f>
        <v>161.89523809523808</v>
      </c>
    </row>
    <row r="108" spans="1:14" x14ac:dyDescent="0.25">
      <c r="A108" s="3">
        <v>44312</v>
      </c>
      <c r="B108" t="s">
        <v>8</v>
      </c>
      <c r="C108">
        <v>89</v>
      </c>
      <c r="D108">
        <v>262144</v>
      </c>
      <c r="E108">
        <v>27841</v>
      </c>
      <c r="F108">
        <v>234303</v>
      </c>
      <c r="G108">
        <v>11</v>
      </c>
      <c r="H108">
        <v>262144</v>
      </c>
      <c r="I108">
        <v>89</v>
      </c>
      <c r="J108" t="s">
        <v>1</v>
      </c>
      <c r="K108" t="s">
        <v>2</v>
      </c>
      <c r="L108" s="8">
        <f>UnilabUsage[[#This Row],[Used-MB]]-F98</f>
        <v>297</v>
      </c>
      <c r="M108">
        <f>UnilabUsage[[#This Row],[Max]]-UnilabUsage[[#This Row],[Used-MB]]</f>
        <v>27841</v>
      </c>
      <c r="N108" s="5">
        <f>IF($L108&gt;0,UnilabUsage[[#This Row],[Free-of-Max]]/UnilabUsage[[#This Row],[Usage-Delta-MB]],UnilabUsage[[#This Row],[Free-of-Max]])</f>
        <v>93.740740740740748</v>
      </c>
    </row>
    <row r="109" spans="1:14" x14ac:dyDescent="0.25">
      <c r="A109" s="3">
        <v>44312</v>
      </c>
      <c r="B109" t="s">
        <v>4</v>
      </c>
      <c r="C109">
        <v>99</v>
      </c>
      <c r="D109">
        <v>74709</v>
      </c>
      <c r="E109">
        <v>1085</v>
      </c>
      <c r="F109">
        <v>73624</v>
      </c>
      <c r="G109">
        <v>1</v>
      </c>
      <c r="H109">
        <v>98304</v>
      </c>
      <c r="I109">
        <v>75</v>
      </c>
      <c r="J109" t="s">
        <v>1</v>
      </c>
      <c r="K109" t="s">
        <v>2</v>
      </c>
      <c r="L109" s="8">
        <f>UnilabUsage[[#This Row],[Used-MB]]-F99</f>
        <v>192</v>
      </c>
      <c r="M109">
        <f>UnilabUsage[[#This Row],[Max]]-UnilabUsage[[#This Row],[Used-MB]]</f>
        <v>24680</v>
      </c>
      <c r="N109" s="5">
        <f>IF($L109&gt;0,UnilabUsage[[#This Row],[Free-of-Max]]/UnilabUsage[[#This Row],[Usage-Delta-MB]],UnilabUsage[[#This Row],[Free-of-Max]])</f>
        <v>128.54166666666666</v>
      </c>
    </row>
    <row r="110" spans="1:14" x14ac:dyDescent="0.25">
      <c r="A110" s="3">
        <v>44312</v>
      </c>
      <c r="B110" t="s">
        <v>12</v>
      </c>
      <c r="C110">
        <v>0</v>
      </c>
      <c r="D110">
        <v>30720</v>
      </c>
      <c r="E110">
        <v>30655</v>
      </c>
      <c r="F110">
        <v>65</v>
      </c>
      <c r="G110">
        <v>100</v>
      </c>
      <c r="H110">
        <v>30720</v>
      </c>
      <c r="I110">
        <v>0</v>
      </c>
      <c r="J110" t="s">
        <v>1</v>
      </c>
      <c r="K110" t="s">
        <v>13</v>
      </c>
      <c r="L110" s="8">
        <f>UnilabUsage[[#This Row],[Used-MB]]-F100</f>
        <v>-44</v>
      </c>
      <c r="M110">
        <f>UnilabUsage[[#This Row],[Max]]-UnilabUsage[[#This Row],[Used-MB]]</f>
        <v>30655</v>
      </c>
      <c r="N110" s="5">
        <f>IF($L110&gt;0,UnilabUsage[[#This Row],[Free-of-Max]]/UnilabUsage[[#This Row],[Usage-Delta-MB]],UnilabUsage[[#This Row],[Free-of-Max]])</f>
        <v>30655</v>
      </c>
    </row>
    <row r="111" spans="1:14" x14ac:dyDescent="0.25">
      <c r="A111" s="3">
        <v>44312</v>
      </c>
      <c r="B111" t="s">
        <v>9</v>
      </c>
      <c r="C111">
        <v>1</v>
      </c>
      <c r="D111">
        <v>10440</v>
      </c>
      <c r="E111">
        <v>10321</v>
      </c>
      <c r="F111">
        <v>119</v>
      </c>
      <c r="G111">
        <v>99</v>
      </c>
      <c r="H111">
        <v>32768</v>
      </c>
      <c r="I111">
        <v>0</v>
      </c>
      <c r="J111" t="s">
        <v>1</v>
      </c>
      <c r="K111" t="s">
        <v>10</v>
      </c>
      <c r="L111" s="8">
        <f>UnilabUsage[[#This Row],[Used-MB]]-F101</f>
        <v>-13</v>
      </c>
      <c r="M111">
        <f>UnilabUsage[[#This Row],[Max]]-UnilabUsage[[#This Row],[Used-MB]]</f>
        <v>32649</v>
      </c>
      <c r="N111" s="5">
        <f>IF($L111&gt;0,UnilabUsage[[#This Row],[Free-of-Max]]/UnilabUsage[[#This Row],[Usage-Delta-MB]],UnilabUsage[[#This Row],[Free-of-Max]])</f>
        <v>32649</v>
      </c>
    </row>
    <row r="112" spans="1:14" x14ac:dyDescent="0.25">
      <c r="A112" s="3">
        <v>44319</v>
      </c>
      <c r="B112" t="s">
        <v>7</v>
      </c>
      <c r="C112">
        <v>95</v>
      </c>
      <c r="D112">
        <v>1170</v>
      </c>
      <c r="E112">
        <v>63</v>
      </c>
      <c r="F112">
        <v>1107</v>
      </c>
      <c r="G112">
        <v>5</v>
      </c>
      <c r="H112">
        <v>32768</v>
      </c>
      <c r="I112">
        <v>3</v>
      </c>
      <c r="J112" t="s">
        <v>1</v>
      </c>
      <c r="K112" t="s">
        <v>2</v>
      </c>
      <c r="L112" s="8">
        <f>UnilabUsage[[#This Row],[Used-MB]]-F102</f>
        <v>8</v>
      </c>
      <c r="M112">
        <f>UnilabUsage[[#This Row],[Max]]-UnilabUsage[[#This Row],[Used-MB]]</f>
        <v>31661</v>
      </c>
      <c r="N112" s="5">
        <f>IF($L112&gt;0,UnilabUsage[[#This Row],[Free-of-Max]]/UnilabUsage[[#This Row],[Usage-Delta-MB]],UnilabUsage[[#This Row],[Free-of-Max]])</f>
        <v>3957.625</v>
      </c>
    </row>
    <row r="113" spans="1:14" x14ac:dyDescent="0.25">
      <c r="A113" s="3">
        <v>44319</v>
      </c>
      <c r="B113" t="s">
        <v>0</v>
      </c>
      <c r="C113">
        <v>100</v>
      </c>
      <c r="D113">
        <v>15400</v>
      </c>
      <c r="E113">
        <v>31</v>
      </c>
      <c r="F113">
        <v>15369</v>
      </c>
      <c r="G113">
        <v>0</v>
      </c>
      <c r="H113">
        <v>32768</v>
      </c>
      <c r="I113">
        <v>47</v>
      </c>
      <c r="J113" t="s">
        <v>1</v>
      </c>
      <c r="K113" t="s">
        <v>2</v>
      </c>
      <c r="L113" s="8">
        <f>UnilabUsage[[#This Row],[Used-MB]]-F103</f>
        <v>0</v>
      </c>
      <c r="M113">
        <f>UnilabUsage[[#This Row],[Max]]-UnilabUsage[[#This Row],[Used-MB]]</f>
        <v>17399</v>
      </c>
      <c r="N113" s="5">
        <f>IF($L113&gt;0,UnilabUsage[[#This Row],[Free-of-Max]]/UnilabUsage[[#This Row],[Usage-Delta-MB]],UnilabUsage[[#This Row],[Free-of-Max]])</f>
        <v>17399</v>
      </c>
    </row>
    <row r="114" spans="1:14" x14ac:dyDescent="0.25">
      <c r="A114" s="3">
        <v>44319</v>
      </c>
      <c r="B114" t="s">
        <v>11</v>
      </c>
      <c r="C114">
        <v>1</v>
      </c>
      <c r="D114">
        <v>100</v>
      </c>
      <c r="E114">
        <v>99</v>
      </c>
      <c r="F114">
        <v>1</v>
      </c>
      <c r="G114">
        <v>99</v>
      </c>
      <c r="H114">
        <v>32768</v>
      </c>
      <c r="I114">
        <v>0</v>
      </c>
      <c r="J114" t="s">
        <v>1</v>
      </c>
      <c r="K114" t="s">
        <v>2</v>
      </c>
      <c r="L114" s="8">
        <f>UnilabUsage[[#This Row],[Used-MB]]-F104</f>
        <v>0</v>
      </c>
      <c r="M114">
        <f>UnilabUsage[[#This Row],[Max]]-UnilabUsage[[#This Row],[Used-MB]]</f>
        <v>32767</v>
      </c>
      <c r="N114" s="5">
        <f>IF($L114&gt;0,UnilabUsage[[#This Row],[Free-of-Max]]/UnilabUsage[[#This Row],[Usage-Delta-MB]],UnilabUsage[[#This Row],[Free-of-Max]])</f>
        <v>32767</v>
      </c>
    </row>
    <row r="115" spans="1:14" x14ac:dyDescent="0.25">
      <c r="A115" s="3">
        <v>44319</v>
      </c>
      <c r="B115" t="s">
        <v>6</v>
      </c>
      <c r="C115">
        <v>95</v>
      </c>
      <c r="D115">
        <v>6515</v>
      </c>
      <c r="E115">
        <v>316</v>
      </c>
      <c r="F115">
        <v>6199</v>
      </c>
      <c r="G115">
        <v>5</v>
      </c>
      <c r="H115">
        <v>32768</v>
      </c>
      <c r="I115">
        <v>19</v>
      </c>
      <c r="J115" t="s">
        <v>1</v>
      </c>
      <c r="K115" t="s">
        <v>2</v>
      </c>
      <c r="L115" s="8">
        <f>UnilabUsage[[#This Row],[Used-MB]]-F105</f>
        <v>49</v>
      </c>
      <c r="M115">
        <f>UnilabUsage[[#This Row],[Max]]-UnilabUsage[[#This Row],[Used-MB]]</f>
        <v>26569</v>
      </c>
      <c r="N115" s="5">
        <f>IF($L115&gt;0,UnilabUsage[[#This Row],[Free-of-Max]]/UnilabUsage[[#This Row],[Usage-Delta-MB]],UnilabUsage[[#This Row],[Free-of-Max]])</f>
        <v>542.22448979591832</v>
      </c>
    </row>
    <row r="116" spans="1:14" x14ac:dyDescent="0.25">
      <c r="A116" s="3">
        <v>44319</v>
      </c>
      <c r="B116" t="s">
        <v>3</v>
      </c>
      <c r="C116">
        <v>96</v>
      </c>
      <c r="D116">
        <v>377328</v>
      </c>
      <c r="E116">
        <v>15372</v>
      </c>
      <c r="F116">
        <v>361956</v>
      </c>
      <c r="G116">
        <v>4</v>
      </c>
      <c r="H116">
        <v>393216</v>
      </c>
      <c r="I116">
        <v>92</v>
      </c>
      <c r="J116" t="s">
        <v>1</v>
      </c>
      <c r="K116" t="s">
        <v>2</v>
      </c>
      <c r="L116" s="8">
        <f>UnilabUsage[[#This Row],[Used-MB]]-F106</f>
        <v>608</v>
      </c>
      <c r="M116">
        <f>UnilabUsage[[#This Row],[Max]]-UnilabUsage[[#This Row],[Used-MB]]</f>
        <v>31260</v>
      </c>
      <c r="N116" s="5">
        <f>IF($L116&gt;0,UnilabUsage[[#This Row],[Free-of-Max]]/UnilabUsage[[#This Row],[Usage-Delta-MB]],UnilabUsage[[#This Row],[Free-of-Max]])</f>
        <v>51.414473684210527</v>
      </c>
    </row>
    <row r="117" spans="1:14" x14ac:dyDescent="0.25">
      <c r="A117" s="3">
        <v>44319</v>
      </c>
      <c r="B117" t="s">
        <v>5</v>
      </c>
      <c r="C117">
        <v>95</v>
      </c>
      <c r="D117">
        <v>16700</v>
      </c>
      <c r="E117">
        <v>828</v>
      </c>
      <c r="F117">
        <v>15872</v>
      </c>
      <c r="G117">
        <v>5</v>
      </c>
      <c r="H117">
        <v>32768</v>
      </c>
      <c r="I117">
        <v>48</v>
      </c>
      <c r="J117" t="s">
        <v>1</v>
      </c>
      <c r="K117" t="s">
        <v>2</v>
      </c>
      <c r="L117" s="8">
        <f>UnilabUsage[[#This Row],[Used-MB]]-F107</f>
        <v>103</v>
      </c>
      <c r="M117">
        <f>UnilabUsage[[#This Row],[Max]]-UnilabUsage[[#This Row],[Used-MB]]</f>
        <v>16896</v>
      </c>
      <c r="N117" s="5">
        <f>IF($L117&gt;0,UnilabUsage[[#This Row],[Free-of-Max]]/UnilabUsage[[#This Row],[Usage-Delta-MB]],UnilabUsage[[#This Row],[Free-of-Max]])</f>
        <v>164.03883495145632</v>
      </c>
    </row>
    <row r="118" spans="1:14" x14ac:dyDescent="0.25">
      <c r="A118" s="3">
        <v>44319</v>
      </c>
      <c r="B118" t="s">
        <v>8</v>
      </c>
      <c r="C118">
        <v>90</v>
      </c>
      <c r="D118">
        <v>262144</v>
      </c>
      <c r="E118">
        <v>27523</v>
      </c>
      <c r="F118">
        <v>234621</v>
      </c>
      <c r="G118">
        <v>10</v>
      </c>
      <c r="H118">
        <v>262144</v>
      </c>
      <c r="I118">
        <v>90</v>
      </c>
      <c r="J118" t="s">
        <v>1</v>
      </c>
      <c r="K118" t="s">
        <v>2</v>
      </c>
      <c r="L118" s="8">
        <f>UnilabUsage[[#This Row],[Used-MB]]-F108</f>
        <v>318</v>
      </c>
      <c r="M118">
        <f>UnilabUsage[[#This Row],[Max]]-UnilabUsage[[#This Row],[Used-MB]]</f>
        <v>27523</v>
      </c>
      <c r="N118" s="5">
        <f>IF($L118&gt;0,UnilabUsage[[#This Row],[Free-of-Max]]/UnilabUsage[[#This Row],[Usage-Delta-MB]],UnilabUsage[[#This Row],[Free-of-Max]])</f>
        <v>86.550314465408803</v>
      </c>
    </row>
    <row r="119" spans="1:14" x14ac:dyDescent="0.25">
      <c r="A119" s="3">
        <v>44319</v>
      </c>
      <c r="B119" t="s">
        <v>4</v>
      </c>
      <c r="C119">
        <v>95</v>
      </c>
      <c r="D119">
        <v>77781</v>
      </c>
      <c r="E119">
        <v>4092</v>
      </c>
      <c r="F119">
        <v>73689</v>
      </c>
      <c r="G119">
        <v>5</v>
      </c>
      <c r="H119">
        <v>98304</v>
      </c>
      <c r="I119">
        <v>75</v>
      </c>
      <c r="J119" t="s">
        <v>1</v>
      </c>
      <c r="K119" t="s">
        <v>2</v>
      </c>
      <c r="L119" s="8">
        <f>UnilabUsage[[#This Row],[Used-MB]]-F109</f>
        <v>65</v>
      </c>
      <c r="M119">
        <f>UnilabUsage[[#This Row],[Max]]-UnilabUsage[[#This Row],[Used-MB]]</f>
        <v>24615</v>
      </c>
      <c r="N119" s="5">
        <f>IF($L119&gt;0,UnilabUsage[[#This Row],[Free-of-Max]]/UnilabUsage[[#This Row],[Usage-Delta-MB]],UnilabUsage[[#This Row],[Free-of-Max]])</f>
        <v>378.69230769230768</v>
      </c>
    </row>
    <row r="120" spans="1:14" x14ac:dyDescent="0.25">
      <c r="A120" s="3">
        <v>44319</v>
      </c>
      <c r="B120" t="s">
        <v>12</v>
      </c>
      <c r="C120">
        <v>0</v>
      </c>
      <c r="D120">
        <v>30720</v>
      </c>
      <c r="E120">
        <v>30586</v>
      </c>
      <c r="F120">
        <v>134</v>
      </c>
      <c r="G120">
        <v>100</v>
      </c>
      <c r="H120">
        <v>30720</v>
      </c>
      <c r="I120">
        <v>0</v>
      </c>
      <c r="J120" t="s">
        <v>1</v>
      </c>
      <c r="K120" t="s">
        <v>13</v>
      </c>
      <c r="L120" s="8">
        <f>UnilabUsage[[#This Row],[Used-MB]]-F110</f>
        <v>69</v>
      </c>
      <c r="M120">
        <f>UnilabUsage[[#This Row],[Max]]-UnilabUsage[[#This Row],[Used-MB]]</f>
        <v>30586</v>
      </c>
      <c r="N120" s="5">
        <f>IF($L120&gt;0,UnilabUsage[[#This Row],[Free-of-Max]]/UnilabUsage[[#This Row],[Usage-Delta-MB]],UnilabUsage[[#This Row],[Free-of-Max]])</f>
        <v>443.27536231884056</v>
      </c>
    </row>
    <row r="121" spans="1:14" x14ac:dyDescent="0.25">
      <c r="A121" s="3">
        <v>44319</v>
      </c>
      <c r="B121" t="s">
        <v>9</v>
      </c>
      <c r="C121">
        <v>1</v>
      </c>
      <c r="D121">
        <v>10440</v>
      </c>
      <c r="E121">
        <v>10298</v>
      </c>
      <c r="F121">
        <v>142</v>
      </c>
      <c r="G121">
        <v>99</v>
      </c>
      <c r="H121">
        <v>32768</v>
      </c>
      <c r="I121">
        <v>0</v>
      </c>
      <c r="J121" t="s">
        <v>1</v>
      </c>
      <c r="K121" t="s">
        <v>10</v>
      </c>
      <c r="L121" s="8">
        <f>UnilabUsage[[#This Row],[Used-MB]]-F111</f>
        <v>23</v>
      </c>
      <c r="M121">
        <f>UnilabUsage[[#This Row],[Max]]-UnilabUsage[[#This Row],[Used-MB]]</f>
        <v>32626</v>
      </c>
      <c r="N121" s="5">
        <f>IF($L121&gt;0,UnilabUsage[[#This Row],[Free-of-Max]]/UnilabUsage[[#This Row],[Usage-Delta-MB]],UnilabUsage[[#This Row],[Free-of-Max]])</f>
        <v>1418.5217391304348</v>
      </c>
    </row>
    <row r="122" spans="1:14" x14ac:dyDescent="0.25">
      <c r="A122" s="3">
        <v>44326</v>
      </c>
      <c r="B122" t="s">
        <v>7</v>
      </c>
      <c r="C122">
        <v>95</v>
      </c>
      <c r="D122">
        <v>1170</v>
      </c>
      <c r="E122">
        <v>54</v>
      </c>
      <c r="F122">
        <v>1116</v>
      </c>
      <c r="G122">
        <v>5</v>
      </c>
      <c r="H122">
        <v>32768</v>
      </c>
      <c r="I122">
        <v>3</v>
      </c>
      <c r="J122" t="s">
        <v>1</v>
      </c>
      <c r="K122" t="s">
        <v>2</v>
      </c>
      <c r="L122" s="8">
        <f>UnilabUsage[[#This Row],[Used-MB]]-F112</f>
        <v>9</v>
      </c>
      <c r="M122">
        <f>UnilabUsage[[#This Row],[Max]]-UnilabUsage[[#This Row],[Used-MB]]</f>
        <v>31652</v>
      </c>
      <c r="N122" s="5">
        <f>IF($L122&gt;0,UnilabUsage[[#This Row],[Free-of-Max]]/UnilabUsage[[#This Row],[Usage-Delta-MB]],UnilabUsage[[#This Row],[Free-of-Max]])</f>
        <v>3516.8888888888887</v>
      </c>
    </row>
    <row r="123" spans="1:14" x14ac:dyDescent="0.25">
      <c r="A123" s="3">
        <v>44326</v>
      </c>
      <c r="B123" t="s">
        <v>0</v>
      </c>
      <c r="C123">
        <v>100</v>
      </c>
      <c r="D123">
        <v>15500</v>
      </c>
      <c r="E123">
        <v>67</v>
      </c>
      <c r="F123">
        <v>15433</v>
      </c>
      <c r="G123">
        <v>0</v>
      </c>
      <c r="H123">
        <v>32768</v>
      </c>
      <c r="I123">
        <v>47</v>
      </c>
      <c r="J123" t="s">
        <v>1</v>
      </c>
      <c r="K123" t="s">
        <v>2</v>
      </c>
      <c r="L123" s="8">
        <f>UnilabUsage[[#This Row],[Used-MB]]-F113</f>
        <v>64</v>
      </c>
      <c r="M123">
        <f>UnilabUsage[[#This Row],[Max]]-UnilabUsage[[#This Row],[Used-MB]]</f>
        <v>17335</v>
      </c>
      <c r="N123" s="5">
        <f>IF($L123&gt;0,UnilabUsage[[#This Row],[Free-of-Max]]/UnilabUsage[[#This Row],[Usage-Delta-MB]],UnilabUsage[[#This Row],[Free-of-Max]])</f>
        <v>270.859375</v>
      </c>
    </row>
    <row r="124" spans="1:14" x14ac:dyDescent="0.25">
      <c r="A124" s="3">
        <v>44326</v>
      </c>
      <c r="B124" t="s">
        <v>11</v>
      </c>
      <c r="C124">
        <v>1</v>
      </c>
      <c r="D124">
        <v>100</v>
      </c>
      <c r="E124">
        <v>99</v>
      </c>
      <c r="F124">
        <v>1</v>
      </c>
      <c r="G124">
        <v>99</v>
      </c>
      <c r="H124">
        <v>32768</v>
      </c>
      <c r="I124">
        <v>0</v>
      </c>
      <c r="J124" t="s">
        <v>1</v>
      </c>
      <c r="K124" t="s">
        <v>2</v>
      </c>
      <c r="L124" s="8">
        <f>UnilabUsage[[#This Row],[Used-MB]]-F114</f>
        <v>0</v>
      </c>
      <c r="M124">
        <f>UnilabUsage[[#This Row],[Max]]-UnilabUsage[[#This Row],[Used-MB]]</f>
        <v>32767</v>
      </c>
      <c r="N124" s="5">
        <f>IF($L124&gt;0,UnilabUsage[[#This Row],[Free-of-Max]]/UnilabUsage[[#This Row],[Usage-Delta-MB]],UnilabUsage[[#This Row],[Free-of-Max]])</f>
        <v>32767</v>
      </c>
    </row>
    <row r="125" spans="1:14" x14ac:dyDescent="0.25">
      <c r="A125" s="3">
        <v>44326</v>
      </c>
      <c r="B125" t="s">
        <v>6</v>
      </c>
      <c r="C125">
        <v>95</v>
      </c>
      <c r="D125">
        <v>6535</v>
      </c>
      <c r="E125">
        <v>317</v>
      </c>
      <c r="F125">
        <v>6218</v>
      </c>
      <c r="G125">
        <v>5</v>
      </c>
      <c r="H125">
        <v>32768</v>
      </c>
      <c r="I125">
        <v>19</v>
      </c>
      <c r="J125" t="s">
        <v>1</v>
      </c>
      <c r="K125" t="s">
        <v>2</v>
      </c>
      <c r="L125" s="8">
        <f>UnilabUsage[[#This Row],[Used-MB]]-F115</f>
        <v>19</v>
      </c>
      <c r="M125">
        <f>UnilabUsage[[#This Row],[Max]]-UnilabUsage[[#This Row],[Used-MB]]</f>
        <v>26550</v>
      </c>
      <c r="N125" s="5">
        <f>IF($L125&gt;0,UnilabUsage[[#This Row],[Free-of-Max]]/UnilabUsage[[#This Row],[Usage-Delta-MB]],UnilabUsage[[#This Row],[Free-of-Max]])</f>
        <v>1397.3684210526317</v>
      </c>
    </row>
    <row r="126" spans="1:14" x14ac:dyDescent="0.25">
      <c r="A126" s="3">
        <v>44326</v>
      </c>
      <c r="B126" t="s">
        <v>3</v>
      </c>
      <c r="C126">
        <v>96</v>
      </c>
      <c r="D126">
        <v>377328</v>
      </c>
      <c r="E126">
        <v>14762</v>
      </c>
      <c r="F126">
        <v>362566</v>
      </c>
      <c r="G126">
        <v>4</v>
      </c>
      <c r="H126">
        <v>393216</v>
      </c>
      <c r="I126">
        <v>92</v>
      </c>
      <c r="J126" t="s">
        <v>1</v>
      </c>
      <c r="K126" t="s">
        <v>2</v>
      </c>
      <c r="L126" s="8">
        <f>UnilabUsage[[#This Row],[Used-MB]]-F116</f>
        <v>610</v>
      </c>
      <c r="M126">
        <f>UnilabUsage[[#This Row],[Max]]-UnilabUsage[[#This Row],[Used-MB]]</f>
        <v>30650</v>
      </c>
      <c r="N126" s="5">
        <f>IF($L126&gt;0,UnilabUsage[[#This Row],[Free-of-Max]]/UnilabUsage[[#This Row],[Usage-Delta-MB]],UnilabUsage[[#This Row],[Free-of-Max]])</f>
        <v>50.245901639344261</v>
      </c>
    </row>
    <row r="127" spans="1:14" x14ac:dyDescent="0.25">
      <c r="A127" s="3">
        <v>44326</v>
      </c>
      <c r="B127" t="s">
        <v>5</v>
      </c>
      <c r="C127">
        <v>95</v>
      </c>
      <c r="D127">
        <v>16750</v>
      </c>
      <c r="E127">
        <v>835</v>
      </c>
      <c r="F127">
        <v>15915</v>
      </c>
      <c r="G127">
        <v>5</v>
      </c>
      <c r="H127">
        <v>32768</v>
      </c>
      <c r="I127">
        <v>49</v>
      </c>
      <c r="J127" t="s">
        <v>1</v>
      </c>
      <c r="K127" t="s">
        <v>2</v>
      </c>
      <c r="L127" s="8">
        <f>UnilabUsage[[#This Row],[Used-MB]]-F117</f>
        <v>43</v>
      </c>
      <c r="M127">
        <f>UnilabUsage[[#This Row],[Max]]-UnilabUsage[[#This Row],[Used-MB]]</f>
        <v>16853</v>
      </c>
      <c r="N127" s="5">
        <f>IF($L127&gt;0,UnilabUsage[[#This Row],[Free-of-Max]]/UnilabUsage[[#This Row],[Usage-Delta-MB]],UnilabUsage[[#This Row],[Free-of-Max]])</f>
        <v>391.93023255813955</v>
      </c>
    </row>
    <row r="128" spans="1:14" x14ac:dyDescent="0.25">
      <c r="A128" s="3">
        <v>44326</v>
      </c>
      <c r="B128" t="s">
        <v>8</v>
      </c>
      <c r="C128">
        <v>90</v>
      </c>
      <c r="D128">
        <v>262144</v>
      </c>
      <c r="E128">
        <v>27049</v>
      </c>
      <c r="F128">
        <v>235095</v>
      </c>
      <c r="G128">
        <v>10</v>
      </c>
      <c r="H128">
        <v>262144</v>
      </c>
      <c r="I128">
        <v>90</v>
      </c>
      <c r="J128" t="s">
        <v>1</v>
      </c>
      <c r="K128" t="s">
        <v>2</v>
      </c>
      <c r="L128" s="8">
        <f>UnilabUsage[[#This Row],[Used-MB]]-F118</f>
        <v>474</v>
      </c>
      <c r="M128">
        <f>UnilabUsage[[#This Row],[Max]]-UnilabUsage[[#This Row],[Used-MB]]</f>
        <v>27049</v>
      </c>
      <c r="N128" s="5">
        <f>IF($L128&gt;0,UnilabUsage[[#This Row],[Free-of-Max]]/UnilabUsage[[#This Row],[Usage-Delta-MB]],UnilabUsage[[#This Row],[Free-of-Max]])</f>
        <v>57.065400843881854</v>
      </c>
    </row>
    <row r="129" spans="1:14" x14ac:dyDescent="0.25">
      <c r="A129" s="3">
        <v>44326</v>
      </c>
      <c r="B129" t="s">
        <v>4</v>
      </c>
      <c r="C129">
        <v>95</v>
      </c>
      <c r="D129">
        <v>77781</v>
      </c>
      <c r="E129">
        <v>3964</v>
      </c>
      <c r="F129">
        <v>73817</v>
      </c>
      <c r="G129">
        <v>5</v>
      </c>
      <c r="H129">
        <v>98304</v>
      </c>
      <c r="I129">
        <v>75</v>
      </c>
      <c r="J129" t="s">
        <v>1</v>
      </c>
      <c r="K129" t="s">
        <v>2</v>
      </c>
      <c r="L129" s="8">
        <f>UnilabUsage[[#This Row],[Used-MB]]-F119</f>
        <v>128</v>
      </c>
      <c r="M129">
        <f>UnilabUsage[[#This Row],[Max]]-UnilabUsage[[#This Row],[Used-MB]]</f>
        <v>24487</v>
      </c>
      <c r="N129" s="5">
        <f>IF($L129&gt;0,UnilabUsage[[#This Row],[Free-of-Max]]/UnilabUsage[[#This Row],[Usage-Delta-MB]],UnilabUsage[[#This Row],[Free-of-Max]])</f>
        <v>191.3046875</v>
      </c>
    </row>
    <row r="130" spans="1:14" x14ac:dyDescent="0.25">
      <c r="A130" s="3">
        <v>44326</v>
      </c>
      <c r="B130" t="s">
        <v>12</v>
      </c>
      <c r="C130">
        <v>0</v>
      </c>
      <c r="D130">
        <v>30720</v>
      </c>
      <c r="E130">
        <v>30635</v>
      </c>
      <c r="F130">
        <v>85</v>
      </c>
      <c r="G130">
        <v>100</v>
      </c>
      <c r="H130">
        <v>30720</v>
      </c>
      <c r="I130">
        <v>0</v>
      </c>
      <c r="J130" t="s">
        <v>1</v>
      </c>
      <c r="K130" t="s">
        <v>13</v>
      </c>
      <c r="L130" s="8">
        <f>UnilabUsage[[#This Row],[Used-MB]]-F120</f>
        <v>-49</v>
      </c>
      <c r="M130">
        <f>UnilabUsage[[#This Row],[Max]]-UnilabUsage[[#This Row],[Used-MB]]</f>
        <v>30635</v>
      </c>
      <c r="N130" s="5">
        <f>IF($L130&gt;0,UnilabUsage[[#This Row],[Free-of-Max]]/UnilabUsage[[#This Row],[Usage-Delta-MB]],UnilabUsage[[#This Row],[Free-of-Max]])</f>
        <v>30635</v>
      </c>
    </row>
    <row r="131" spans="1:14" x14ac:dyDescent="0.25">
      <c r="A131" s="3">
        <v>44326</v>
      </c>
      <c r="B131" t="s">
        <v>9</v>
      </c>
      <c r="C131">
        <v>1</v>
      </c>
      <c r="D131">
        <v>10440</v>
      </c>
      <c r="E131">
        <v>10327</v>
      </c>
      <c r="F131">
        <v>113</v>
      </c>
      <c r="G131">
        <v>99</v>
      </c>
      <c r="H131">
        <v>32768</v>
      </c>
      <c r="I131">
        <v>0</v>
      </c>
      <c r="J131" t="s">
        <v>1</v>
      </c>
      <c r="K131" t="s">
        <v>10</v>
      </c>
      <c r="L131" s="8">
        <f>UnilabUsage[[#This Row],[Used-MB]]-F121</f>
        <v>-29</v>
      </c>
      <c r="M131">
        <f>UnilabUsage[[#This Row],[Max]]-UnilabUsage[[#This Row],[Used-MB]]</f>
        <v>32655</v>
      </c>
      <c r="N131" s="5">
        <f>IF($L131&gt;0,UnilabUsage[[#This Row],[Free-of-Max]]/UnilabUsage[[#This Row],[Usage-Delta-MB]],UnilabUsage[[#This Row],[Free-of-Max]])</f>
        <v>32655</v>
      </c>
    </row>
    <row r="132" spans="1:14" x14ac:dyDescent="0.25">
      <c r="A132" s="3">
        <v>44333</v>
      </c>
      <c r="B132" t="s">
        <v>7</v>
      </c>
      <c r="C132">
        <v>96</v>
      </c>
      <c r="D132">
        <v>1170</v>
      </c>
      <c r="E132">
        <v>47</v>
      </c>
      <c r="F132">
        <v>1123</v>
      </c>
      <c r="G132">
        <v>4</v>
      </c>
      <c r="H132">
        <v>32768</v>
      </c>
      <c r="I132">
        <v>3</v>
      </c>
      <c r="J132" t="s">
        <v>1</v>
      </c>
      <c r="K132" t="s">
        <v>2</v>
      </c>
      <c r="L132" s="8">
        <f>UnilabUsage[[#This Row],[Used-MB]]-F122</f>
        <v>7</v>
      </c>
      <c r="M132">
        <f>UnilabUsage[[#This Row],[Max]]-UnilabUsage[[#This Row],[Used-MB]]</f>
        <v>31645</v>
      </c>
      <c r="N132" s="5">
        <f>IF($L132&gt;0,UnilabUsage[[#This Row],[Free-of-Max]]/UnilabUsage[[#This Row],[Usage-Delta-MB]],UnilabUsage[[#This Row],[Free-of-Max]])</f>
        <v>4520.7142857142853</v>
      </c>
    </row>
    <row r="133" spans="1:14" x14ac:dyDescent="0.25">
      <c r="A133" s="3">
        <v>44333</v>
      </c>
      <c r="B133" t="s">
        <v>0</v>
      </c>
      <c r="C133">
        <v>100</v>
      </c>
      <c r="D133">
        <v>15500</v>
      </c>
      <c r="E133">
        <v>3</v>
      </c>
      <c r="F133">
        <v>15497</v>
      </c>
      <c r="G133">
        <v>0</v>
      </c>
      <c r="H133">
        <v>32768</v>
      </c>
      <c r="I133">
        <v>47</v>
      </c>
      <c r="J133" t="s">
        <v>1</v>
      </c>
      <c r="K133" t="s">
        <v>2</v>
      </c>
      <c r="L133" s="8">
        <f>UnilabUsage[[#This Row],[Used-MB]]-F123</f>
        <v>64</v>
      </c>
      <c r="M133">
        <f>UnilabUsage[[#This Row],[Max]]-UnilabUsage[[#This Row],[Used-MB]]</f>
        <v>17271</v>
      </c>
      <c r="N133" s="5">
        <f>IF($L133&gt;0,UnilabUsage[[#This Row],[Free-of-Max]]/UnilabUsage[[#This Row],[Usage-Delta-MB]],UnilabUsage[[#This Row],[Free-of-Max]])</f>
        <v>269.859375</v>
      </c>
    </row>
    <row r="134" spans="1:14" x14ac:dyDescent="0.25">
      <c r="A134" s="3">
        <v>44333</v>
      </c>
      <c r="B134" t="s">
        <v>11</v>
      </c>
      <c r="C134">
        <v>1</v>
      </c>
      <c r="D134">
        <v>100</v>
      </c>
      <c r="E134">
        <v>99</v>
      </c>
      <c r="F134">
        <v>1</v>
      </c>
      <c r="G134">
        <v>99</v>
      </c>
      <c r="H134">
        <v>32768</v>
      </c>
      <c r="I134">
        <v>0</v>
      </c>
      <c r="J134" t="s">
        <v>1</v>
      </c>
      <c r="K134" t="s">
        <v>2</v>
      </c>
      <c r="L134" s="8">
        <f>UnilabUsage[[#This Row],[Used-MB]]-F124</f>
        <v>0</v>
      </c>
      <c r="M134">
        <f>UnilabUsage[[#This Row],[Max]]-UnilabUsage[[#This Row],[Used-MB]]</f>
        <v>32767</v>
      </c>
      <c r="N134" s="5">
        <f>IF($L134&gt;0,UnilabUsage[[#This Row],[Free-of-Max]]/UnilabUsage[[#This Row],[Usage-Delta-MB]],UnilabUsage[[#This Row],[Free-of-Max]])</f>
        <v>32767</v>
      </c>
    </row>
    <row r="135" spans="1:14" x14ac:dyDescent="0.25">
      <c r="A135" s="3">
        <v>44333</v>
      </c>
      <c r="B135" t="s">
        <v>6</v>
      </c>
      <c r="C135">
        <v>95</v>
      </c>
      <c r="D135">
        <v>6535</v>
      </c>
      <c r="E135">
        <v>317</v>
      </c>
      <c r="F135">
        <v>6218</v>
      </c>
      <c r="G135">
        <v>5</v>
      </c>
      <c r="H135">
        <v>32768</v>
      </c>
      <c r="I135">
        <v>19</v>
      </c>
      <c r="J135" t="s">
        <v>1</v>
      </c>
      <c r="K135" t="s">
        <v>2</v>
      </c>
      <c r="L135" s="8">
        <f>UnilabUsage[[#This Row],[Used-MB]]-F125</f>
        <v>0</v>
      </c>
      <c r="M135">
        <f>UnilabUsage[[#This Row],[Max]]-UnilabUsage[[#This Row],[Used-MB]]</f>
        <v>26550</v>
      </c>
      <c r="N135" s="5">
        <f>IF($L135&gt;0,UnilabUsage[[#This Row],[Free-of-Max]]/UnilabUsage[[#This Row],[Usage-Delta-MB]],UnilabUsage[[#This Row],[Free-of-Max]])</f>
        <v>26550</v>
      </c>
    </row>
    <row r="136" spans="1:14" x14ac:dyDescent="0.25">
      <c r="A136" s="3">
        <v>44333</v>
      </c>
      <c r="B136" t="s">
        <v>3</v>
      </c>
      <c r="C136">
        <v>96</v>
      </c>
      <c r="D136">
        <v>377328</v>
      </c>
      <c r="E136">
        <v>14353</v>
      </c>
      <c r="F136">
        <v>362975</v>
      </c>
      <c r="G136">
        <v>4</v>
      </c>
      <c r="H136">
        <v>393216</v>
      </c>
      <c r="I136">
        <v>92</v>
      </c>
      <c r="J136" t="s">
        <v>1</v>
      </c>
      <c r="K136" t="s">
        <v>2</v>
      </c>
      <c r="L136" s="8">
        <f>UnilabUsage[[#This Row],[Used-MB]]-F126</f>
        <v>409</v>
      </c>
      <c r="M136">
        <f>UnilabUsage[[#This Row],[Max]]-UnilabUsage[[#This Row],[Used-MB]]</f>
        <v>30241</v>
      </c>
      <c r="N136" s="5">
        <f>IF($L136&gt;0,UnilabUsage[[#This Row],[Free-of-Max]]/UnilabUsage[[#This Row],[Usage-Delta-MB]],UnilabUsage[[#This Row],[Free-of-Max]])</f>
        <v>73.938875305623469</v>
      </c>
    </row>
    <row r="137" spans="1:14" x14ac:dyDescent="0.25">
      <c r="A137" s="3">
        <v>44333</v>
      </c>
      <c r="B137" t="s">
        <v>5</v>
      </c>
      <c r="C137">
        <v>95</v>
      </c>
      <c r="D137">
        <v>16850</v>
      </c>
      <c r="E137">
        <v>807</v>
      </c>
      <c r="F137">
        <v>16043</v>
      </c>
      <c r="G137">
        <v>5</v>
      </c>
      <c r="H137">
        <v>32768</v>
      </c>
      <c r="I137">
        <v>49</v>
      </c>
      <c r="J137" t="s">
        <v>1</v>
      </c>
      <c r="K137" t="s">
        <v>2</v>
      </c>
      <c r="L137" s="8">
        <f>UnilabUsage[[#This Row],[Used-MB]]-F127</f>
        <v>128</v>
      </c>
      <c r="M137">
        <f>UnilabUsage[[#This Row],[Max]]-UnilabUsage[[#This Row],[Used-MB]]</f>
        <v>16725</v>
      </c>
      <c r="N137" s="5">
        <f>IF($L137&gt;0,UnilabUsage[[#This Row],[Free-of-Max]]/UnilabUsage[[#This Row],[Usage-Delta-MB]],UnilabUsage[[#This Row],[Free-of-Max]])</f>
        <v>130.6640625</v>
      </c>
    </row>
    <row r="138" spans="1:14" x14ac:dyDescent="0.25">
      <c r="A138" s="3">
        <v>44333</v>
      </c>
      <c r="B138" t="s">
        <v>8</v>
      </c>
      <c r="C138">
        <v>90</v>
      </c>
      <c r="D138">
        <v>262144</v>
      </c>
      <c r="E138">
        <v>26775</v>
      </c>
      <c r="F138">
        <v>235369</v>
      </c>
      <c r="G138">
        <v>10</v>
      </c>
      <c r="H138">
        <v>262144</v>
      </c>
      <c r="I138">
        <v>90</v>
      </c>
      <c r="J138" t="s">
        <v>1</v>
      </c>
      <c r="K138" t="s">
        <v>2</v>
      </c>
      <c r="L138" s="8">
        <f>UnilabUsage[[#This Row],[Used-MB]]-F128</f>
        <v>274</v>
      </c>
      <c r="M138">
        <f>UnilabUsage[[#This Row],[Max]]-UnilabUsage[[#This Row],[Used-MB]]</f>
        <v>26775</v>
      </c>
      <c r="N138" s="5">
        <f>IF($L138&gt;0,UnilabUsage[[#This Row],[Free-of-Max]]/UnilabUsage[[#This Row],[Usage-Delta-MB]],UnilabUsage[[#This Row],[Free-of-Max]])</f>
        <v>97.71897810218978</v>
      </c>
    </row>
    <row r="139" spans="1:14" x14ac:dyDescent="0.25">
      <c r="A139" s="3">
        <v>44333</v>
      </c>
      <c r="B139" t="s">
        <v>4</v>
      </c>
      <c r="C139">
        <v>95</v>
      </c>
      <c r="D139">
        <v>77781</v>
      </c>
      <c r="E139">
        <v>3900</v>
      </c>
      <c r="F139">
        <v>73881</v>
      </c>
      <c r="G139">
        <v>5</v>
      </c>
      <c r="H139">
        <v>98304</v>
      </c>
      <c r="I139">
        <v>75</v>
      </c>
      <c r="J139" t="s">
        <v>1</v>
      </c>
      <c r="K139" t="s">
        <v>2</v>
      </c>
      <c r="L139" s="8">
        <f>UnilabUsage[[#This Row],[Used-MB]]-F129</f>
        <v>64</v>
      </c>
      <c r="M139">
        <f>UnilabUsage[[#This Row],[Max]]-UnilabUsage[[#This Row],[Used-MB]]</f>
        <v>24423</v>
      </c>
      <c r="N139" s="5">
        <f>IF($L139&gt;0,UnilabUsage[[#This Row],[Free-of-Max]]/UnilabUsage[[#This Row],[Usage-Delta-MB]],UnilabUsage[[#This Row],[Free-of-Max]])</f>
        <v>381.609375</v>
      </c>
    </row>
    <row r="140" spans="1:14" x14ac:dyDescent="0.25">
      <c r="A140" s="3">
        <v>44333</v>
      </c>
      <c r="B140" t="s">
        <v>12</v>
      </c>
      <c r="C140">
        <v>0</v>
      </c>
      <c r="D140">
        <v>30720</v>
      </c>
      <c r="E140">
        <v>30635</v>
      </c>
      <c r="F140">
        <v>85</v>
      </c>
      <c r="G140">
        <v>100</v>
      </c>
      <c r="H140">
        <v>30720</v>
      </c>
      <c r="I140">
        <v>0</v>
      </c>
      <c r="J140" t="s">
        <v>1</v>
      </c>
      <c r="K140" t="s">
        <v>13</v>
      </c>
      <c r="L140" s="8">
        <f>UnilabUsage[[#This Row],[Used-MB]]-F130</f>
        <v>0</v>
      </c>
      <c r="M140">
        <f>UnilabUsage[[#This Row],[Max]]-UnilabUsage[[#This Row],[Used-MB]]</f>
        <v>30635</v>
      </c>
      <c r="N140" s="5">
        <f>IF($L140&gt;0,UnilabUsage[[#This Row],[Free-of-Max]]/UnilabUsage[[#This Row],[Usage-Delta-MB]],UnilabUsage[[#This Row],[Free-of-Max]])</f>
        <v>30635</v>
      </c>
    </row>
    <row r="141" spans="1:14" x14ac:dyDescent="0.25">
      <c r="A141" s="3">
        <v>44333</v>
      </c>
      <c r="B141" t="s">
        <v>9</v>
      </c>
      <c r="C141">
        <v>1</v>
      </c>
      <c r="D141">
        <v>10440</v>
      </c>
      <c r="E141">
        <v>10297</v>
      </c>
      <c r="F141">
        <v>144</v>
      </c>
      <c r="G141">
        <v>99</v>
      </c>
      <c r="H141">
        <v>32768</v>
      </c>
      <c r="I141">
        <v>0</v>
      </c>
      <c r="J141" t="s">
        <v>1</v>
      </c>
      <c r="K141" t="s">
        <v>10</v>
      </c>
      <c r="L141" s="8">
        <f>UnilabUsage[[#This Row],[Used-MB]]-F131</f>
        <v>31</v>
      </c>
      <c r="M141">
        <f>UnilabUsage[[#This Row],[Max]]-UnilabUsage[[#This Row],[Used-MB]]</f>
        <v>32624</v>
      </c>
      <c r="N141" s="5">
        <f>IF($L141&gt;0,UnilabUsage[[#This Row],[Free-of-Max]]/UnilabUsage[[#This Row],[Usage-Delta-MB]],UnilabUsage[[#This Row],[Free-of-Max]])</f>
        <v>1052.3870967741937</v>
      </c>
    </row>
    <row r="142" spans="1:14" x14ac:dyDescent="0.25">
      <c r="A142" s="3">
        <v>44341</v>
      </c>
      <c r="B142" t="s">
        <v>7</v>
      </c>
      <c r="C142">
        <v>95</v>
      </c>
      <c r="D142">
        <v>1190</v>
      </c>
      <c r="E142">
        <v>60</v>
      </c>
      <c r="F142">
        <v>1130</v>
      </c>
      <c r="G142">
        <v>5</v>
      </c>
      <c r="H142">
        <v>32768</v>
      </c>
      <c r="I142">
        <v>3</v>
      </c>
      <c r="J142" t="s">
        <v>1</v>
      </c>
      <c r="K142" t="s">
        <v>2</v>
      </c>
      <c r="L142" s="8">
        <f>UnilabUsage[[#This Row],[Used-MB]]-F132</f>
        <v>7</v>
      </c>
      <c r="M142">
        <f>UnilabUsage[[#This Row],[Max]]-UnilabUsage[[#This Row],[Used-MB]]</f>
        <v>31638</v>
      </c>
      <c r="N142" s="5">
        <f>IF($L142&gt;0,UnilabUsage[[#This Row],[Free-of-Max]]/UnilabUsage[[#This Row],[Usage-Delta-MB]],UnilabUsage[[#This Row],[Free-of-Max]])</f>
        <v>4519.7142857142853</v>
      </c>
    </row>
    <row r="143" spans="1:14" x14ac:dyDescent="0.25">
      <c r="A143" s="3">
        <v>44341</v>
      </c>
      <c r="B143" t="s">
        <v>0</v>
      </c>
      <c r="C143">
        <v>100</v>
      </c>
      <c r="D143">
        <v>15600</v>
      </c>
      <c r="E143">
        <v>39</v>
      </c>
      <c r="F143">
        <v>15561</v>
      </c>
      <c r="G143">
        <v>0</v>
      </c>
      <c r="H143">
        <v>32768</v>
      </c>
      <c r="I143">
        <v>47</v>
      </c>
      <c r="J143" t="s">
        <v>1</v>
      </c>
      <c r="K143" t="s">
        <v>2</v>
      </c>
      <c r="L143" s="8">
        <f>UnilabUsage[[#This Row],[Used-MB]]-F133</f>
        <v>64</v>
      </c>
      <c r="M143">
        <f>UnilabUsage[[#This Row],[Max]]-UnilabUsage[[#This Row],[Used-MB]]</f>
        <v>17207</v>
      </c>
      <c r="N143" s="5">
        <f>IF($L143&gt;0,UnilabUsage[[#This Row],[Free-of-Max]]/UnilabUsage[[#This Row],[Usage-Delta-MB]],UnilabUsage[[#This Row],[Free-of-Max]])</f>
        <v>268.859375</v>
      </c>
    </row>
    <row r="144" spans="1:14" x14ac:dyDescent="0.25">
      <c r="A144" s="3">
        <v>44341</v>
      </c>
      <c r="B144" t="s">
        <v>11</v>
      </c>
      <c r="C144">
        <v>1</v>
      </c>
      <c r="D144">
        <v>100</v>
      </c>
      <c r="E144">
        <v>99</v>
      </c>
      <c r="F144">
        <v>1</v>
      </c>
      <c r="G144">
        <v>99</v>
      </c>
      <c r="H144">
        <v>32768</v>
      </c>
      <c r="I144">
        <v>0</v>
      </c>
      <c r="J144" t="s">
        <v>1</v>
      </c>
      <c r="K144" t="s">
        <v>2</v>
      </c>
      <c r="L144" s="8">
        <f>UnilabUsage[[#This Row],[Used-MB]]-F134</f>
        <v>0</v>
      </c>
      <c r="M144">
        <f>UnilabUsage[[#This Row],[Max]]-UnilabUsage[[#This Row],[Used-MB]]</f>
        <v>32767</v>
      </c>
      <c r="N144" s="5">
        <f>IF($L144&gt;0,UnilabUsage[[#This Row],[Free-of-Max]]/UnilabUsage[[#This Row],[Usage-Delta-MB]],UnilabUsage[[#This Row],[Free-of-Max]])</f>
        <v>32767</v>
      </c>
    </row>
    <row r="145" spans="1:14" x14ac:dyDescent="0.25">
      <c r="A145" s="3">
        <v>44341</v>
      </c>
      <c r="B145" t="s">
        <v>6</v>
      </c>
      <c r="C145">
        <v>95</v>
      </c>
      <c r="D145">
        <v>6545</v>
      </c>
      <c r="E145">
        <v>316</v>
      </c>
      <c r="F145">
        <v>6229</v>
      </c>
      <c r="G145">
        <v>5</v>
      </c>
      <c r="H145">
        <v>32768</v>
      </c>
      <c r="I145">
        <v>19</v>
      </c>
      <c r="J145" t="s">
        <v>1</v>
      </c>
      <c r="K145" t="s">
        <v>2</v>
      </c>
      <c r="L145" s="8">
        <f>UnilabUsage[[#This Row],[Used-MB]]-F135</f>
        <v>11</v>
      </c>
      <c r="M145">
        <f>UnilabUsage[[#This Row],[Max]]-UnilabUsage[[#This Row],[Used-MB]]</f>
        <v>26539</v>
      </c>
      <c r="N145" s="5">
        <f>IF($L145&gt;0,UnilabUsage[[#This Row],[Free-of-Max]]/UnilabUsage[[#This Row],[Usage-Delta-MB]],UnilabUsage[[#This Row],[Free-of-Max]])</f>
        <v>2412.6363636363635</v>
      </c>
    </row>
    <row r="146" spans="1:14" x14ac:dyDescent="0.25">
      <c r="A146" s="3">
        <v>44341</v>
      </c>
      <c r="B146" t="s">
        <v>3</v>
      </c>
      <c r="C146">
        <v>96</v>
      </c>
      <c r="D146">
        <v>377328</v>
      </c>
      <c r="E146">
        <v>13854</v>
      </c>
      <c r="F146">
        <v>363473</v>
      </c>
      <c r="G146">
        <v>4</v>
      </c>
      <c r="H146">
        <v>393216</v>
      </c>
      <c r="I146">
        <v>92</v>
      </c>
      <c r="J146" t="s">
        <v>1</v>
      </c>
      <c r="K146" t="s">
        <v>2</v>
      </c>
      <c r="L146" s="8">
        <f>UnilabUsage[[#This Row],[Used-MB]]-F136</f>
        <v>498</v>
      </c>
      <c r="M146">
        <f>UnilabUsage[[#This Row],[Max]]-UnilabUsage[[#This Row],[Used-MB]]</f>
        <v>29743</v>
      </c>
      <c r="N146" s="5">
        <f>IF($L146&gt;0,UnilabUsage[[#This Row],[Free-of-Max]]/UnilabUsage[[#This Row],[Usage-Delta-MB]],UnilabUsage[[#This Row],[Free-of-Max]])</f>
        <v>59.724899598393577</v>
      </c>
    </row>
    <row r="147" spans="1:14" x14ac:dyDescent="0.25">
      <c r="A147" s="3">
        <v>44341</v>
      </c>
      <c r="B147" t="s">
        <v>5</v>
      </c>
      <c r="C147">
        <v>95</v>
      </c>
      <c r="D147">
        <v>16900</v>
      </c>
      <c r="E147">
        <v>839</v>
      </c>
      <c r="F147">
        <v>16061</v>
      </c>
      <c r="G147">
        <v>5</v>
      </c>
      <c r="H147">
        <v>32768</v>
      </c>
      <c r="I147">
        <v>49</v>
      </c>
      <c r="J147" t="s">
        <v>1</v>
      </c>
      <c r="K147" t="s">
        <v>2</v>
      </c>
      <c r="L147" s="8">
        <f>UnilabUsage[[#This Row],[Used-MB]]-F137</f>
        <v>18</v>
      </c>
      <c r="M147">
        <f>UnilabUsage[[#This Row],[Max]]-UnilabUsage[[#This Row],[Used-MB]]</f>
        <v>16707</v>
      </c>
      <c r="N147" s="5">
        <f>IF($L147&gt;0,UnilabUsage[[#This Row],[Free-of-Max]]/UnilabUsage[[#This Row],[Usage-Delta-MB]],UnilabUsage[[#This Row],[Free-of-Max]])</f>
        <v>928.16666666666663</v>
      </c>
    </row>
    <row r="148" spans="1:14" x14ac:dyDescent="0.25">
      <c r="A148" s="3">
        <v>44341</v>
      </c>
      <c r="B148" t="s">
        <v>8</v>
      </c>
      <c r="C148">
        <v>90</v>
      </c>
      <c r="D148">
        <v>262144</v>
      </c>
      <c r="E148">
        <v>26401</v>
      </c>
      <c r="F148">
        <v>235743</v>
      </c>
      <c r="G148">
        <v>10</v>
      </c>
      <c r="H148">
        <v>262144</v>
      </c>
      <c r="I148">
        <v>90</v>
      </c>
      <c r="J148" t="s">
        <v>1</v>
      </c>
      <c r="K148" t="s">
        <v>2</v>
      </c>
      <c r="L148" s="8">
        <f>UnilabUsage[[#This Row],[Used-MB]]-F138</f>
        <v>374</v>
      </c>
      <c r="M148">
        <f>UnilabUsage[[#This Row],[Max]]-UnilabUsage[[#This Row],[Used-MB]]</f>
        <v>26401</v>
      </c>
      <c r="N148" s="5">
        <f>IF($L148&gt;0,UnilabUsage[[#This Row],[Free-of-Max]]/UnilabUsage[[#This Row],[Usage-Delta-MB]],UnilabUsage[[#This Row],[Free-of-Max]])</f>
        <v>70.590909090909093</v>
      </c>
    </row>
    <row r="149" spans="1:14" x14ac:dyDescent="0.25">
      <c r="A149" s="3">
        <v>44341</v>
      </c>
      <c r="B149" t="s">
        <v>4</v>
      </c>
      <c r="C149">
        <v>95</v>
      </c>
      <c r="D149">
        <v>77781</v>
      </c>
      <c r="E149">
        <v>3836</v>
      </c>
      <c r="F149">
        <v>73945</v>
      </c>
      <c r="G149">
        <v>5</v>
      </c>
      <c r="H149">
        <v>98304</v>
      </c>
      <c r="I149">
        <v>75</v>
      </c>
      <c r="J149" t="s">
        <v>1</v>
      </c>
      <c r="K149" t="s">
        <v>2</v>
      </c>
      <c r="L149" s="8">
        <f>UnilabUsage[[#This Row],[Used-MB]]-F139</f>
        <v>64</v>
      </c>
      <c r="M149">
        <f>UnilabUsage[[#This Row],[Max]]-UnilabUsage[[#This Row],[Used-MB]]</f>
        <v>24359</v>
      </c>
      <c r="N149" s="5">
        <f>IF($L149&gt;0,UnilabUsage[[#This Row],[Free-of-Max]]/UnilabUsage[[#This Row],[Usage-Delta-MB]],UnilabUsage[[#This Row],[Free-of-Max]])</f>
        <v>380.609375</v>
      </c>
    </row>
    <row r="150" spans="1:14" x14ac:dyDescent="0.25">
      <c r="A150" s="3">
        <v>44341</v>
      </c>
      <c r="B150" t="s">
        <v>12</v>
      </c>
      <c r="C150">
        <v>0</v>
      </c>
      <c r="D150">
        <v>30720</v>
      </c>
      <c r="E150">
        <v>30607</v>
      </c>
      <c r="F150">
        <v>113</v>
      </c>
      <c r="G150">
        <v>100</v>
      </c>
      <c r="H150">
        <v>30720</v>
      </c>
      <c r="I150">
        <v>0</v>
      </c>
      <c r="J150" t="s">
        <v>1</v>
      </c>
      <c r="K150" t="s">
        <v>13</v>
      </c>
      <c r="L150" s="8">
        <f>UnilabUsage[[#This Row],[Used-MB]]-F140</f>
        <v>28</v>
      </c>
      <c r="M150">
        <f>UnilabUsage[[#This Row],[Max]]-UnilabUsage[[#This Row],[Used-MB]]</f>
        <v>30607</v>
      </c>
      <c r="N150" s="5">
        <f>IF($L150&gt;0,UnilabUsage[[#This Row],[Free-of-Max]]/UnilabUsage[[#This Row],[Usage-Delta-MB]],UnilabUsage[[#This Row],[Free-of-Max]])</f>
        <v>1093.1071428571429</v>
      </c>
    </row>
    <row r="151" spans="1:14" x14ac:dyDescent="0.25">
      <c r="A151" s="3">
        <v>44341</v>
      </c>
      <c r="B151" t="s">
        <v>9</v>
      </c>
      <c r="C151">
        <v>1</v>
      </c>
      <c r="D151">
        <v>10440</v>
      </c>
      <c r="E151">
        <v>10318</v>
      </c>
      <c r="F151">
        <v>122</v>
      </c>
      <c r="G151">
        <v>99</v>
      </c>
      <c r="H151">
        <v>32768</v>
      </c>
      <c r="I151">
        <v>0</v>
      </c>
      <c r="J151" t="s">
        <v>1</v>
      </c>
      <c r="K151" t="s">
        <v>10</v>
      </c>
      <c r="L151" s="8">
        <f>UnilabUsage[[#This Row],[Used-MB]]-F141</f>
        <v>-22</v>
      </c>
      <c r="M151">
        <f>UnilabUsage[[#This Row],[Max]]-UnilabUsage[[#This Row],[Used-MB]]</f>
        <v>32646</v>
      </c>
      <c r="N151" s="5">
        <f>IF($L151&gt;0,UnilabUsage[[#This Row],[Free-of-Max]]/UnilabUsage[[#This Row],[Usage-Delta-MB]],UnilabUsage[[#This Row],[Free-of-Max]])</f>
        <v>32646</v>
      </c>
    </row>
    <row r="152" spans="1:14" x14ac:dyDescent="0.25">
      <c r="A152" s="3">
        <v>44347</v>
      </c>
      <c r="B152" t="s">
        <v>7</v>
      </c>
      <c r="C152">
        <v>96</v>
      </c>
      <c r="D152">
        <v>1190</v>
      </c>
      <c r="E152">
        <v>52</v>
      </c>
      <c r="F152">
        <v>1138</v>
      </c>
      <c r="G152">
        <v>4</v>
      </c>
      <c r="H152">
        <v>32768</v>
      </c>
      <c r="I152">
        <v>3</v>
      </c>
      <c r="J152" t="s">
        <v>1</v>
      </c>
      <c r="K152" t="s">
        <v>2</v>
      </c>
      <c r="L152" s="8">
        <f>UnilabUsage[[#This Row],[Used-MB]]-F142</f>
        <v>8</v>
      </c>
      <c r="M152">
        <f>UnilabUsage[[#This Row],[Max]]-UnilabUsage[[#This Row],[Used-MB]]</f>
        <v>31630</v>
      </c>
      <c r="N152" s="5">
        <f>IF($L152&gt;0,UnilabUsage[[#This Row],[Free-of-Max]]/UnilabUsage[[#This Row],[Usage-Delta-MB]],UnilabUsage[[#This Row],[Free-of-Max]])</f>
        <v>3953.75</v>
      </c>
    </row>
    <row r="153" spans="1:14" x14ac:dyDescent="0.25">
      <c r="A153" s="3">
        <v>44347</v>
      </c>
      <c r="B153" t="s">
        <v>0</v>
      </c>
      <c r="C153">
        <v>100</v>
      </c>
      <c r="D153">
        <v>15700</v>
      </c>
      <c r="E153">
        <v>75</v>
      </c>
      <c r="F153">
        <v>15625</v>
      </c>
      <c r="G153">
        <v>0</v>
      </c>
      <c r="H153">
        <v>32768</v>
      </c>
      <c r="I153">
        <v>48</v>
      </c>
      <c r="J153" t="s">
        <v>1</v>
      </c>
      <c r="K153" t="s">
        <v>2</v>
      </c>
      <c r="L153" s="8">
        <f>UnilabUsage[[#This Row],[Used-MB]]-F143</f>
        <v>64</v>
      </c>
      <c r="M153">
        <f>UnilabUsage[[#This Row],[Max]]-UnilabUsage[[#This Row],[Used-MB]]</f>
        <v>17143</v>
      </c>
      <c r="N153" s="5">
        <f>IF($L153&gt;0,UnilabUsage[[#This Row],[Free-of-Max]]/UnilabUsage[[#This Row],[Usage-Delta-MB]],UnilabUsage[[#This Row],[Free-of-Max]])</f>
        <v>267.859375</v>
      </c>
    </row>
    <row r="154" spans="1:14" x14ac:dyDescent="0.25">
      <c r="A154" s="3">
        <v>44347</v>
      </c>
      <c r="B154" t="s">
        <v>11</v>
      </c>
      <c r="C154">
        <v>1</v>
      </c>
      <c r="D154">
        <v>100</v>
      </c>
      <c r="E154">
        <v>99</v>
      </c>
      <c r="F154">
        <v>1</v>
      </c>
      <c r="G154">
        <v>99</v>
      </c>
      <c r="H154">
        <v>32768</v>
      </c>
      <c r="I154">
        <v>0</v>
      </c>
      <c r="J154" t="s">
        <v>1</v>
      </c>
      <c r="K154" t="s">
        <v>2</v>
      </c>
      <c r="L154" s="8">
        <f>UnilabUsage[[#This Row],[Used-MB]]-F144</f>
        <v>0</v>
      </c>
      <c r="M154">
        <f>UnilabUsage[[#This Row],[Max]]-UnilabUsage[[#This Row],[Used-MB]]</f>
        <v>32767</v>
      </c>
      <c r="N154" s="5">
        <f>IF($L154&gt;0,UnilabUsage[[#This Row],[Free-of-Max]]/UnilabUsage[[#This Row],[Usage-Delta-MB]],UnilabUsage[[#This Row],[Free-of-Max]])</f>
        <v>32767</v>
      </c>
    </row>
    <row r="155" spans="1:14" x14ac:dyDescent="0.25">
      <c r="A155" s="3">
        <v>44347</v>
      </c>
      <c r="B155" t="s">
        <v>6</v>
      </c>
      <c r="C155">
        <v>95</v>
      </c>
      <c r="D155">
        <v>6545</v>
      </c>
      <c r="E155">
        <v>316</v>
      </c>
      <c r="F155">
        <v>6229</v>
      </c>
      <c r="G155">
        <v>5</v>
      </c>
      <c r="H155">
        <v>32768</v>
      </c>
      <c r="I155">
        <v>19</v>
      </c>
      <c r="J155" t="s">
        <v>1</v>
      </c>
      <c r="K155" t="s">
        <v>2</v>
      </c>
      <c r="L155" s="8">
        <f>UnilabUsage[[#This Row],[Used-MB]]-F145</f>
        <v>0</v>
      </c>
      <c r="M155">
        <f>UnilabUsage[[#This Row],[Max]]-UnilabUsage[[#This Row],[Used-MB]]</f>
        <v>26539</v>
      </c>
      <c r="N155" s="5">
        <f>IF($L155&gt;0,UnilabUsage[[#This Row],[Free-of-Max]]/UnilabUsage[[#This Row],[Usage-Delta-MB]],UnilabUsage[[#This Row],[Free-of-Max]])</f>
        <v>26539</v>
      </c>
    </row>
    <row r="156" spans="1:14" x14ac:dyDescent="0.25">
      <c r="A156" s="3">
        <v>44347</v>
      </c>
      <c r="B156" t="s">
        <v>3</v>
      </c>
      <c r="C156">
        <v>96</v>
      </c>
      <c r="D156">
        <v>377328</v>
      </c>
      <c r="E156">
        <v>13374</v>
      </c>
      <c r="F156">
        <v>363954</v>
      </c>
      <c r="G156">
        <v>4</v>
      </c>
      <c r="H156">
        <v>393216</v>
      </c>
      <c r="I156">
        <v>93</v>
      </c>
      <c r="J156" t="s">
        <v>1</v>
      </c>
      <c r="K156" t="s">
        <v>2</v>
      </c>
      <c r="L156" s="8">
        <f>UnilabUsage[[#This Row],[Used-MB]]-F146</f>
        <v>481</v>
      </c>
      <c r="M156">
        <f>UnilabUsage[[#This Row],[Max]]-UnilabUsage[[#This Row],[Used-MB]]</f>
        <v>29262</v>
      </c>
      <c r="N156" s="5">
        <f>IF($L156&gt;0,UnilabUsage[[#This Row],[Free-of-Max]]/UnilabUsage[[#This Row],[Usage-Delta-MB]],UnilabUsage[[#This Row],[Free-of-Max]])</f>
        <v>60.835758835758838</v>
      </c>
    </row>
    <row r="157" spans="1:14" x14ac:dyDescent="0.25">
      <c r="A157" s="3">
        <v>44347</v>
      </c>
      <c r="B157" t="s">
        <v>5</v>
      </c>
      <c r="C157">
        <v>95</v>
      </c>
      <c r="D157">
        <v>16900</v>
      </c>
      <c r="E157">
        <v>839</v>
      </c>
      <c r="F157">
        <v>16061</v>
      </c>
      <c r="G157">
        <v>5</v>
      </c>
      <c r="H157">
        <v>32768</v>
      </c>
      <c r="I157">
        <v>49</v>
      </c>
      <c r="J157" t="s">
        <v>1</v>
      </c>
      <c r="K157" t="s">
        <v>2</v>
      </c>
      <c r="L157" s="8">
        <f>UnilabUsage[[#This Row],[Used-MB]]-F147</f>
        <v>0</v>
      </c>
      <c r="M157">
        <f>UnilabUsage[[#This Row],[Max]]-UnilabUsage[[#This Row],[Used-MB]]</f>
        <v>16707</v>
      </c>
      <c r="N157" s="5">
        <f>IF($L157&gt;0,UnilabUsage[[#This Row],[Free-of-Max]]/UnilabUsage[[#This Row],[Usage-Delta-MB]],UnilabUsage[[#This Row],[Free-of-Max]])</f>
        <v>16707</v>
      </c>
    </row>
    <row r="158" spans="1:14" x14ac:dyDescent="0.25">
      <c r="A158" s="3">
        <v>44347</v>
      </c>
      <c r="B158" t="s">
        <v>8</v>
      </c>
      <c r="C158">
        <v>90</v>
      </c>
      <c r="D158">
        <v>262144</v>
      </c>
      <c r="E158">
        <v>25959</v>
      </c>
      <c r="F158">
        <v>236185</v>
      </c>
      <c r="G158">
        <v>10</v>
      </c>
      <c r="H158">
        <v>262144</v>
      </c>
      <c r="I158">
        <v>90</v>
      </c>
      <c r="J158" t="s">
        <v>1</v>
      </c>
      <c r="K158" t="s">
        <v>2</v>
      </c>
      <c r="L158" s="8">
        <f>UnilabUsage[[#This Row],[Used-MB]]-F148</f>
        <v>442</v>
      </c>
      <c r="M158">
        <f>UnilabUsage[[#This Row],[Max]]-UnilabUsage[[#This Row],[Used-MB]]</f>
        <v>25959</v>
      </c>
      <c r="N158" s="5">
        <f>IF($L158&gt;0,UnilabUsage[[#This Row],[Free-of-Max]]/UnilabUsage[[#This Row],[Usage-Delta-MB]],UnilabUsage[[#This Row],[Free-of-Max]])</f>
        <v>58.730769230769234</v>
      </c>
    </row>
    <row r="159" spans="1:14" x14ac:dyDescent="0.25">
      <c r="A159" s="3">
        <v>44347</v>
      </c>
      <c r="B159" t="s">
        <v>4</v>
      </c>
      <c r="C159">
        <v>95</v>
      </c>
      <c r="D159">
        <v>77781</v>
      </c>
      <c r="E159">
        <v>3644</v>
      </c>
      <c r="F159">
        <v>74137</v>
      </c>
      <c r="G159">
        <v>5</v>
      </c>
      <c r="H159">
        <v>98304</v>
      </c>
      <c r="I159">
        <v>75</v>
      </c>
      <c r="J159" t="s">
        <v>1</v>
      </c>
      <c r="K159" t="s">
        <v>2</v>
      </c>
      <c r="L159" s="8">
        <f>UnilabUsage[[#This Row],[Used-MB]]-F149</f>
        <v>192</v>
      </c>
      <c r="M159">
        <f>UnilabUsage[[#This Row],[Max]]-UnilabUsage[[#This Row],[Used-MB]]</f>
        <v>24167</v>
      </c>
      <c r="N159" s="5">
        <f>IF($L159&gt;0,UnilabUsage[[#This Row],[Free-of-Max]]/UnilabUsage[[#This Row],[Usage-Delta-MB]],UnilabUsage[[#This Row],[Free-of-Max]])</f>
        <v>125.86979166666667</v>
      </c>
    </row>
    <row r="160" spans="1:14" x14ac:dyDescent="0.25">
      <c r="A160" s="3">
        <v>44347</v>
      </c>
      <c r="B160" t="s">
        <v>12</v>
      </c>
      <c r="C160">
        <v>1</v>
      </c>
      <c r="D160">
        <v>30720</v>
      </c>
      <c r="E160">
        <v>30512</v>
      </c>
      <c r="F160">
        <v>208</v>
      </c>
      <c r="G160">
        <v>99</v>
      </c>
      <c r="H160">
        <v>30720</v>
      </c>
      <c r="I160">
        <v>1</v>
      </c>
      <c r="J160" t="s">
        <v>1</v>
      </c>
      <c r="K160" t="s">
        <v>13</v>
      </c>
      <c r="L160" s="8">
        <f>UnilabUsage[[#This Row],[Used-MB]]-F150</f>
        <v>95</v>
      </c>
      <c r="M160">
        <f>UnilabUsage[[#This Row],[Max]]-UnilabUsage[[#This Row],[Used-MB]]</f>
        <v>30512</v>
      </c>
      <c r="N160" s="5">
        <f>IF($L160&gt;0,UnilabUsage[[#This Row],[Free-of-Max]]/UnilabUsage[[#This Row],[Usage-Delta-MB]],UnilabUsage[[#This Row],[Free-of-Max]])</f>
        <v>321.17894736842106</v>
      </c>
    </row>
    <row r="161" spans="1:14" x14ac:dyDescent="0.25">
      <c r="A161" s="3">
        <v>44347</v>
      </c>
      <c r="B161" t="s">
        <v>9</v>
      </c>
      <c r="C161">
        <v>2</v>
      </c>
      <c r="D161">
        <v>10440</v>
      </c>
      <c r="E161">
        <v>10261</v>
      </c>
      <c r="F161">
        <v>179</v>
      </c>
      <c r="G161">
        <v>98</v>
      </c>
      <c r="H161">
        <v>32768</v>
      </c>
      <c r="I161">
        <v>1</v>
      </c>
      <c r="J161" t="s">
        <v>1</v>
      </c>
      <c r="K161" t="s">
        <v>10</v>
      </c>
      <c r="L161" s="8">
        <f>UnilabUsage[[#This Row],[Used-MB]]-F151</f>
        <v>57</v>
      </c>
      <c r="M161">
        <f>UnilabUsage[[#This Row],[Max]]-UnilabUsage[[#This Row],[Used-MB]]</f>
        <v>32589</v>
      </c>
      <c r="N161" s="5">
        <f>IF($L161&gt;0,UnilabUsage[[#This Row],[Free-of-Max]]/UnilabUsage[[#This Row],[Usage-Delta-MB]],UnilabUsage[[#This Row],[Free-of-Max]])</f>
        <v>571.73684210526312</v>
      </c>
    </row>
    <row r="162" spans="1:14" x14ac:dyDescent="0.25">
      <c r="A162" s="3">
        <v>44354</v>
      </c>
      <c r="B162" t="s">
        <v>7</v>
      </c>
      <c r="C162">
        <v>95</v>
      </c>
      <c r="D162">
        <v>1210</v>
      </c>
      <c r="E162">
        <v>60</v>
      </c>
      <c r="F162">
        <v>1150</v>
      </c>
      <c r="G162">
        <v>5</v>
      </c>
      <c r="H162">
        <v>32768</v>
      </c>
      <c r="I162">
        <v>4</v>
      </c>
      <c r="J162" t="s">
        <v>1</v>
      </c>
      <c r="K162" t="s">
        <v>2</v>
      </c>
      <c r="L162" s="8">
        <f>UnilabUsage[[#This Row],[Used-MB]]-F152</f>
        <v>12</v>
      </c>
      <c r="M162">
        <f>UnilabUsage[[#This Row],[Max]]-UnilabUsage[[#This Row],[Used-MB]]</f>
        <v>31618</v>
      </c>
      <c r="N162" s="5">
        <f>IF($L162&gt;0,UnilabUsage[[#This Row],[Free-of-Max]]/UnilabUsage[[#This Row],[Usage-Delta-MB]],UnilabUsage[[#This Row],[Free-of-Max]])</f>
        <v>2634.8333333333335</v>
      </c>
    </row>
    <row r="163" spans="1:14" x14ac:dyDescent="0.25">
      <c r="A163" s="3">
        <v>44354</v>
      </c>
      <c r="B163" t="s">
        <v>0</v>
      </c>
      <c r="C163">
        <v>99</v>
      </c>
      <c r="D163">
        <v>15800</v>
      </c>
      <c r="E163">
        <v>110</v>
      </c>
      <c r="F163">
        <v>15690</v>
      </c>
      <c r="G163">
        <v>1</v>
      </c>
      <c r="H163">
        <v>32768</v>
      </c>
      <c r="I163">
        <v>48</v>
      </c>
      <c r="J163" t="s">
        <v>1</v>
      </c>
      <c r="K163" t="s">
        <v>2</v>
      </c>
      <c r="L163" s="8">
        <f>UnilabUsage[[#This Row],[Used-MB]]-F153</f>
        <v>65</v>
      </c>
      <c r="M163">
        <f>UnilabUsage[[#This Row],[Max]]-UnilabUsage[[#This Row],[Used-MB]]</f>
        <v>17078</v>
      </c>
      <c r="N163" s="5">
        <f>IF($L163&gt;0,UnilabUsage[[#This Row],[Free-of-Max]]/UnilabUsage[[#This Row],[Usage-Delta-MB]],UnilabUsage[[#This Row],[Free-of-Max]])</f>
        <v>262.73846153846154</v>
      </c>
    </row>
    <row r="164" spans="1:14" x14ac:dyDescent="0.25">
      <c r="A164" s="3">
        <v>44354</v>
      </c>
      <c r="B164" t="s">
        <v>11</v>
      </c>
      <c r="C164">
        <v>1</v>
      </c>
      <c r="D164">
        <v>100</v>
      </c>
      <c r="E164">
        <v>99</v>
      </c>
      <c r="F164">
        <v>1</v>
      </c>
      <c r="G164">
        <v>99</v>
      </c>
      <c r="H164">
        <v>32768</v>
      </c>
      <c r="I164">
        <v>0</v>
      </c>
      <c r="J164" t="s">
        <v>1</v>
      </c>
      <c r="K164" t="s">
        <v>2</v>
      </c>
      <c r="L164" s="8">
        <f>UnilabUsage[[#This Row],[Used-MB]]-F154</f>
        <v>0</v>
      </c>
      <c r="M164">
        <f>UnilabUsage[[#This Row],[Max]]-UnilabUsage[[#This Row],[Used-MB]]</f>
        <v>32767</v>
      </c>
      <c r="N164" s="5">
        <f>IF($L164&gt;0,UnilabUsage[[#This Row],[Free-of-Max]]/UnilabUsage[[#This Row],[Usage-Delta-MB]],UnilabUsage[[#This Row],[Free-of-Max]])</f>
        <v>32767</v>
      </c>
    </row>
    <row r="165" spans="1:14" x14ac:dyDescent="0.25">
      <c r="A165" s="3">
        <v>44354</v>
      </c>
      <c r="B165" t="s">
        <v>6</v>
      </c>
      <c r="C165">
        <v>95</v>
      </c>
      <c r="D165">
        <v>6545</v>
      </c>
      <c r="E165">
        <v>316</v>
      </c>
      <c r="F165">
        <v>6229</v>
      </c>
      <c r="G165">
        <v>5</v>
      </c>
      <c r="H165">
        <v>32768</v>
      </c>
      <c r="I165">
        <v>19</v>
      </c>
      <c r="J165" t="s">
        <v>1</v>
      </c>
      <c r="K165" t="s">
        <v>2</v>
      </c>
      <c r="L165" s="8">
        <f>UnilabUsage[[#This Row],[Used-MB]]-F155</f>
        <v>0</v>
      </c>
      <c r="M165">
        <f>UnilabUsage[[#This Row],[Max]]-UnilabUsage[[#This Row],[Used-MB]]</f>
        <v>26539</v>
      </c>
      <c r="N165" s="5">
        <f>IF($L165&gt;0,UnilabUsage[[#This Row],[Free-of-Max]]/UnilabUsage[[#This Row],[Usage-Delta-MB]],UnilabUsage[[#This Row],[Free-of-Max]])</f>
        <v>26539</v>
      </c>
    </row>
    <row r="166" spans="1:14" x14ac:dyDescent="0.25">
      <c r="A166" s="3">
        <v>44354</v>
      </c>
      <c r="B166" t="s">
        <v>3</v>
      </c>
      <c r="C166">
        <v>97</v>
      </c>
      <c r="D166">
        <v>377328</v>
      </c>
      <c r="E166">
        <v>12901</v>
      </c>
      <c r="F166">
        <v>364427</v>
      </c>
      <c r="G166">
        <v>3</v>
      </c>
      <c r="H166">
        <v>393216</v>
      </c>
      <c r="I166">
        <v>93</v>
      </c>
      <c r="J166" t="s">
        <v>1</v>
      </c>
      <c r="K166" t="s">
        <v>2</v>
      </c>
      <c r="L166" s="8">
        <f>UnilabUsage[[#This Row],[Used-MB]]-F156</f>
        <v>473</v>
      </c>
      <c r="M166">
        <f>UnilabUsage[[#This Row],[Max]]-UnilabUsage[[#This Row],[Used-MB]]</f>
        <v>28789</v>
      </c>
      <c r="N166" s="5">
        <f>IF($L166&gt;0,UnilabUsage[[#This Row],[Free-of-Max]]/UnilabUsage[[#This Row],[Usage-Delta-MB]],UnilabUsage[[#This Row],[Free-of-Max]])</f>
        <v>60.864693446088793</v>
      </c>
    </row>
    <row r="167" spans="1:14" x14ac:dyDescent="0.25">
      <c r="A167" s="3">
        <v>44354</v>
      </c>
      <c r="B167" t="s">
        <v>5</v>
      </c>
      <c r="C167">
        <v>95</v>
      </c>
      <c r="D167">
        <v>16950</v>
      </c>
      <c r="E167">
        <v>816</v>
      </c>
      <c r="F167">
        <v>16134</v>
      </c>
      <c r="G167">
        <v>5</v>
      </c>
      <c r="H167">
        <v>32768</v>
      </c>
      <c r="I167">
        <v>49</v>
      </c>
      <c r="J167" t="s">
        <v>1</v>
      </c>
      <c r="K167" t="s">
        <v>2</v>
      </c>
      <c r="L167" s="8">
        <f>UnilabUsage[[#This Row],[Used-MB]]-F157</f>
        <v>73</v>
      </c>
      <c r="M167">
        <f>UnilabUsage[[#This Row],[Max]]-UnilabUsage[[#This Row],[Used-MB]]</f>
        <v>16634</v>
      </c>
      <c r="N167" s="5">
        <f>IF($L167&gt;0,UnilabUsage[[#This Row],[Free-of-Max]]/UnilabUsage[[#This Row],[Usage-Delta-MB]],UnilabUsage[[#This Row],[Free-of-Max]])</f>
        <v>227.86301369863014</v>
      </c>
    </row>
    <row r="168" spans="1:14" x14ac:dyDescent="0.25">
      <c r="A168" s="3">
        <v>44354</v>
      </c>
      <c r="B168" t="s">
        <v>8</v>
      </c>
      <c r="C168">
        <v>90</v>
      </c>
      <c r="D168">
        <v>262144</v>
      </c>
      <c r="E168">
        <v>25627</v>
      </c>
      <c r="F168">
        <v>236516</v>
      </c>
      <c r="G168">
        <v>10</v>
      </c>
      <c r="H168">
        <v>262144</v>
      </c>
      <c r="I168">
        <v>90</v>
      </c>
      <c r="J168" t="s">
        <v>1</v>
      </c>
      <c r="K168" t="s">
        <v>2</v>
      </c>
      <c r="L168" s="8">
        <f>UnilabUsage[[#This Row],[Used-MB]]-F158</f>
        <v>331</v>
      </c>
      <c r="M168">
        <f>UnilabUsage[[#This Row],[Max]]-UnilabUsage[[#This Row],[Used-MB]]</f>
        <v>25628</v>
      </c>
      <c r="N168" s="5">
        <f>IF($L168&gt;0,UnilabUsage[[#This Row],[Free-of-Max]]/UnilabUsage[[#This Row],[Usage-Delta-MB]],UnilabUsage[[#This Row],[Free-of-Max]])</f>
        <v>77.42598187311178</v>
      </c>
    </row>
    <row r="169" spans="1:14" x14ac:dyDescent="0.25">
      <c r="A169" s="3">
        <v>44354</v>
      </c>
      <c r="B169" t="s">
        <v>4</v>
      </c>
      <c r="C169">
        <v>95</v>
      </c>
      <c r="D169">
        <v>77781</v>
      </c>
      <c r="E169">
        <v>3580</v>
      </c>
      <c r="F169">
        <v>74201</v>
      </c>
      <c r="G169">
        <v>5</v>
      </c>
      <c r="H169">
        <v>98304</v>
      </c>
      <c r="I169">
        <v>75</v>
      </c>
      <c r="J169" t="s">
        <v>1</v>
      </c>
      <c r="K169" t="s">
        <v>2</v>
      </c>
      <c r="L169" s="8">
        <f>UnilabUsage[[#This Row],[Used-MB]]-F159</f>
        <v>64</v>
      </c>
      <c r="M169">
        <f>UnilabUsage[[#This Row],[Max]]-UnilabUsage[[#This Row],[Used-MB]]</f>
        <v>24103</v>
      </c>
      <c r="N169" s="5">
        <f>IF($L169&gt;0,UnilabUsage[[#This Row],[Free-of-Max]]/UnilabUsage[[#This Row],[Usage-Delta-MB]],UnilabUsage[[#This Row],[Free-of-Max]])</f>
        <v>376.609375</v>
      </c>
    </row>
    <row r="170" spans="1:14" x14ac:dyDescent="0.25">
      <c r="A170" s="3">
        <v>44354</v>
      </c>
      <c r="B170" t="s">
        <v>12</v>
      </c>
      <c r="C170">
        <v>0</v>
      </c>
      <c r="D170">
        <v>30720</v>
      </c>
      <c r="E170">
        <v>30637</v>
      </c>
      <c r="F170">
        <v>83</v>
      </c>
      <c r="G170">
        <v>100</v>
      </c>
      <c r="H170">
        <v>30720</v>
      </c>
      <c r="I170">
        <v>0</v>
      </c>
      <c r="J170" t="s">
        <v>1</v>
      </c>
      <c r="K170" t="s">
        <v>13</v>
      </c>
      <c r="L170" s="8">
        <f>UnilabUsage[[#This Row],[Used-MB]]-F160</f>
        <v>-125</v>
      </c>
      <c r="M170">
        <f>UnilabUsage[[#This Row],[Max]]-UnilabUsage[[#This Row],[Used-MB]]</f>
        <v>30637</v>
      </c>
      <c r="N170" s="5">
        <f>IF($L170&gt;0,UnilabUsage[[#This Row],[Free-of-Max]]/UnilabUsage[[#This Row],[Usage-Delta-MB]],UnilabUsage[[#This Row],[Free-of-Max]])</f>
        <v>30637</v>
      </c>
    </row>
    <row r="171" spans="1:14" x14ac:dyDescent="0.25">
      <c r="A171" s="3">
        <v>44354</v>
      </c>
      <c r="B171" t="s">
        <v>9</v>
      </c>
      <c r="C171">
        <v>1</v>
      </c>
      <c r="D171">
        <v>10440</v>
      </c>
      <c r="E171">
        <v>10320</v>
      </c>
      <c r="F171">
        <v>120</v>
      </c>
      <c r="G171">
        <v>99</v>
      </c>
      <c r="H171">
        <v>32768</v>
      </c>
      <c r="I171">
        <v>0</v>
      </c>
      <c r="J171" t="s">
        <v>1</v>
      </c>
      <c r="K171" t="s">
        <v>10</v>
      </c>
      <c r="L171" s="8">
        <f>UnilabUsage[[#This Row],[Used-MB]]-F161</f>
        <v>-59</v>
      </c>
      <c r="M171">
        <f>UnilabUsage[[#This Row],[Max]]-UnilabUsage[[#This Row],[Used-MB]]</f>
        <v>32648</v>
      </c>
      <c r="N171" s="5">
        <f>IF($L171&gt;0,UnilabUsage[[#This Row],[Free-of-Max]]/UnilabUsage[[#This Row],[Usage-Delta-MB]],UnilabUsage[[#This Row],[Free-of-Max]])</f>
        <v>32648</v>
      </c>
    </row>
    <row r="172" spans="1:14" x14ac:dyDescent="0.25">
      <c r="A172" s="3">
        <v>44361</v>
      </c>
      <c r="B172" t="s">
        <v>7</v>
      </c>
      <c r="C172">
        <v>95</v>
      </c>
      <c r="D172">
        <v>1230</v>
      </c>
      <c r="E172">
        <v>64</v>
      </c>
      <c r="F172">
        <v>1166</v>
      </c>
      <c r="G172">
        <v>5</v>
      </c>
      <c r="H172">
        <v>32768</v>
      </c>
      <c r="I172">
        <v>4</v>
      </c>
      <c r="J172" t="s">
        <v>1</v>
      </c>
      <c r="K172" t="s">
        <v>2</v>
      </c>
      <c r="L172" s="8">
        <f>UnilabUsage[[#This Row],[Used-MB]]-F162</f>
        <v>16</v>
      </c>
      <c r="M172">
        <f>UnilabUsage[[#This Row],[Max]]-UnilabUsage[[#This Row],[Used-MB]]</f>
        <v>31602</v>
      </c>
      <c r="N172" s="5">
        <f>IF($L172&gt;0,UnilabUsage[[#This Row],[Free-of-Max]]/UnilabUsage[[#This Row],[Usage-Delta-MB]],UnilabUsage[[#This Row],[Free-of-Max]])</f>
        <v>1975.125</v>
      </c>
    </row>
    <row r="173" spans="1:14" x14ac:dyDescent="0.25">
      <c r="A173" s="3">
        <v>44361</v>
      </c>
      <c r="B173" t="s">
        <v>0</v>
      </c>
      <c r="C173">
        <v>100</v>
      </c>
      <c r="D173">
        <v>15800</v>
      </c>
      <c r="E173">
        <v>46</v>
      </c>
      <c r="F173">
        <v>15754</v>
      </c>
      <c r="G173">
        <v>0</v>
      </c>
      <c r="H173">
        <v>32768</v>
      </c>
      <c r="I173">
        <v>48</v>
      </c>
      <c r="J173" t="s">
        <v>1</v>
      </c>
      <c r="K173" t="s">
        <v>2</v>
      </c>
      <c r="L173" s="8">
        <f>UnilabUsage[[#This Row],[Used-MB]]-F163</f>
        <v>64</v>
      </c>
      <c r="M173">
        <f>UnilabUsage[[#This Row],[Max]]-UnilabUsage[[#This Row],[Used-MB]]</f>
        <v>17014</v>
      </c>
      <c r="N173" s="5">
        <f>IF($L173&gt;0,UnilabUsage[[#This Row],[Free-of-Max]]/UnilabUsage[[#This Row],[Usage-Delta-MB]],UnilabUsage[[#This Row],[Free-of-Max]])</f>
        <v>265.84375</v>
      </c>
    </row>
    <row r="174" spans="1:14" x14ac:dyDescent="0.25">
      <c r="A174" s="3">
        <v>44361</v>
      </c>
      <c r="B174" t="s">
        <v>11</v>
      </c>
      <c r="C174">
        <v>1</v>
      </c>
      <c r="D174">
        <v>100</v>
      </c>
      <c r="E174">
        <v>99</v>
      </c>
      <c r="F174">
        <v>1</v>
      </c>
      <c r="G174">
        <v>99</v>
      </c>
      <c r="H174">
        <v>32768</v>
      </c>
      <c r="I174">
        <v>0</v>
      </c>
      <c r="J174" t="s">
        <v>1</v>
      </c>
      <c r="K174" t="s">
        <v>2</v>
      </c>
      <c r="L174" s="8">
        <f>UnilabUsage[[#This Row],[Used-MB]]-F164</f>
        <v>0</v>
      </c>
      <c r="M174">
        <f>UnilabUsage[[#This Row],[Max]]-UnilabUsage[[#This Row],[Used-MB]]</f>
        <v>32767</v>
      </c>
      <c r="N174" s="5">
        <f>IF($L174&gt;0,UnilabUsage[[#This Row],[Free-of-Max]]/UnilabUsage[[#This Row],[Usage-Delta-MB]],UnilabUsage[[#This Row],[Free-of-Max]])</f>
        <v>32767</v>
      </c>
    </row>
    <row r="175" spans="1:14" x14ac:dyDescent="0.25">
      <c r="A175" s="3">
        <v>44361</v>
      </c>
      <c r="B175" t="s">
        <v>6</v>
      </c>
      <c r="C175">
        <v>95</v>
      </c>
      <c r="D175">
        <v>6555</v>
      </c>
      <c r="E175">
        <v>317</v>
      </c>
      <c r="F175">
        <v>6238</v>
      </c>
      <c r="G175">
        <v>5</v>
      </c>
      <c r="H175">
        <v>32768</v>
      </c>
      <c r="I175">
        <v>19</v>
      </c>
      <c r="J175" t="s">
        <v>1</v>
      </c>
      <c r="K175" t="s">
        <v>2</v>
      </c>
      <c r="L175" s="8">
        <f>UnilabUsage[[#This Row],[Used-MB]]-F165</f>
        <v>9</v>
      </c>
      <c r="M175">
        <f>UnilabUsage[[#This Row],[Max]]-UnilabUsage[[#This Row],[Used-MB]]</f>
        <v>26530</v>
      </c>
      <c r="N175" s="5">
        <f>IF($L175&gt;0,UnilabUsage[[#This Row],[Free-of-Max]]/UnilabUsage[[#This Row],[Usage-Delta-MB]],UnilabUsage[[#This Row],[Free-of-Max]])</f>
        <v>2947.7777777777778</v>
      </c>
    </row>
    <row r="176" spans="1:14" x14ac:dyDescent="0.25">
      <c r="A176" s="3">
        <v>44361</v>
      </c>
      <c r="B176" t="s">
        <v>3</v>
      </c>
      <c r="C176">
        <v>97</v>
      </c>
      <c r="D176">
        <v>377328</v>
      </c>
      <c r="E176">
        <v>12360</v>
      </c>
      <c r="F176">
        <v>364968</v>
      </c>
      <c r="G176">
        <v>3</v>
      </c>
      <c r="H176">
        <v>393216</v>
      </c>
      <c r="I176">
        <v>93</v>
      </c>
      <c r="J176" t="s">
        <v>1</v>
      </c>
      <c r="K176" t="s">
        <v>2</v>
      </c>
      <c r="L176" s="8">
        <f>UnilabUsage[[#This Row],[Used-MB]]-F166</f>
        <v>541</v>
      </c>
      <c r="M176">
        <f>UnilabUsage[[#This Row],[Max]]-UnilabUsage[[#This Row],[Used-MB]]</f>
        <v>28248</v>
      </c>
      <c r="N176" s="5">
        <f>IF($L176&gt;0,UnilabUsage[[#This Row],[Free-of-Max]]/UnilabUsage[[#This Row],[Usage-Delta-MB]],UnilabUsage[[#This Row],[Free-of-Max]])</f>
        <v>52.214417744916823</v>
      </c>
    </row>
    <row r="177" spans="1:14" x14ac:dyDescent="0.25">
      <c r="A177" s="3">
        <v>44361</v>
      </c>
      <c r="B177" t="s">
        <v>5</v>
      </c>
      <c r="C177">
        <v>95</v>
      </c>
      <c r="D177">
        <v>17050</v>
      </c>
      <c r="E177">
        <v>836</v>
      </c>
      <c r="F177">
        <v>16214</v>
      </c>
      <c r="G177">
        <v>5</v>
      </c>
      <c r="H177">
        <v>32768</v>
      </c>
      <c r="I177">
        <v>49</v>
      </c>
      <c r="J177" t="s">
        <v>1</v>
      </c>
      <c r="K177" t="s">
        <v>2</v>
      </c>
      <c r="L177" s="8">
        <f>UnilabUsage[[#This Row],[Used-MB]]-F167</f>
        <v>80</v>
      </c>
      <c r="M177">
        <f>UnilabUsage[[#This Row],[Max]]-UnilabUsage[[#This Row],[Used-MB]]</f>
        <v>16554</v>
      </c>
      <c r="N177" s="5">
        <f>IF($L177&gt;0,UnilabUsage[[#This Row],[Free-of-Max]]/UnilabUsage[[#This Row],[Usage-Delta-MB]],UnilabUsage[[#This Row],[Free-of-Max]])</f>
        <v>206.92500000000001</v>
      </c>
    </row>
    <row r="178" spans="1:14" x14ac:dyDescent="0.25">
      <c r="A178" s="3">
        <v>44361</v>
      </c>
      <c r="B178" t="s">
        <v>8</v>
      </c>
      <c r="C178">
        <v>91</v>
      </c>
      <c r="D178">
        <v>262144</v>
      </c>
      <c r="E178">
        <v>24685</v>
      </c>
      <c r="F178">
        <v>237459</v>
      </c>
      <c r="G178">
        <v>9</v>
      </c>
      <c r="H178">
        <v>262144</v>
      </c>
      <c r="I178">
        <v>91</v>
      </c>
      <c r="J178" t="s">
        <v>1</v>
      </c>
      <c r="K178" t="s">
        <v>2</v>
      </c>
      <c r="L178" s="8">
        <f>UnilabUsage[[#This Row],[Used-MB]]-F168</f>
        <v>943</v>
      </c>
      <c r="M178">
        <f>UnilabUsage[[#This Row],[Max]]-UnilabUsage[[#This Row],[Used-MB]]</f>
        <v>24685</v>
      </c>
      <c r="N178" s="5">
        <f>IF($L178&gt;0,UnilabUsage[[#This Row],[Free-of-Max]]/UnilabUsage[[#This Row],[Usage-Delta-MB]],UnilabUsage[[#This Row],[Free-of-Max]])</f>
        <v>26.177094379639449</v>
      </c>
    </row>
    <row r="179" spans="1:14" x14ac:dyDescent="0.25">
      <c r="A179" s="3">
        <v>44361</v>
      </c>
      <c r="B179" t="s">
        <v>4</v>
      </c>
      <c r="C179">
        <v>95</v>
      </c>
      <c r="D179">
        <v>77781</v>
      </c>
      <c r="E179">
        <v>3516</v>
      </c>
      <c r="F179">
        <v>74265</v>
      </c>
      <c r="G179">
        <v>5</v>
      </c>
      <c r="H179">
        <v>98304</v>
      </c>
      <c r="I179">
        <v>76</v>
      </c>
      <c r="J179" t="s">
        <v>1</v>
      </c>
      <c r="K179" t="s">
        <v>2</v>
      </c>
      <c r="L179" s="8">
        <f>UnilabUsage[[#This Row],[Used-MB]]-F169</f>
        <v>64</v>
      </c>
      <c r="M179">
        <f>UnilabUsage[[#This Row],[Max]]-UnilabUsage[[#This Row],[Used-MB]]</f>
        <v>24039</v>
      </c>
      <c r="N179" s="5">
        <f>IF($L179&gt;0,UnilabUsage[[#This Row],[Free-of-Max]]/UnilabUsage[[#This Row],[Usage-Delta-MB]],UnilabUsage[[#This Row],[Free-of-Max]])</f>
        <v>375.609375</v>
      </c>
    </row>
    <row r="180" spans="1:14" x14ac:dyDescent="0.25">
      <c r="A180" s="3">
        <v>44361</v>
      </c>
      <c r="B180" t="s">
        <v>12</v>
      </c>
      <c r="C180">
        <v>0</v>
      </c>
      <c r="D180">
        <v>30720</v>
      </c>
      <c r="E180">
        <v>30587</v>
      </c>
      <c r="F180">
        <v>133</v>
      </c>
      <c r="G180">
        <v>100</v>
      </c>
      <c r="H180">
        <v>30720</v>
      </c>
      <c r="I180">
        <v>0</v>
      </c>
      <c r="J180" t="s">
        <v>1</v>
      </c>
      <c r="K180" t="s">
        <v>13</v>
      </c>
      <c r="L180" s="8">
        <f>UnilabUsage[[#This Row],[Used-MB]]-F170</f>
        <v>50</v>
      </c>
      <c r="M180">
        <f>UnilabUsage[[#This Row],[Max]]-UnilabUsage[[#This Row],[Used-MB]]</f>
        <v>30587</v>
      </c>
      <c r="N180" s="5">
        <f>IF($L180&gt;0,UnilabUsage[[#This Row],[Free-of-Max]]/UnilabUsage[[#This Row],[Usage-Delta-MB]],UnilabUsage[[#This Row],[Free-of-Max]])</f>
        <v>611.74</v>
      </c>
    </row>
    <row r="181" spans="1:14" x14ac:dyDescent="0.25">
      <c r="A181" s="3">
        <v>44361</v>
      </c>
      <c r="B181" t="s">
        <v>9</v>
      </c>
      <c r="C181">
        <v>1</v>
      </c>
      <c r="D181">
        <v>10440</v>
      </c>
      <c r="E181">
        <v>10308</v>
      </c>
      <c r="F181">
        <v>132</v>
      </c>
      <c r="G181">
        <v>99</v>
      </c>
      <c r="H181">
        <v>32768</v>
      </c>
      <c r="I181">
        <v>0</v>
      </c>
      <c r="J181" t="s">
        <v>1</v>
      </c>
      <c r="K181" t="s">
        <v>10</v>
      </c>
      <c r="L181" s="8">
        <f>UnilabUsage[[#This Row],[Used-MB]]-F171</f>
        <v>12</v>
      </c>
      <c r="M181">
        <f>UnilabUsage[[#This Row],[Max]]-UnilabUsage[[#This Row],[Used-MB]]</f>
        <v>32636</v>
      </c>
      <c r="N181" s="5">
        <f>IF($L181&gt;0,UnilabUsage[[#This Row],[Free-of-Max]]/UnilabUsage[[#This Row],[Usage-Delta-MB]],UnilabUsage[[#This Row],[Free-of-Max]])</f>
        <v>2719.6666666666665</v>
      </c>
    </row>
    <row r="182" spans="1:14" x14ac:dyDescent="0.25">
      <c r="A182" s="3">
        <v>44368</v>
      </c>
      <c r="B182" t="s">
        <v>7</v>
      </c>
      <c r="C182">
        <v>95</v>
      </c>
      <c r="D182">
        <v>1230</v>
      </c>
      <c r="E182">
        <v>64</v>
      </c>
      <c r="F182">
        <v>1166</v>
      </c>
      <c r="G182">
        <v>5</v>
      </c>
      <c r="H182">
        <v>32768</v>
      </c>
      <c r="I182">
        <v>4</v>
      </c>
      <c r="J182" t="s">
        <v>1</v>
      </c>
      <c r="K182" t="s">
        <v>2</v>
      </c>
      <c r="L182" s="8">
        <f>UnilabUsage[[#This Row],[Used-MB]]-F172</f>
        <v>0</v>
      </c>
      <c r="M182">
        <f>UnilabUsage[[#This Row],[Max]]-UnilabUsage[[#This Row],[Used-MB]]</f>
        <v>31602</v>
      </c>
      <c r="N182" s="5">
        <f>IF($L182&gt;0,UnilabUsage[[#This Row],[Free-of-Max]]/UnilabUsage[[#This Row],[Usage-Delta-MB]],UnilabUsage[[#This Row],[Free-of-Max]])</f>
        <v>31602</v>
      </c>
    </row>
    <row r="183" spans="1:14" x14ac:dyDescent="0.25">
      <c r="A183" s="3">
        <v>44368</v>
      </c>
      <c r="B183" t="s">
        <v>0</v>
      </c>
      <c r="C183">
        <v>99</v>
      </c>
      <c r="D183">
        <v>15900</v>
      </c>
      <c r="E183">
        <v>82</v>
      </c>
      <c r="F183">
        <v>15818</v>
      </c>
      <c r="G183">
        <v>1</v>
      </c>
      <c r="H183">
        <v>32768</v>
      </c>
      <c r="I183">
        <v>48</v>
      </c>
      <c r="J183" t="s">
        <v>1</v>
      </c>
      <c r="K183" t="s">
        <v>2</v>
      </c>
      <c r="L183" s="8">
        <f>UnilabUsage[[#This Row],[Used-MB]]-F173</f>
        <v>64</v>
      </c>
      <c r="M183">
        <f>UnilabUsage[[#This Row],[Max]]-UnilabUsage[[#This Row],[Used-MB]]</f>
        <v>16950</v>
      </c>
      <c r="N183" s="5">
        <f>IF($L183&gt;0,UnilabUsage[[#This Row],[Free-of-Max]]/UnilabUsage[[#This Row],[Usage-Delta-MB]],UnilabUsage[[#This Row],[Free-of-Max]])</f>
        <v>264.84375</v>
      </c>
    </row>
    <row r="184" spans="1:14" x14ac:dyDescent="0.25">
      <c r="A184" s="3">
        <v>44368</v>
      </c>
      <c r="B184" t="s">
        <v>11</v>
      </c>
      <c r="C184">
        <v>1</v>
      </c>
      <c r="D184">
        <v>100</v>
      </c>
      <c r="E184">
        <v>99</v>
      </c>
      <c r="F184">
        <v>1</v>
      </c>
      <c r="G184">
        <v>99</v>
      </c>
      <c r="H184">
        <v>32768</v>
      </c>
      <c r="I184">
        <v>0</v>
      </c>
      <c r="J184" t="s">
        <v>1</v>
      </c>
      <c r="K184" t="s">
        <v>2</v>
      </c>
      <c r="L184" s="8">
        <f>UnilabUsage[[#This Row],[Used-MB]]-F174</f>
        <v>0</v>
      </c>
      <c r="M184">
        <f>UnilabUsage[[#This Row],[Max]]-UnilabUsage[[#This Row],[Used-MB]]</f>
        <v>32767</v>
      </c>
      <c r="N184" s="5">
        <f>IF($L184&gt;0,UnilabUsage[[#This Row],[Free-of-Max]]/UnilabUsage[[#This Row],[Usage-Delta-MB]],UnilabUsage[[#This Row],[Free-of-Max]])</f>
        <v>32767</v>
      </c>
    </row>
    <row r="185" spans="1:14" x14ac:dyDescent="0.25">
      <c r="A185" s="3">
        <v>44368</v>
      </c>
      <c r="B185" t="s">
        <v>6</v>
      </c>
      <c r="C185">
        <v>95</v>
      </c>
      <c r="D185">
        <v>6605</v>
      </c>
      <c r="E185">
        <v>316</v>
      </c>
      <c r="F185">
        <v>6289</v>
      </c>
      <c r="G185">
        <v>5</v>
      </c>
      <c r="H185">
        <v>32768</v>
      </c>
      <c r="I185">
        <v>19</v>
      </c>
      <c r="J185" t="s">
        <v>1</v>
      </c>
      <c r="K185" t="s">
        <v>2</v>
      </c>
      <c r="L185" s="8">
        <f>UnilabUsage[[#This Row],[Used-MB]]-F175</f>
        <v>51</v>
      </c>
      <c r="M185">
        <f>UnilabUsage[[#This Row],[Max]]-UnilabUsage[[#This Row],[Used-MB]]</f>
        <v>26479</v>
      </c>
      <c r="N185" s="5">
        <f>IF($L185&gt;0,UnilabUsage[[#This Row],[Free-of-Max]]/UnilabUsage[[#This Row],[Usage-Delta-MB]],UnilabUsage[[#This Row],[Free-of-Max]])</f>
        <v>519.1960784313726</v>
      </c>
    </row>
    <row r="186" spans="1:14" x14ac:dyDescent="0.25">
      <c r="A186" s="3">
        <v>44368</v>
      </c>
      <c r="B186" t="s">
        <v>3</v>
      </c>
      <c r="C186">
        <v>97</v>
      </c>
      <c r="D186">
        <v>377328</v>
      </c>
      <c r="E186">
        <v>11967</v>
      </c>
      <c r="F186">
        <v>365360</v>
      </c>
      <c r="G186">
        <v>3</v>
      </c>
      <c r="H186">
        <v>393216</v>
      </c>
      <c r="I186">
        <v>93</v>
      </c>
      <c r="J186" t="s">
        <v>1</v>
      </c>
      <c r="K186" t="s">
        <v>2</v>
      </c>
      <c r="L186" s="8">
        <f>UnilabUsage[[#This Row],[Used-MB]]-F176</f>
        <v>392</v>
      </c>
      <c r="M186">
        <f>UnilabUsage[[#This Row],[Max]]-UnilabUsage[[#This Row],[Used-MB]]</f>
        <v>27856</v>
      </c>
      <c r="N186" s="5">
        <f>IF($L186&gt;0,UnilabUsage[[#This Row],[Free-of-Max]]/UnilabUsage[[#This Row],[Usage-Delta-MB]],UnilabUsage[[#This Row],[Free-of-Max]])</f>
        <v>71.061224489795919</v>
      </c>
    </row>
    <row r="187" spans="1:14" x14ac:dyDescent="0.25">
      <c r="A187" s="3">
        <v>44368</v>
      </c>
      <c r="B187" t="s">
        <v>5</v>
      </c>
      <c r="C187">
        <v>95</v>
      </c>
      <c r="D187">
        <v>17250</v>
      </c>
      <c r="E187">
        <v>854</v>
      </c>
      <c r="F187">
        <v>16396</v>
      </c>
      <c r="G187">
        <v>5</v>
      </c>
      <c r="H187">
        <v>32768</v>
      </c>
      <c r="I187">
        <v>50</v>
      </c>
      <c r="J187" t="s">
        <v>1</v>
      </c>
      <c r="K187" t="s">
        <v>2</v>
      </c>
      <c r="L187" s="8">
        <f>UnilabUsage[[#This Row],[Used-MB]]-F177</f>
        <v>182</v>
      </c>
      <c r="M187">
        <f>UnilabUsage[[#This Row],[Max]]-UnilabUsage[[#This Row],[Used-MB]]</f>
        <v>16372</v>
      </c>
      <c r="N187" s="5">
        <f>IF($L187&gt;0,UnilabUsage[[#This Row],[Free-of-Max]]/UnilabUsage[[#This Row],[Usage-Delta-MB]],UnilabUsage[[#This Row],[Free-of-Max]])</f>
        <v>89.956043956043956</v>
      </c>
    </row>
    <row r="188" spans="1:14" x14ac:dyDescent="0.25">
      <c r="A188" s="3">
        <v>44368</v>
      </c>
      <c r="B188" t="s">
        <v>8</v>
      </c>
      <c r="C188">
        <v>91</v>
      </c>
      <c r="D188">
        <v>262144</v>
      </c>
      <c r="E188">
        <v>24349</v>
      </c>
      <c r="F188">
        <v>237795</v>
      </c>
      <c r="G188">
        <v>9</v>
      </c>
      <c r="H188">
        <v>262144</v>
      </c>
      <c r="I188">
        <v>91</v>
      </c>
      <c r="J188" t="s">
        <v>1</v>
      </c>
      <c r="K188" t="s">
        <v>2</v>
      </c>
      <c r="L188" s="8">
        <f>UnilabUsage[[#This Row],[Used-MB]]-F178</f>
        <v>336</v>
      </c>
      <c r="M188">
        <f>UnilabUsage[[#This Row],[Max]]-UnilabUsage[[#This Row],[Used-MB]]</f>
        <v>24349</v>
      </c>
      <c r="N188" s="5">
        <f>IF($L188&gt;0,UnilabUsage[[#This Row],[Free-of-Max]]/UnilabUsage[[#This Row],[Usage-Delta-MB]],UnilabUsage[[#This Row],[Free-of-Max]])</f>
        <v>72.467261904761898</v>
      </c>
    </row>
    <row r="189" spans="1:14" x14ac:dyDescent="0.25">
      <c r="A189" s="3">
        <v>44368</v>
      </c>
      <c r="B189" t="s">
        <v>4</v>
      </c>
      <c r="C189">
        <v>96</v>
      </c>
      <c r="D189">
        <v>77781</v>
      </c>
      <c r="E189">
        <v>3196</v>
      </c>
      <c r="F189">
        <v>74585</v>
      </c>
      <c r="G189">
        <v>4</v>
      </c>
      <c r="H189">
        <v>98304</v>
      </c>
      <c r="I189">
        <v>76</v>
      </c>
      <c r="J189" t="s">
        <v>1</v>
      </c>
      <c r="K189" t="s">
        <v>2</v>
      </c>
      <c r="L189" s="8">
        <f>UnilabUsage[[#This Row],[Used-MB]]-F179</f>
        <v>320</v>
      </c>
      <c r="M189">
        <f>UnilabUsage[[#This Row],[Max]]-UnilabUsage[[#This Row],[Used-MB]]</f>
        <v>23719</v>
      </c>
      <c r="N189" s="5">
        <f>IF($L189&gt;0,UnilabUsage[[#This Row],[Free-of-Max]]/UnilabUsage[[#This Row],[Usage-Delta-MB]],UnilabUsage[[#This Row],[Free-of-Max]])</f>
        <v>74.121875000000003</v>
      </c>
    </row>
    <row r="190" spans="1:14" x14ac:dyDescent="0.25">
      <c r="A190" s="3">
        <v>44368</v>
      </c>
      <c r="B190" t="s">
        <v>12</v>
      </c>
      <c r="C190">
        <v>0</v>
      </c>
      <c r="D190">
        <v>30720</v>
      </c>
      <c r="E190">
        <v>30645</v>
      </c>
      <c r="F190">
        <v>75</v>
      </c>
      <c r="G190">
        <v>100</v>
      </c>
      <c r="H190">
        <v>30720</v>
      </c>
      <c r="I190">
        <v>0</v>
      </c>
      <c r="J190" t="s">
        <v>1</v>
      </c>
      <c r="K190" t="s">
        <v>13</v>
      </c>
      <c r="L190" s="8">
        <f>UnilabUsage[[#This Row],[Used-MB]]-F180</f>
        <v>-58</v>
      </c>
      <c r="M190">
        <f>UnilabUsage[[#This Row],[Max]]-UnilabUsage[[#This Row],[Used-MB]]</f>
        <v>30645</v>
      </c>
      <c r="N190" s="5">
        <f>IF($L190&gt;0,UnilabUsage[[#This Row],[Free-of-Max]]/UnilabUsage[[#This Row],[Usage-Delta-MB]],UnilabUsage[[#This Row],[Free-of-Max]])</f>
        <v>30645</v>
      </c>
    </row>
    <row r="191" spans="1:14" x14ac:dyDescent="0.25">
      <c r="A191" s="3">
        <v>44368</v>
      </c>
      <c r="B191" t="s">
        <v>9</v>
      </c>
      <c r="C191">
        <v>1</v>
      </c>
      <c r="D191">
        <v>10440</v>
      </c>
      <c r="E191">
        <v>10339</v>
      </c>
      <c r="F191">
        <v>101</v>
      </c>
      <c r="G191">
        <v>99</v>
      </c>
      <c r="H191">
        <v>32768</v>
      </c>
      <c r="I191">
        <v>0</v>
      </c>
      <c r="J191" t="s">
        <v>1</v>
      </c>
      <c r="K191" t="s">
        <v>10</v>
      </c>
      <c r="L191" s="8">
        <f>UnilabUsage[[#This Row],[Used-MB]]-F181</f>
        <v>-31</v>
      </c>
      <c r="M191">
        <f>UnilabUsage[[#This Row],[Max]]-UnilabUsage[[#This Row],[Used-MB]]</f>
        <v>32667</v>
      </c>
      <c r="N191" s="5">
        <f>IF($L191&gt;0,UnilabUsage[[#This Row],[Free-of-Max]]/UnilabUsage[[#This Row],[Usage-Delta-MB]],UnilabUsage[[#This Row],[Free-of-Max]])</f>
        <v>32667</v>
      </c>
    </row>
    <row r="192" spans="1:14" x14ac:dyDescent="0.25">
      <c r="A192" s="3">
        <v>44375</v>
      </c>
      <c r="B192" t="s">
        <v>7</v>
      </c>
      <c r="C192">
        <v>96</v>
      </c>
      <c r="D192">
        <v>1230</v>
      </c>
      <c r="E192">
        <v>54</v>
      </c>
      <c r="F192">
        <v>1176</v>
      </c>
      <c r="G192">
        <v>4</v>
      </c>
      <c r="H192">
        <v>32768</v>
      </c>
      <c r="I192">
        <v>4</v>
      </c>
      <c r="J192" t="s">
        <v>1</v>
      </c>
      <c r="K192" t="s">
        <v>2</v>
      </c>
      <c r="L192" s="8">
        <f>UnilabUsage[[#This Row],[Used-MB]]-F182</f>
        <v>10</v>
      </c>
      <c r="M192">
        <f>UnilabUsage[[#This Row],[Max]]-UnilabUsage[[#This Row],[Used-MB]]</f>
        <v>31592</v>
      </c>
      <c r="N192" s="5">
        <f>IF($L192&gt;0,UnilabUsage[[#This Row],[Free-of-Max]]/UnilabUsage[[#This Row],[Usage-Delta-MB]],UnilabUsage[[#This Row],[Free-of-Max]])</f>
        <v>3159.2</v>
      </c>
    </row>
    <row r="193" spans="1:14" x14ac:dyDescent="0.25">
      <c r="A193" s="3">
        <v>44375</v>
      </c>
      <c r="B193" t="s">
        <v>0</v>
      </c>
      <c r="C193">
        <v>100</v>
      </c>
      <c r="D193">
        <v>15900</v>
      </c>
      <c r="E193">
        <v>28</v>
      </c>
      <c r="F193">
        <v>15872</v>
      </c>
      <c r="G193">
        <v>0</v>
      </c>
      <c r="H193">
        <v>32768</v>
      </c>
      <c r="I193">
        <v>48</v>
      </c>
      <c r="J193" t="s">
        <v>1</v>
      </c>
      <c r="K193" t="s">
        <v>2</v>
      </c>
      <c r="L193" s="8">
        <f>UnilabUsage[[#This Row],[Used-MB]]-F183</f>
        <v>54</v>
      </c>
      <c r="M193">
        <f>UnilabUsage[[#This Row],[Max]]-UnilabUsage[[#This Row],[Used-MB]]</f>
        <v>16896</v>
      </c>
      <c r="N193" s="5">
        <f>IF($L193&gt;0,UnilabUsage[[#This Row],[Free-of-Max]]/UnilabUsage[[#This Row],[Usage-Delta-MB]],UnilabUsage[[#This Row],[Free-of-Max]])</f>
        <v>312.88888888888891</v>
      </c>
    </row>
    <row r="194" spans="1:14" x14ac:dyDescent="0.25">
      <c r="A194" s="3">
        <v>44375</v>
      </c>
      <c r="B194" t="s">
        <v>11</v>
      </c>
      <c r="C194">
        <v>1</v>
      </c>
      <c r="D194">
        <v>100</v>
      </c>
      <c r="E194">
        <v>99</v>
      </c>
      <c r="F194">
        <v>1</v>
      </c>
      <c r="G194">
        <v>99</v>
      </c>
      <c r="H194">
        <v>32768</v>
      </c>
      <c r="I194">
        <v>0</v>
      </c>
      <c r="J194" t="s">
        <v>1</v>
      </c>
      <c r="K194" t="s">
        <v>2</v>
      </c>
      <c r="L194" s="8">
        <f>UnilabUsage[[#This Row],[Used-MB]]-F184</f>
        <v>0</v>
      </c>
      <c r="M194">
        <f>UnilabUsage[[#This Row],[Max]]-UnilabUsage[[#This Row],[Used-MB]]</f>
        <v>32767</v>
      </c>
      <c r="N194" s="5">
        <f>IF($L194&gt;0,UnilabUsage[[#This Row],[Free-of-Max]]/UnilabUsage[[#This Row],[Usage-Delta-MB]],UnilabUsage[[#This Row],[Free-of-Max]])</f>
        <v>32767</v>
      </c>
    </row>
    <row r="195" spans="1:14" x14ac:dyDescent="0.25">
      <c r="A195" s="3">
        <v>44375</v>
      </c>
      <c r="B195" t="s">
        <v>6</v>
      </c>
      <c r="C195">
        <v>95</v>
      </c>
      <c r="D195">
        <v>6605</v>
      </c>
      <c r="E195">
        <v>316</v>
      </c>
      <c r="F195">
        <v>6289</v>
      </c>
      <c r="G195">
        <v>5</v>
      </c>
      <c r="H195">
        <v>32768</v>
      </c>
      <c r="I195">
        <v>19</v>
      </c>
      <c r="J195" t="s">
        <v>1</v>
      </c>
      <c r="K195" t="s">
        <v>2</v>
      </c>
      <c r="L195" s="8">
        <f>UnilabUsage[[#This Row],[Used-MB]]-F185</f>
        <v>0</v>
      </c>
      <c r="M195">
        <f>UnilabUsage[[#This Row],[Max]]-UnilabUsage[[#This Row],[Used-MB]]</f>
        <v>26479</v>
      </c>
      <c r="N195" s="5">
        <f>IF($L195&gt;0,UnilabUsage[[#This Row],[Free-of-Max]]/UnilabUsage[[#This Row],[Usage-Delta-MB]],UnilabUsage[[#This Row],[Free-of-Max]])</f>
        <v>26479</v>
      </c>
    </row>
    <row r="196" spans="1:14" x14ac:dyDescent="0.25">
      <c r="A196" s="3">
        <v>44375</v>
      </c>
      <c r="B196" t="s">
        <v>3</v>
      </c>
      <c r="C196">
        <v>97</v>
      </c>
      <c r="D196">
        <v>377328</v>
      </c>
      <c r="E196">
        <v>11431</v>
      </c>
      <c r="F196">
        <v>365897</v>
      </c>
      <c r="G196">
        <v>3</v>
      </c>
      <c r="H196">
        <v>393216</v>
      </c>
      <c r="I196">
        <v>93</v>
      </c>
      <c r="J196" t="s">
        <v>1</v>
      </c>
      <c r="K196" t="s">
        <v>2</v>
      </c>
      <c r="L196" s="8">
        <f>UnilabUsage[[#This Row],[Used-MB]]-F186</f>
        <v>537</v>
      </c>
      <c r="M196">
        <f>UnilabUsage[[#This Row],[Max]]-UnilabUsage[[#This Row],[Used-MB]]</f>
        <v>27319</v>
      </c>
      <c r="N196" s="5">
        <f>IF($L196&gt;0,UnilabUsage[[#This Row],[Free-of-Max]]/UnilabUsage[[#This Row],[Usage-Delta-MB]],UnilabUsage[[#This Row],[Free-of-Max]])</f>
        <v>50.873370577281193</v>
      </c>
    </row>
    <row r="197" spans="1:14" x14ac:dyDescent="0.25">
      <c r="A197" s="3">
        <v>44375</v>
      </c>
      <c r="B197" t="s">
        <v>5</v>
      </c>
      <c r="C197">
        <v>95</v>
      </c>
      <c r="D197">
        <v>17250</v>
      </c>
      <c r="E197">
        <v>853</v>
      </c>
      <c r="F197">
        <v>16397</v>
      </c>
      <c r="G197">
        <v>5</v>
      </c>
      <c r="H197">
        <v>32768</v>
      </c>
      <c r="I197">
        <v>50</v>
      </c>
      <c r="J197" t="s">
        <v>1</v>
      </c>
      <c r="K197" t="s">
        <v>2</v>
      </c>
      <c r="L197" s="8">
        <f>UnilabUsage[[#This Row],[Used-MB]]-F187</f>
        <v>1</v>
      </c>
      <c r="M197">
        <f>UnilabUsage[[#This Row],[Max]]-UnilabUsage[[#This Row],[Used-MB]]</f>
        <v>16371</v>
      </c>
      <c r="N197" s="5">
        <f>IF($L197&gt;0,UnilabUsage[[#This Row],[Free-of-Max]]/UnilabUsage[[#This Row],[Usage-Delta-MB]],UnilabUsage[[#This Row],[Free-of-Max]])</f>
        <v>16371</v>
      </c>
    </row>
    <row r="198" spans="1:14" x14ac:dyDescent="0.25">
      <c r="A198" s="3">
        <v>44375</v>
      </c>
      <c r="B198" t="s">
        <v>8</v>
      </c>
      <c r="C198">
        <v>91</v>
      </c>
      <c r="D198">
        <v>262144</v>
      </c>
      <c r="E198">
        <v>24186</v>
      </c>
      <c r="F198">
        <v>237958</v>
      </c>
      <c r="G198">
        <v>9</v>
      </c>
      <c r="H198">
        <v>262144</v>
      </c>
      <c r="I198">
        <v>91</v>
      </c>
      <c r="J198" t="s">
        <v>1</v>
      </c>
      <c r="K198" t="s">
        <v>2</v>
      </c>
      <c r="L198" s="8">
        <f>UnilabUsage[[#This Row],[Used-MB]]-F188</f>
        <v>163</v>
      </c>
      <c r="M198">
        <f>UnilabUsage[[#This Row],[Max]]-UnilabUsage[[#This Row],[Used-MB]]</f>
        <v>24186</v>
      </c>
      <c r="N198" s="5">
        <f>IF($L198&gt;0,UnilabUsage[[#This Row],[Free-of-Max]]/UnilabUsage[[#This Row],[Usage-Delta-MB]],UnilabUsage[[#This Row],[Free-of-Max]])</f>
        <v>148.38036809815952</v>
      </c>
    </row>
    <row r="199" spans="1:14" x14ac:dyDescent="0.25">
      <c r="A199" s="3">
        <v>44375</v>
      </c>
      <c r="B199" t="s">
        <v>4</v>
      </c>
      <c r="C199">
        <v>97</v>
      </c>
      <c r="D199">
        <v>77781</v>
      </c>
      <c r="E199">
        <v>2683</v>
      </c>
      <c r="F199">
        <v>75098</v>
      </c>
      <c r="G199">
        <v>3</v>
      </c>
      <c r="H199">
        <v>98304</v>
      </c>
      <c r="I199">
        <v>76</v>
      </c>
      <c r="J199" t="s">
        <v>1</v>
      </c>
      <c r="K199" t="s">
        <v>2</v>
      </c>
      <c r="L199" s="8">
        <f>UnilabUsage[[#This Row],[Used-MB]]-F189</f>
        <v>513</v>
      </c>
      <c r="M199">
        <f>UnilabUsage[[#This Row],[Max]]-UnilabUsage[[#This Row],[Used-MB]]</f>
        <v>23206</v>
      </c>
      <c r="N199" s="5">
        <f>IF($L199&gt;0,UnilabUsage[[#This Row],[Free-of-Max]]/UnilabUsage[[#This Row],[Usage-Delta-MB]],UnilabUsage[[#This Row],[Free-of-Max]])</f>
        <v>45.235867446393762</v>
      </c>
    </row>
    <row r="200" spans="1:14" x14ac:dyDescent="0.25">
      <c r="A200" s="3">
        <v>44375</v>
      </c>
      <c r="B200" t="s">
        <v>12</v>
      </c>
      <c r="C200">
        <v>0</v>
      </c>
      <c r="D200">
        <v>30720</v>
      </c>
      <c r="E200">
        <v>30628</v>
      </c>
      <c r="F200">
        <v>92</v>
      </c>
      <c r="G200">
        <v>100</v>
      </c>
      <c r="H200">
        <v>30720</v>
      </c>
      <c r="I200">
        <v>0</v>
      </c>
      <c r="J200" t="s">
        <v>1</v>
      </c>
      <c r="K200" t="s">
        <v>13</v>
      </c>
      <c r="L200" s="8">
        <f>UnilabUsage[[#This Row],[Used-MB]]-F190</f>
        <v>17</v>
      </c>
      <c r="M200">
        <f>UnilabUsage[[#This Row],[Max]]-UnilabUsage[[#This Row],[Used-MB]]</f>
        <v>30628</v>
      </c>
      <c r="N200" s="5">
        <f>IF($L200&gt;0,UnilabUsage[[#This Row],[Free-of-Max]]/UnilabUsage[[#This Row],[Usage-Delta-MB]],UnilabUsage[[#This Row],[Free-of-Max]])</f>
        <v>1801.6470588235295</v>
      </c>
    </row>
    <row r="201" spans="1:14" x14ac:dyDescent="0.25">
      <c r="A201" s="3">
        <v>44375</v>
      </c>
      <c r="B201" t="s">
        <v>9</v>
      </c>
      <c r="C201">
        <v>1</v>
      </c>
      <c r="D201">
        <v>10440</v>
      </c>
      <c r="E201">
        <v>10325</v>
      </c>
      <c r="F201">
        <v>115</v>
      </c>
      <c r="G201">
        <v>99</v>
      </c>
      <c r="H201">
        <v>32768</v>
      </c>
      <c r="I201">
        <v>0</v>
      </c>
      <c r="J201" t="s">
        <v>1</v>
      </c>
      <c r="K201" t="s">
        <v>10</v>
      </c>
      <c r="L201" s="8">
        <f>UnilabUsage[[#This Row],[Used-MB]]-F191</f>
        <v>14</v>
      </c>
      <c r="M201">
        <f>UnilabUsage[[#This Row],[Max]]-UnilabUsage[[#This Row],[Used-MB]]</f>
        <v>32653</v>
      </c>
      <c r="N201" s="5">
        <f>IF($L201&gt;0,UnilabUsage[[#This Row],[Free-of-Max]]/UnilabUsage[[#This Row],[Usage-Delta-MB]],UnilabUsage[[#This Row],[Free-of-Max]])</f>
        <v>2332.3571428571427</v>
      </c>
    </row>
    <row r="202" spans="1:14" x14ac:dyDescent="0.25">
      <c r="A202" s="3">
        <v>44382</v>
      </c>
      <c r="B202" t="s">
        <v>7</v>
      </c>
      <c r="C202">
        <v>95</v>
      </c>
      <c r="D202">
        <v>1250</v>
      </c>
      <c r="E202">
        <v>58</v>
      </c>
      <c r="F202">
        <v>1192</v>
      </c>
      <c r="G202">
        <v>5</v>
      </c>
      <c r="H202">
        <v>32768</v>
      </c>
      <c r="I202">
        <v>4</v>
      </c>
      <c r="J202" t="s">
        <v>1</v>
      </c>
      <c r="K202" t="s">
        <v>2</v>
      </c>
      <c r="L202" s="8">
        <f>UnilabUsage[[#This Row],[Used-MB]]-F192</f>
        <v>16</v>
      </c>
      <c r="M202">
        <f>UnilabUsage[[#This Row],[Max]]-UnilabUsage[[#This Row],[Used-MB]]</f>
        <v>31576</v>
      </c>
      <c r="N202" s="5">
        <f>IF($L202&gt;0,UnilabUsage[[#This Row],[Free-of-Max]]/UnilabUsage[[#This Row],[Usage-Delta-MB]],UnilabUsage[[#This Row],[Free-of-Max]])</f>
        <v>1973.5</v>
      </c>
    </row>
    <row r="203" spans="1:14" x14ac:dyDescent="0.25">
      <c r="A203" s="3">
        <v>44382</v>
      </c>
      <c r="B203" t="s">
        <v>0</v>
      </c>
      <c r="C203">
        <v>100</v>
      </c>
      <c r="D203">
        <v>16000</v>
      </c>
      <c r="E203">
        <v>64</v>
      </c>
      <c r="F203">
        <v>15936</v>
      </c>
      <c r="G203">
        <v>0</v>
      </c>
      <c r="H203">
        <v>32768</v>
      </c>
      <c r="I203">
        <v>49</v>
      </c>
      <c r="J203" t="s">
        <v>1</v>
      </c>
      <c r="K203" t="s">
        <v>2</v>
      </c>
      <c r="L203" s="8">
        <f>UnilabUsage[[#This Row],[Used-MB]]-F193</f>
        <v>64</v>
      </c>
      <c r="M203">
        <f>UnilabUsage[[#This Row],[Max]]-UnilabUsage[[#This Row],[Used-MB]]</f>
        <v>16832</v>
      </c>
      <c r="N203" s="5">
        <f>IF($L203&gt;0,UnilabUsage[[#This Row],[Free-of-Max]]/UnilabUsage[[#This Row],[Usage-Delta-MB]],UnilabUsage[[#This Row],[Free-of-Max]])</f>
        <v>263</v>
      </c>
    </row>
    <row r="204" spans="1:14" x14ac:dyDescent="0.25">
      <c r="A204" s="3">
        <v>44382</v>
      </c>
      <c r="B204" t="s">
        <v>11</v>
      </c>
      <c r="C204">
        <v>1</v>
      </c>
      <c r="D204">
        <v>100</v>
      </c>
      <c r="E204">
        <v>99</v>
      </c>
      <c r="F204">
        <v>1</v>
      </c>
      <c r="G204">
        <v>99</v>
      </c>
      <c r="H204">
        <v>32768</v>
      </c>
      <c r="I204">
        <v>0</v>
      </c>
      <c r="J204" t="s">
        <v>1</v>
      </c>
      <c r="K204" t="s">
        <v>2</v>
      </c>
      <c r="L204" s="8">
        <f>UnilabUsage[[#This Row],[Used-MB]]-F194</f>
        <v>0</v>
      </c>
      <c r="M204">
        <f>UnilabUsage[[#This Row],[Max]]-UnilabUsage[[#This Row],[Used-MB]]</f>
        <v>32767</v>
      </c>
      <c r="N204" s="5">
        <f>IF($L204&gt;0,UnilabUsage[[#This Row],[Free-of-Max]]/UnilabUsage[[#This Row],[Usage-Delta-MB]],UnilabUsage[[#This Row],[Free-of-Max]])</f>
        <v>32767</v>
      </c>
    </row>
    <row r="205" spans="1:14" x14ac:dyDescent="0.25">
      <c r="A205" s="3">
        <v>44382</v>
      </c>
      <c r="B205" t="s">
        <v>6</v>
      </c>
      <c r="C205">
        <v>95</v>
      </c>
      <c r="D205">
        <v>6645</v>
      </c>
      <c r="E205">
        <v>324</v>
      </c>
      <c r="F205">
        <v>6321</v>
      </c>
      <c r="G205">
        <v>5</v>
      </c>
      <c r="H205">
        <v>32768</v>
      </c>
      <c r="I205">
        <v>19</v>
      </c>
      <c r="J205" t="s">
        <v>1</v>
      </c>
      <c r="K205" t="s">
        <v>2</v>
      </c>
      <c r="L205" s="8">
        <f>UnilabUsage[[#This Row],[Used-MB]]-F195</f>
        <v>32</v>
      </c>
      <c r="M205">
        <f>UnilabUsage[[#This Row],[Max]]-UnilabUsage[[#This Row],[Used-MB]]</f>
        <v>26447</v>
      </c>
      <c r="N205" s="5">
        <f>IF($L205&gt;0,UnilabUsage[[#This Row],[Free-of-Max]]/UnilabUsage[[#This Row],[Usage-Delta-MB]],UnilabUsage[[#This Row],[Free-of-Max]])</f>
        <v>826.46875</v>
      </c>
    </row>
    <row r="206" spans="1:14" x14ac:dyDescent="0.25">
      <c r="A206" s="3">
        <v>44382</v>
      </c>
      <c r="B206" t="s">
        <v>3</v>
      </c>
      <c r="C206">
        <v>97</v>
      </c>
      <c r="D206">
        <v>377328</v>
      </c>
      <c r="E206">
        <v>10858</v>
      </c>
      <c r="F206">
        <v>366470</v>
      </c>
      <c r="G206">
        <v>3</v>
      </c>
      <c r="H206">
        <v>393216</v>
      </c>
      <c r="I206">
        <v>93</v>
      </c>
      <c r="J206" t="s">
        <v>1</v>
      </c>
      <c r="K206" t="s">
        <v>2</v>
      </c>
      <c r="L206" s="8">
        <f>UnilabUsage[[#This Row],[Used-MB]]-F196</f>
        <v>573</v>
      </c>
      <c r="M206">
        <f>UnilabUsage[[#This Row],[Max]]-UnilabUsage[[#This Row],[Used-MB]]</f>
        <v>26746</v>
      </c>
      <c r="N206" s="5">
        <f>IF($L206&gt;0,UnilabUsage[[#This Row],[Free-of-Max]]/UnilabUsage[[#This Row],[Usage-Delta-MB]],UnilabUsage[[#This Row],[Free-of-Max]])</f>
        <v>46.677137870855148</v>
      </c>
    </row>
    <row r="207" spans="1:14" x14ac:dyDescent="0.25">
      <c r="A207" s="3">
        <v>44382</v>
      </c>
      <c r="B207" t="s">
        <v>5</v>
      </c>
      <c r="C207">
        <v>95</v>
      </c>
      <c r="D207">
        <v>17350</v>
      </c>
      <c r="E207">
        <v>864</v>
      </c>
      <c r="F207">
        <v>16486</v>
      </c>
      <c r="G207">
        <v>5</v>
      </c>
      <c r="H207">
        <v>32768</v>
      </c>
      <c r="I207">
        <v>50</v>
      </c>
      <c r="J207" t="s">
        <v>1</v>
      </c>
      <c r="K207" t="s">
        <v>2</v>
      </c>
      <c r="L207" s="8">
        <f>UnilabUsage[[#This Row],[Used-MB]]-F197</f>
        <v>89</v>
      </c>
      <c r="M207">
        <f>UnilabUsage[[#This Row],[Max]]-UnilabUsage[[#This Row],[Used-MB]]</f>
        <v>16282</v>
      </c>
      <c r="N207" s="5">
        <f>IF($L207&gt;0,UnilabUsage[[#This Row],[Free-of-Max]]/UnilabUsage[[#This Row],[Usage-Delta-MB]],UnilabUsage[[#This Row],[Free-of-Max]])</f>
        <v>182.9438202247191</v>
      </c>
    </row>
    <row r="208" spans="1:14" x14ac:dyDescent="0.25">
      <c r="A208" s="3">
        <v>44382</v>
      </c>
      <c r="B208" t="s">
        <v>8</v>
      </c>
      <c r="C208">
        <v>91</v>
      </c>
      <c r="D208">
        <v>262144</v>
      </c>
      <c r="E208">
        <v>23534</v>
      </c>
      <c r="F208">
        <v>238610</v>
      </c>
      <c r="G208">
        <v>9</v>
      </c>
      <c r="H208">
        <v>262144</v>
      </c>
      <c r="I208">
        <v>91</v>
      </c>
      <c r="J208" t="s">
        <v>1</v>
      </c>
      <c r="K208" t="s">
        <v>2</v>
      </c>
      <c r="L208" s="8">
        <f>UnilabUsage[[#This Row],[Used-MB]]-F198</f>
        <v>652</v>
      </c>
      <c r="M208">
        <f>UnilabUsage[[#This Row],[Max]]-UnilabUsage[[#This Row],[Used-MB]]</f>
        <v>23534</v>
      </c>
      <c r="N208" s="5">
        <f>IF($L208&gt;0,UnilabUsage[[#This Row],[Free-of-Max]]/UnilabUsage[[#This Row],[Usage-Delta-MB]],UnilabUsage[[#This Row],[Free-of-Max]])</f>
        <v>36.095092024539881</v>
      </c>
    </row>
    <row r="209" spans="1:14" x14ac:dyDescent="0.25">
      <c r="A209" s="3">
        <v>44382</v>
      </c>
      <c r="B209" t="s">
        <v>4</v>
      </c>
      <c r="C209">
        <v>97</v>
      </c>
      <c r="D209">
        <v>77781</v>
      </c>
      <c r="E209">
        <v>2555</v>
      </c>
      <c r="F209">
        <v>75226</v>
      </c>
      <c r="G209">
        <v>3</v>
      </c>
      <c r="H209">
        <v>98304</v>
      </c>
      <c r="I209">
        <v>77</v>
      </c>
      <c r="J209" t="s">
        <v>1</v>
      </c>
      <c r="K209" t="s">
        <v>2</v>
      </c>
      <c r="L209" s="8">
        <f>UnilabUsage[[#This Row],[Used-MB]]-F199</f>
        <v>128</v>
      </c>
      <c r="M209">
        <f>UnilabUsage[[#This Row],[Max]]-UnilabUsage[[#This Row],[Used-MB]]</f>
        <v>23078</v>
      </c>
      <c r="N209" s="5">
        <f>IF($L209&gt;0,UnilabUsage[[#This Row],[Free-of-Max]]/UnilabUsage[[#This Row],[Usage-Delta-MB]],UnilabUsage[[#This Row],[Free-of-Max]])</f>
        <v>180.296875</v>
      </c>
    </row>
    <row r="210" spans="1:14" x14ac:dyDescent="0.25">
      <c r="A210" s="3">
        <v>44382</v>
      </c>
      <c r="B210" t="s">
        <v>12</v>
      </c>
      <c r="C210">
        <v>0</v>
      </c>
      <c r="D210">
        <v>30720</v>
      </c>
      <c r="E210">
        <v>30677</v>
      </c>
      <c r="F210">
        <v>43</v>
      </c>
      <c r="G210">
        <v>100</v>
      </c>
      <c r="H210">
        <v>30720</v>
      </c>
      <c r="I210">
        <v>0</v>
      </c>
      <c r="J210" t="s">
        <v>1</v>
      </c>
      <c r="K210" t="s">
        <v>13</v>
      </c>
      <c r="L210" s="8">
        <f>UnilabUsage[[#This Row],[Used-MB]]-F200</f>
        <v>-49</v>
      </c>
      <c r="M210">
        <f>UnilabUsage[[#This Row],[Max]]-UnilabUsage[[#This Row],[Used-MB]]</f>
        <v>30677</v>
      </c>
      <c r="N210" s="5">
        <f>IF($L210&gt;0,UnilabUsage[[#This Row],[Free-of-Max]]/UnilabUsage[[#This Row],[Usage-Delta-MB]],UnilabUsage[[#This Row],[Free-of-Max]])</f>
        <v>30677</v>
      </c>
    </row>
    <row r="211" spans="1:14" x14ac:dyDescent="0.25">
      <c r="A211" s="3">
        <v>44382</v>
      </c>
      <c r="B211" t="s">
        <v>9</v>
      </c>
      <c r="C211">
        <v>2</v>
      </c>
      <c r="D211">
        <v>10440</v>
      </c>
      <c r="E211">
        <v>10234</v>
      </c>
      <c r="F211">
        <v>206</v>
      </c>
      <c r="G211">
        <v>98</v>
      </c>
      <c r="H211">
        <v>32768</v>
      </c>
      <c r="I211">
        <v>1</v>
      </c>
      <c r="J211" t="s">
        <v>1</v>
      </c>
      <c r="K211" t="s">
        <v>10</v>
      </c>
      <c r="L211" s="8">
        <f>UnilabUsage[[#This Row],[Used-MB]]-F201</f>
        <v>91</v>
      </c>
      <c r="M211">
        <f>UnilabUsage[[#This Row],[Max]]-UnilabUsage[[#This Row],[Used-MB]]</f>
        <v>32562</v>
      </c>
      <c r="N211" s="5">
        <f>IF($L211&gt;0,UnilabUsage[[#This Row],[Free-of-Max]]/UnilabUsage[[#This Row],[Usage-Delta-MB]],UnilabUsage[[#This Row],[Free-of-Max]])</f>
        <v>357.82417582417582</v>
      </c>
    </row>
    <row r="212" spans="1:14" x14ac:dyDescent="0.25">
      <c r="A212" s="3">
        <v>44389</v>
      </c>
      <c r="B212" t="s">
        <v>7</v>
      </c>
      <c r="C212">
        <v>95</v>
      </c>
      <c r="D212">
        <v>1250</v>
      </c>
      <c r="E212">
        <v>58</v>
      </c>
      <c r="F212">
        <v>1192</v>
      </c>
      <c r="G212">
        <v>5</v>
      </c>
      <c r="H212">
        <v>32768</v>
      </c>
      <c r="I212">
        <v>4</v>
      </c>
      <c r="J212" t="s">
        <v>1</v>
      </c>
      <c r="K212" t="s">
        <v>2</v>
      </c>
      <c r="L212" s="8">
        <f>UnilabUsage[[#This Row],[Used-MB]]-F202</f>
        <v>0</v>
      </c>
      <c r="M212">
        <f>UnilabUsage[[#This Row],[Max]]-UnilabUsage[[#This Row],[Used-MB]]</f>
        <v>31576</v>
      </c>
      <c r="N212" s="5">
        <f>IF($L212&gt;0,UnilabUsage[[#This Row],[Free-of-Max]]/UnilabUsage[[#This Row],[Usage-Delta-MB]],UnilabUsage[[#This Row],[Free-of-Max]])</f>
        <v>31576</v>
      </c>
    </row>
    <row r="213" spans="1:14" x14ac:dyDescent="0.25">
      <c r="A213" s="3">
        <v>44389</v>
      </c>
      <c r="B213" t="s">
        <v>0</v>
      </c>
      <c r="C213">
        <v>99</v>
      </c>
      <c r="D213">
        <v>16100</v>
      </c>
      <c r="E213">
        <v>100</v>
      </c>
      <c r="F213">
        <v>16000</v>
      </c>
      <c r="G213">
        <v>1</v>
      </c>
      <c r="H213">
        <v>32768</v>
      </c>
      <c r="I213">
        <v>49</v>
      </c>
      <c r="J213" t="s">
        <v>1</v>
      </c>
      <c r="K213" t="s">
        <v>2</v>
      </c>
      <c r="L213" s="8">
        <f>UnilabUsage[[#This Row],[Used-MB]]-F203</f>
        <v>64</v>
      </c>
      <c r="M213">
        <f>UnilabUsage[[#This Row],[Max]]-UnilabUsage[[#This Row],[Used-MB]]</f>
        <v>16768</v>
      </c>
      <c r="N213" s="5">
        <f>IF($L213&gt;0,UnilabUsage[[#This Row],[Free-of-Max]]/UnilabUsage[[#This Row],[Usage-Delta-MB]],UnilabUsage[[#This Row],[Free-of-Max]])</f>
        <v>262</v>
      </c>
    </row>
    <row r="214" spans="1:14" x14ac:dyDescent="0.25">
      <c r="A214" s="3">
        <v>44389</v>
      </c>
      <c r="B214" t="s">
        <v>11</v>
      </c>
      <c r="C214">
        <v>1</v>
      </c>
      <c r="D214">
        <v>100</v>
      </c>
      <c r="E214">
        <v>99</v>
      </c>
      <c r="F214">
        <v>1</v>
      </c>
      <c r="G214">
        <v>99</v>
      </c>
      <c r="H214">
        <v>32768</v>
      </c>
      <c r="I214">
        <v>0</v>
      </c>
      <c r="J214" t="s">
        <v>1</v>
      </c>
      <c r="K214" t="s">
        <v>2</v>
      </c>
      <c r="L214" s="8">
        <f>UnilabUsage[[#This Row],[Used-MB]]-F204</f>
        <v>0</v>
      </c>
      <c r="M214">
        <f>UnilabUsage[[#This Row],[Max]]-UnilabUsage[[#This Row],[Used-MB]]</f>
        <v>32767</v>
      </c>
      <c r="N214" s="5">
        <f>IF($L214&gt;0,UnilabUsage[[#This Row],[Free-of-Max]]/UnilabUsage[[#This Row],[Usage-Delta-MB]],UnilabUsage[[#This Row],[Free-of-Max]])</f>
        <v>32767</v>
      </c>
    </row>
    <row r="215" spans="1:14" x14ac:dyDescent="0.25">
      <c r="A215" s="3">
        <v>44389</v>
      </c>
      <c r="B215" t="s">
        <v>6</v>
      </c>
      <c r="C215">
        <v>95</v>
      </c>
      <c r="D215">
        <v>6645</v>
      </c>
      <c r="E215">
        <v>322</v>
      </c>
      <c r="F215">
        <v>6323</v>
      </c>
      <c r="G215">
        <v>5</v>
      </c>
      <c r="H215">
        <v>32768</v>
      </c>
      <c r="I215">
        <v>19</v>
      </c>
      <c r="J215" t="s">
        <v>1</v>
      </c>
      <c r="K215" t="s">
        <v>2</v>
      </c>
      <c r="L215" s="8">
        <f>UnilabUsage[[#This Row],[Used-MB]]-F205</f>
        <v>2</v>
      </c>
      <c r="M215">
        <f>UnilabUsage[[#This Row],[Max]]-UnilabUsage[[#This Row],[Used-MB]]</f>
        <v>26445</v>
      </c>
      <c r="N215" s="5">
        <f>IF($L215&gt;0,UnilabUsage[[#This Row],[Free-of-Max]]/UnilabUsage[[#This Row],[Usage-Delta-MB]],UnilabUsage[[#This Row],[Free-of-Max]])</f>
        <v>13222.5</v>
      </c>
    </row>
    <row r="216" spans="1:14" x14ac:dyDescent="0.25">
      <c r="A216" s="3">
        <v>44389</v>
      </c>
      <c r="B216" t="s">
        <v>3</v>
      </c>
      <c r="C216">
        <v>97</v>
      </c>
      <c r="D216">
        <v>377328</v>
      </c>
      <c r="E216">
        <v>10458</v>
      </c>
      <c r="F216">
        <v>366870</v>
      </c>
      <c r="G216">
        <v>3</v>
      </c>
      <c r="H216">
        <v>393216</v>
      </c>
      <c r="I216">
        <v>93</v>
      </c>
      <c r="J216" t="s">
        <v>1</v>
      </c>
      <c r="K216" t="s">
        <v>2</v>
      </c>
      <c r="L216" s="8">
        <f>UnilabUsage[[#This Row],[Used-MB]]-F206</f>
        <v>400</v>
      </c>
      <c r="M216">
        <f>UnilabUsage[[#This Row],[Max]]-UnilabUsage[[#This Row],[Used-MB]]</f>
        <v>26346</v>
      </c>
      <c r="N216" s="5">
        <f>IF($L216&gt;0,UnilabUsage[[#This Row],[Free-of-Max]]/UnilabUsage[[#This Row],[Usage-Delta-MB]],UnilabUsage[[#This Row],[Free-of-Max]])</f>
        <v>65.864999999999995</v>
      </c>
    </row>
    <row r="217" spans="1:14" x14ac:dyDescent="0.25">
      <c r="A217" s="3">
        <v>44389</v>
      </c>
      <c r="B217" t="s">
        <v>5</v>
      </c>
      <c r="C217">
        <v>95</v>
      </c>
      <c r="D217">
        <v>17350</v>
      </c>
      <c r="E217">
        <v>853</v>
      </c>
      <c r="F217">
        <v>16497</v>
      </c>
      <c r="G217">
        <v>5</v>
      </c>
      <c r="H217">
        <v>32768</v>
      </c>
      <c r="I217">
        <v>50</v>
      </c>
      <c r="J217" t="s">
        <v>1</v>
      </c>
      <c r="K217" t="s">
        <v>2</v>
      </c>
      <c r="L217" s="8">
        <f>UnilabUsage[[#This Row],[Used-MB]]-F207</f>
        <v>11</v>
      </c>
      <c r="M217">
        <f>UnilabUsage[[#This Row],[Max]]-UnilabUsage[[#This Row],[Used-MB]]</f>
        <v>16271</v>
      </c>
      <c r="N217" s="5">
        <f>IF($L217&gt;0,UnilabUsage[[#This Row],[Free-of-Max]]/UnilabUsage[[#This Row],[Usage-Delta-MB]],UnilabUsage[[#This Row],[Free-of-Max]])</f>
        <v>1479.1818181818182</v>
      </c>
    </row>
    <row r="218" spans="1:14" x14ac:dyDescent="0.25">
      <c r="A218" s="3">
        <v>44389</v>
      </c>
      <c r="B218" t="s">
        <v>8</v>
      </c>
      <c r="C218">
        <v>91</v>
      </c>
      <c r="D218">
        <v>262144</v>
      </c>
      <c r="E218">
        <v>23236</v>
      </c>
      <c r="F218">
        <v>238908</v>
      </c>
      <c r="G218">
        <v>9</v>
      </c>
      <c r="H218">
        <v>262144</v>
      </c>
      <c r="I218">
        <v>91</v>
      </c>
      <c r="J218" t="s">
        <v>1</v>
      </c>
      <c r="K218" t="s">
        <v>2</v>
      </c>
      <c r="L218" s="8">
        <f>UnilabUsage[[#This Row],[Used-MB]]-F208</f>
        <v>298</v>
      </c>
      <c r="M218">
        <f>UnilabUsage[[#This Row],[Max]]-UnilabUsage[[#This Row],[Used-MB]]</f>
        <v>23236</v>
      </c>
      <c r="N218" s="5">
        <f>IF($L218&gt;0,UnilabUsage[[#This Row],[Free-of-Max]]/UnilabUsage[[#This Row],[Usage-Delta-MB]],UnilabUsage[[#This Row],[Free-of-Max]])</f>
        <v>77.973154362416111</v>
      </c>
    </row>
    <row r="219" spans="1:14" x14ac:dyDescent="0.25">
      <c r="A219" s="3">
        <v>44389</v>
      </c>
      <c r="B219" t="s">
        <v>4</v>
      </c>
      <c r="C219">
        <v>97</v>
      </c>
      <c r="D219">
        <v>77781</v>
      </c>
      <c r="E219">
        <v>2491</v>
      </c>
      <c r="F219">
        <v>75290</v>
      </c>
      <c r="G219">
        <v>3</v>
      </c>
      <c r="H219">
        <v>98304</v>
      </c>
      <c r="I219">
        <v>77</v>
      </c>
      <c r="J219" t="s">
        <v>1</v>
      </c>
      <c r="K219" t="s">
        <v>2</v>
      </c>
      <c r="L219" s="8">
        <f>UnilabUsage[[#This Row],[Used-MB]]-F209</f>
        <v>64</v>
      </c>
      <c r="M219">
        <f>UnilabUsage[[#This Row],[Max]]-UnilabUsage[[#This Row],[Used-MB]]</f>
        <v>23014</v>
      </c>
      <c r="N219" s="5">
        <f>IF($L219&gt;0,UnilabUsage[[#This Row],[Free-of-Max]]/UnilabUsage[[#This Row],[Usage-Delta-MB]],UnilabUsage[[#This Row],[Free-of-Max]])</f>
        <v>359.59375</v>
      </c>
    </row>
    <row r="220" spans="1:14" x14ac:dyDescent="0.25">
      <c r="A220" s="3">
        <v>44389</v>
      </c>
      <c r="B220" t="s">
        <v>12</v>
      </c>
      <c r="C220">
        <v>0</v>
      </c>
      <c r="D220">
        <v>30720</v>
      </c>
      <c r="E220">
        <v>30650</v>
      </c>
      <c r="F220">
        <v>70</v>
      </c>
      <c r="G220">
        <v>100</v>
      </c>
      <c r="H220">
        <v>30720</v>
      </c>
      <c r="I220">
        <v>0</v>
      </c>
      <c r="J220" t="s">
        <v>1</v>
      </c>
      <c r="K220" t="s">
        <v>13</v>
      </c>
      <c r="L220" s="8">
        <f>UnilabUsage[[#This Row],[Used-MB]]-F210</f>
        <v>27</v>
      </c>
      <c r="M220">
        <f>UnilabUsage[[#This Row],[Max]]-UnilabUsage[[#This Row],[Used-MB]]</f>
        <v>30650</v>
      </c>
      <c r="N220" s="5">
        <f>IF($L220&gt;0,UnilabUsage[[#This Row],[Free-of-Max]]/UnilabUsage[[#This Row],[Usage-Delta-MB]],UnilabUsage[[#This Row],[Free-of-Max]])</f>
        <v>1135.1851851851852</v>
      </c>
    </row>
    <row r="221" spans="1:14" x14ac:dyDescent="0.25">
      <c r="A221" s="3">
        <v>44389</v>
      </c>
      <c r="B221" t="s">
        <v>9</v>
      </c>
      <c r="C221">
        <v>1</v>
      </c>
      <c r="D221">
        <v>10440</v>
      </c>
      <c r="E221">
        <v>10305</v>
      </c>
      <c r="F221">
        <v>136</v>
      </c>
      <c r="G221">
        <v>99</v>
      </c>
      <c r="H221">
        <v>32768</v>
      </c>
      <c r="I221">
        <v>0</v>
      </c>
      <c r="J221" t="s">
        <v>1</v>
      </c>
      <c r="K221" t="s">
        <v>10</v>
      </c>
      <c r="L221" s="8">
        <f>UnilabUsage[[#This Row],[Used-MB]]-F211</f>
        <v>-70</v>
      </c>
      <c r="M221">
        <f>UnilabUsage[[#This Row],[Max]]-UnilabUsage[[#This Row],[Used-MB]]</f>
        <v>32632</v>
      </c>
      <c r="N221" s="5">
        <f>IF($L221&gt;0,UnilabUsage[[#This Row],[Free-of-Max]]/UnilabUsage[[#This Row],[Usage-Delta-MB]],UnilabUsage[[#This Row],[Free-of-Max]])</f>
        <v>32632</v>
      </c>
    </row>
    <row r="222" spans="1:14" x14ac:dyDescent="0.25">
      <c r="A222" s="3">
        <v>44396</v>
      </c>
      <c r="B222" t="s">
        <v>7</v>
      </c>
      <c r="C222">
        <v>96</v>
      </c>
      <c r="D222">
        <v>1250</v>
      </c>
      <c r="E222">
        <v>50</v>
      </c>
      <c r="F222">
        <v>1200</v>
      </c>
      <c r="G222">
        <v>4</v>
      </c>
      <c r="H222">
        <v>32768</v>
      </c>
      <c r="I222">
        <v>4</v>
      </c>
      <c r="J222" t="s">
        <v>1</v>
      </c>
      <c r="K222" t="s">
        <v>2</v>
      </c>
      <c r="L222" s="8">
        <f>UnilabUsage[[#This Row],[Used-MB]]-F212</f>
        <v>8</v>
      </c>
      <c r="M222">
        <f>UnilabUsage[[#This Row],[Max]]-UnilabUsage[[#This Row],[Used-MB]]</f>
        <v>31568</v>
      </c>
      <c r="N222" s="5">
        <f>IF($L222&gt;0,UnilabUsage[[#This Row],[Free-of-Max]]/UnilabUsage[[#This Row],[Usage-Delta-MB]],UnilabUsage[[#This Row],[Free-of-Max]])</f>
        <v>3946</v>
      </c>
    </row>
    <row r="223" spans="1:14" x14ac:dyDescent="0.25">
      <c r="A223" s="3">
        <v>44396</v>
      </c>
      <c r="B223" t="s">
        <v>0</v>
      </c>
      <c r="C223">
        <v>100</v>
      </c>
      <c r="D223">
        <v>16100</v>
      </c>
      <c r="E223">
        <v>36</v>
      </c>
      <c r="F223">
        <v>16064</v>
      </c>
      <c r="G223">
        <v>0</v>
      </c>
      <c r="H223">
        <v>32768</v>
      </c>
      <c r="I223">
        <v>49</v>
      </c>
      <c r="J223" t="s">
        <v>1</v>
      </c>
      <c r="K223" t="s">
        <v>2</v>
      </c>
      <c r="L223" s="8">
        <f>UnilabUsage[[#This Row],[Used-MB]]-F213</f>
        <v>64</v>
      </c>
      <c r="M223">
        <f>UnilabUsage[[#This Row],[Max]]-UnilabUsage[[#This Row],[Used-MB]]</f>
        <v>16704</v>
      </c>
      <c r="N223" s="5">
        <f>IF($L223&gt;0,UnilabUsage[[#This Row],[Free-of-Max]]/UnilabUsage[[#This Row],[Usage-Delta-MB]],UnilabUsage[[#This Row],[Free-of-Max]])</f>
        <v>261</v>
      </c>
    </row>
    <row r="224" spans="1:14" x14ac:dyDescent="0.25">
      <c r="A224" s="3">
        <v>44396</v>
      </c>
      <c r="B224" t="s">
        <v>11</v>
      </c>
      <c r="C224">
        <v>1</v>
      </c>
      <c r="D224">
        <v>100</v>
      </c>
      <c r="E224">
        <v>99</v>
      </c>
      <c r="F224">
        <v>1</v>
      </c>
      <c r="G224">
        <v>99</v>
      </c>
      <c r="H224">
        <v>32768</v>
      </c>
      <c r="I224">
        <v>0</v>
      </c>
      <c r="J224" t="s">
        <v>1</v>
      </c>
      <c r="K224" t="s">
        <v>2</v>
      </c>
      <c r="L224" s="8">
        <f>UnilabUsage[[#This Row],[Used-MB]]-F214</f>
        <v>0</v>
      </c>
      <c r="M224">
        <f>UnilabUsage[[#This Row],[Max]]-UnilabUsage[[#This Row],[Used-MB]]</f>
        <v>32767</v>
      </c>
      <c r="N224" s="5">
        <f>IF($L224&gt;0,UnilabUsage[[#This Row],[Free-of-Max]]/UnilabUsage[[#This Row],[Usage-Delta-MB]],UnilabUsage[[#This Row],[Free-of-Max]])</f>
        <v>32767</v>
      </c>
    </row>
    <row r="225" spans="1:14" x14ac:dyDescent="0.25">
      <c r="A225" s="3">
        <v>44396</v>
      </c>
      <c r="B225" t="s">
        <v>6</v>
      </c>
      <c r="C225">
        <v>95</v>
      </c>
      <c r="D225">
        <v>6655</v>
      </c>
      <c r="E225">
        <v>323</v>
      </c>
      <c r="F225">
        <v>6332</v>
      </c>
      <c r="G225">
        <v>5</v>
      </c>
      <c r="H225">
        <v>32768</v>
      </c>
      <c r="I225">
        <v>19</v>
      </c>
      <c r="J225" t="s">
        <v>1</v>
      </c>
      <c r="K225" t="s">
        <v>2</v>
      </c>
      <c r="L225" s="8">
        <f>UnilabUsage[[#This Row],[Used-MB]]-F215</f>
        <v>9</v>
      </c>
      <c r="M225">
        <f>UnilabUsage[[#This Row],[Max]]-UnilabUsage[[#This Row],[Used-MB]]</f>
        <v>26436</v>
      </c>
      <c r="N225" s="5">
        <f>IF($L225&gt;0,UnilabUsage[[#This Row],[Free-of-Max]]/UnilabUsage[[#This Row],[Usage-Delta-MB]],UnilabUsage[[#This Row],[Free-of-Max]])</f>
        <v>2937.3333333333335</v>
      </c>
    </row>
    <row r="226" spans="1:14" x14ac:dyDescent="0.25">
      <c r="A226" s="3">
        <v>44396</v>
      </c>
      <c r="B226" t="s">
        <v>3</v>
      </c>
      <c r="C226">
        <v>97</v>
      </c>
      <c r="D226">
        <v>377328</v>
      </c>
      <c r="E226">
        <v>9896</v>
      </c>
      <c r="F226">
        <v>367432</v>
      </c>
      <c r="G226">
        <v>3</v>
      </c>
      <c r="H226">
        <v>393216</v>
      </c>
      <c r="I226">
        <v>93</v>
      </c>
      <c r="J226" t="s">
        <v>1</v>
      </c>
      <c r="K226" t="s">
        <v>2</v>
      </c>
      <c r="L226" s="8">
        <f>UnilabUsage[[#This Row],[Used-MB]]-F216</f>
        <v>562</v>
      </c>
      <c r="M226">
        <f>UnilabUsage[[#This Row],[Max]]-UnilabUsage[[#This Row],[Used-MB]]</f>
        <v>25784</v>
      </c>
      <c r="N226" s="5">
        <f>IF($L226&gt;0,UnilabUsage[[#This Row],[Free-of-Max]]/UnilabUsage[[#This Row],[Usage-Delta-MB]],UnilabUsage[[#This Row],[Free-of-Max]])</f>
        <v>45.879003558718864</v>
      </c>
    </row>
    <row r="227" spans="1:14" x14ac:dyDescent="0.25">
      <c r="A227" s="3">
        <v>44396</v>
      </c>
      <c r="B227" t="s">
        <v>5</v>
      </c>
      <c r="C227">
        <v>95</v>
      </c>
      <c r="D227">
        <v>17350</v>
      </c>
      <c r="E227">
        <v>836</v>
      </c>
      <c r="F227">
        <v>16514</v>
      </c>
      <c r="G227">
        <v>5</v>
      </c>
      <c r="H227">
        <v>32768</v>
      </c>
      <c r="I227">
        <v>50</v>
      </c>
      <c r="J227" t="s">
        <v>1</v>
      </c>
      <c r="K227" t="s">
        <v>2</v>
      </c>
      <c r="L227" s="8">
        <f>UnilabUsage[[#This Row],[Used-MB]]-F217</f>
        <v>17</v>
      </c>
      <c r="M227">
        <f>UnilabUsage[[#This Row],[Max]]-UnilabUsage[[#This Row],[Used-MB]]</f>
        <v>16254</v>
      </c>
      <c r="N227" s="5">
        <f>IF($L227&gt;0,UnilabUsage[[#This Row],[Free-of-Max]]/UnilabUsage[[#This Row],[Usage-Delta-MB]],UnilabUsage[[#This Row],[Free-of-Max]])</f>
        <v>956.11764705882354</v>
      </c>
    </row>
    <row r="228" spans="1:14" x14ac:dyDescent="0.25">
      <c r="A228" s="3">
        <v>44396</v>
      </c>
      <c r="B228" t="s">
        <v>8</v>
      </c>
      <c r="C228">
        <v>91</v>
      </c>
      <c r="D228">
        <v>262144</v>
      </c>
      <c r="E228">
        <v>22802</v>
      </c>
      <c r="F228">
        <v>239341</v>
      </c>
      <c r="G228">
        <v>9</v>
      </c>
      <c r="H228">
        <v>262144</v>
      </c>
      <c r="I228">
        <v>91</v>
      </c>
      <c r="J228" t="s">
        <v>1</v>
      </c>
      <c r="K228" t="s">
        <v>2</v>
      </c>
      <c r="L228" s="8">
        <f>UnilabUsage[[#This Row],[Used-MB]]-F218</f>
        <v>433</v>
      </c>
      <c r="M228">
        <f>UnilabUsage[[#This Row],[Max]]-UnilabUsage[[#This Row],[Used-MB]]</f>
        <v>22803</v>
      </c>
      <c r="N228" s="5">
        <f>IF($L228&gt;0,UnilabUsage[[#This Row],[Free-of-Max]]/UnilabUsage[[#This Row],[Usage-Delta-MB]],UnilabUsage[[#This Row],[Free-of-Max]])</f>
        <v>52.662817551963052</v>
      </c>
    </row>
    <row r="229" spans="1:14" x14ac:dyDescent="0.25">
      <c r="A229" s="3">
        <v>44396</v>
      </c>
      <c r="B229" t="s">
        <v>4</v>
      </c>
      <c r="C229">
        <v>97</v>
      </c>
      <c r="D229">
        <v>77781</v>
      </c>
      <c r="E229">
        <v>2427</v>
      </c>
      <c r="F229">
        <v>75354</v>
      </c>
      <c r="G229">
        <v>3</v>
      </c>
      <c r="H229">
        <v>98304</v>
      </c>
      <c r="I229">
        <v>77</v>
      </c>
      <c r="J229" t="s">
        <v>1</v>
      </c>
      <c r="K229" t="s">
        <v>2</v>
      </c>
      <c r="L229" s="8">
        <f>UnilabUsage[[#This Row],[Used-MB]]-F219</f>
        <v>64</v>
      </c>
      <c r="M229">
        <f>UnilabUsage[[#This Row],[Max]]-UnilabUsage[[#This Row],[Used-MB]]</f>
        <v>22950</v>
      </c>
      <c r="N229" s="5">
        <f>IF($L229&gt;0,UnilabUsage[[#This Row],[Free-of-Max]]/UnilabUsage[[#This Row],[Usage-Delta-MB]],UnilabUsage[[#This Row],[Free-of-Max]])</f>
        <v>358.59375</v>
      </c>
    </row>
    <row r="230" spans="1:14" x14ac:dyDescent="0.25">
      <c r="A230" s="3">
        <v>44396</v>
      </c>
      <c r="B230" t="s">
        <v>12</v>
      </c>
      <c r="C230">
        <v>0</v>
      </c>
      <c r="D230">
        <v>30720</v>
      </c>
      <c r="E230">
        <v>30648</v>
      </c>
      <c r="F230">
        <v>72</v>
      </c>
      <c r="G230">
        <v>100</v>
      </c>
      <c r="H230">
        <v>30720</v>
      </c>
      <c r="I230">
        <v>0</v>
      </c>
      <c r="J230" t="s">
        <v>1</v>
      </c>
      <c r="K230" t="s">
        <v>13</v>
      </c>
      <c r="L230" s="8">
        <f>UnilabUsage[[#This Row],[Used-MB]]-F220</f>
        <v>2</v>
      </c>
      <c r="M230">
        <f>UnilabUsage[[#This Row],[Max]]-UnilabUsage[[#This Row],[Used-MB]]</f>
        <v>30648</v>
      </c>
      <c r="N230" s="5">
        <f>IF($L230&gt;0,UnilabUsage[[#This Row],[Free-of-Max]]/UnilabUsage[[#This Row],[Usage-Delta-MB]],UnilabUsage[[#This Row],[Free-of-Max]])</f>
        <v>15324</v>
      </c>
    </row>
    <row r="231" spans="1:14" x14ac:dyDescent="0.25">
      <c r="A231" s="3">
        <v>44396</v>
      </c>
      <c r="B231" t="s">
        <v>9</v>
      </c>
      <c r="C231">
        <v>1</v>
      </c>
      <c r="D231">
        <v>10440</v>
      </c>
      <c r="E231">
        <v>10300</v>
      </c>
      <c r="F231">
        <v>140</v>
      </c>
      <c r="G231">
        <v>99</v>
      </c>
      <c r="H231">
        <v>32768</v>
      </c>
      <c r="I231">
        <v>0</v>
      </c>
      <c r="J231" t="s">
        <v>1</v>
      </c>
      <c r="K231" t="s">
        <v>10</v>
      </c>
      <c r="L231" s="8">
        <f>UnilabUsage[[#This Row],[Used-MB]]-F221</f>
        <v>4</v>
      </c>
      <c r="M231">
        <f>UnilabUsage[[#This Row],[Max]]-UnilabUsage[[#This Row],[Used-MB]]</f>
        <v>32628</v>
      </c>
      <c r="N231" s="5">
        <f>IF($L231&gt;0,UnilabUsage[[#This Row],[Free-of-Max]]/UnilabUsage[[#This Row],[Usage-Delta-MB]],UnilabUsage[[#This Row],[Free-of-Max]])</f>
        <v>8157</v>
      </c>
    </row>
    <row r="232" spans="1:14" x14ac:dyDescent="0.25">
      <c r="A232" s="3">
        <v>44403</v>
      </c>
      <c r="B232" t="s">
        <v>7</v>
      </c>
      <c r="C232">
        <v>95</v>
      </c>
      <c r="D232">
        <v>1270</v>
      </c>
      <c r="E232">
        <v>62</v>
      </c>
      <c r="F232">
        <v>1208</v>
      </c>
      <c r="G232">
        <v>5</v>
      </c>
      <c r="H232">
        <v>32768</v>
      </c>
      <c r="I232">
        <v>4</v>
      </c>
      <c r="J232" t="s">
        <v>1</v>
      </c>
      <c r="K232" t="s">
        <v>2</v>
      </c>
      <c r="L232" s="8">
        <f>UnilabUsage[[#This Row],[Used-MB]]-F222</f>
        <v>8</v>
      </c>
      <c r="M232">
        <f>UnilabUsage[[#This Row],[Max]]-UnilabUsage[[#This Row],[Used-MB]]</f>
        <v>31560</v>
      </c>
      <c r="N232" s="5">
        <f>IF($L232&gt;0,UnilabUsage[[#This Row],[Free-of-Max]]/UnilabUsage[[#This Row],[Usage-Delta-MB]],UnilabUsage[[#This Row],[Free-of-Max]])</f>
        <v>3945</v>
      </c>
    </row>
    <row r="233" spans="1:14" x14ac:dyDescent="0.25">
      <c r="A233" s="3">
        <v>44403</v>
      </c>
      <c r="B233" t="s">
        <v>0</v>
      </c>
      <c r="C233">
        <v>100</v>
      </c>
      <c r="D233">
        <v>16200</v>
      </c>
      <c r="E233">
        <v>72</v>
      </c>
      <c r="F233">
        <v>16128</v>
      </c>
      <c r="G233">
        <v>0</v>
      </c>
      <c r="H233">
        <v>32768</v>
      </c>
      <c r="I233">
        <v>49</v>
      </c>
      <c r="J233" t="s">
        <v>1</v>
      </c>
      <c r="K233" t="s">
        <v>2</v>
      </c>
      <c r="L233" s="8">
        <f>UnilabUsage[[#This Row],[Used-MB]]-F223</f>
        <v>64</v>
      </c>
      <c r="M233">
        <f>UnilabUsage[[#This Row],[Max]]-UnilabUsage[[#This Row],[Used-MB]]</f>
        <v>16640</v>
      </c>
      <c r="N233" s="5">
        <f>IF($L233&gt;0,UnilabUsage[[#This Row],[Free-of-Max]]/UnilabUsage[[#This Row],[Usage-Delta-MB]],UnilabUsage[[#This Row],[Free-of-Max]])</f>
        <v>260</v>
      </c>
    </row>
    <row r="234" spans="1:14" x14ac:dyDescent="0.25">
      <c r="A234" s="3">
        <v>44403</v>
      </c>
      <c r="B234" t="s">
        <v>11</v>
      </c>
      <c r="C234">
        <v>1</v>
      </c>
      <c r="D234">
        <v>100</v>
      </c>
      <c r="E234">
        <v>99</v>
      </c>
      <c r="F234">
        <v>1</v>
      </c>
      <c r="G234">
        <v>99</v>
      </c>
      <c r="H234">
        <v>32768</v>
      </c>
      <c r="I234">
        <v>0</v>
      </c>
      <c r="J234" t="s">
        <v>1</v>
      </c>
      <c r="K234" t="s">
        <v>2</v>
      </c>
      <c r="L234" s="8">
        <f>UnilabUsage[[#This Row],[Used-MB]]-F224</f>
        <v>0</v>
      </c>
      <c r="M234">
        <f>UnilabUsage[[#This Row],[Max]]-UnilabUsage[[#This Row],[Used-MB]]</f>
        <v>32767</v>
      </c>
      <c r="N234" s="5">
        <f>IF($L234&gt;0,UnilabUsage[[#This Row],[Free-of-Max]]/UnilabUsage[[#This Row],[Usage-Delta-MB]],UnilabUsage[[#This Row],[Free-of-Max]])</f>
        <v>32767</v>
      </c>
    </row>
    <row r="235" spans="1:14" x14ac:dyDescent="0.25">
      <c r="A235" s="3">
        <v>44403</v>
      </c>
      <c r="B235" t="s">
        <v>6</v>
      </c>
      <c r="C235">
        <v>95</v>
      </c>
      <c r="D235">
        <v>6665</v>
      </c>
      <c r="E235">
        <v>325</v>
      </c>
      <c r="F235">
        <v>6340</v>
      </c>
      <c r="G235">
        <v>5</v>
      </c>
      <c r="H235">
        <v>32768</v>
      </c>
      <c r="I235">
        <v>19</v>
      </c>
      <c r="J235" t="s">
        <v>1</v>
      </c>
      <c r="K235" t="s">
        <v>2</v>
      </c>
      <c r="L235" s="8">
        <f>UnilabUsage[[#This Row],[Used-MB]]-F225</f>
        <v>8</v>
      </c>
      <c r="M235">
        <f>UnilabUsage[[#This Row],[Max]]-UnilabUsage[[#This Row],[Used-MB]]</f>
        <v>26428</v>
      </c>
      <c r="N235" s="5">
        <f>IF($L235&gt;0,UnilabUsage[[#This Row],[Free-of-Max]]/UnilabUsage[[#This Row],[Usage-Delta-MB]],UnilabUsage[[#This Row],[Free-of-Max]])</f>
        <v>3303.5</v>
      </c>
    </row>
    <row r="236" spans="1:14" x14ac:dyDescent="0.25">
      <c r="A236" s="3">
        <v>44403</v>
      </c>
      <c r="B236" t="s">
        <v>3</v>
      </c>
      <c r="C236">
        <v>98</v>
      </c>
      <c r="D236">
        <v>377328</v>
      </c>
      <c r="E236">
        <v>9188</v>
      </c>
      <c r="F236">
        <v>368139</v>
      </c>
      <c r="G236">
        <v>2</v>
      </c>
      <c r="H236">
        <v>393216</v>
      </c>
      <c r="I236">
        <v>94</v>
      </c>
      <c r="J236" t="s">
        <v>1</v>
      </c>
      <c r="K236" t="s">
        <v>2</v>
      </c>
      <c r="L236" s="8">
        <f>UnilabUsage[[#This Row],[Used-MB]]-F226</f>
        <v>707</v>
      </c>
      <c r="M236">
        <f>UnilabUsage[[#This Row],[Max]]-UnilabUsage[[#This Row],[Used-MB]]</f>
        <v>25077</v>
      </c>
      <c r="N236" s="5">
        <f>IF($L236&gt;0,UnilabUsage[[#This Row],[Free-of-Max]]/UnilabUsage[[#This Row],[Usage-Delta-MB]],UnilabUsage[[#This Row],[Free-of-Max]])</f>
        <v>35.469589816124468</v>
      </c>
    </row>
    <row r="237" spans="1:14" x14ac:dyDescent="0.25">
      <c r="A237" s="3">
        <v>44403</v>
      </c>
      <c r="B237" t="s">
        <v>5</v>
      </c>
      <c r="C237">
        <v>95</v>
      </c>
      <c r="D237">
        <v>17350</v>
      </c>
      <c r="E237">
        <v>828</v>
      </c>
      <c r="F237">
        <v>16522</v>
      </c>
      <c r="G237">
        <v>5</v>
      </c>
      <c r="H237">
        <v>32768</v>
      </c>
      <c r="I237">
        <v>50</v>
      </c>
      <c r="J237" t="s">
        <v>1</v>
      </c>
      <c r="K237" t="s">
        <v>2</v>
      </c>
      <c r="L237" s="8">
        <f>UnilabUsage[[#This Row],[Used-MB]]-F227</f>
        <v>8</v>
      </c>
      <c r="M237">
        <f>UnilabUsage[[#This Row],[Max]]-UnilabUsage[[#This Row],[Used-MB]]</f>
        <v>16246</v>
      </c>
      <c r="N237" s="5">
        <f>IF($L237&gt;0,UnilabUsage[[#This Row],[Free-of-Max]]/UnilabUsage[[#This Row],[Usage-Delta-MB]],UnilabUsage[[#This Row],[Free-of-Max]])</f>
        <v>2030.75</v>
      </c>
    </row>
    <row r="238" spans="1:14" x14ac:dyDescent="0.25">
      <c r="A238" s="3">
        <v>44403</v>
      </c>
      <c r="B238" t="s">
        <v>8</v>
      </c>
      <c r="C238">
        <v>91</v>
      </c>
      <c r="D238">
        <v>262144</v>
      </c>
      <c r="E238">
        <v>22358</v>
      </c>
      <c r="F238">
        <v>239786</v>
      </c>
      <c r="G238">
        <v>9</v>
      </c>
      <c r="H238">
        <v>262144</v>
      </c>
      <c r="I238">
        <v>91</v>
      </c>
      <c r="J238" t="s">
        <v>1</v>
      </c>
      <c r="K238" t="s">
        <v>2</v>
      </c>
      <c r="L238" s="8">
        <f>UnilabUsage[[#This Row],[Used-MB]]-F228</f>
        <v>445</v>
      </c>
      <c r="M238">
        <f>UnilabUsage[[#This Row],[Max]]-UnilabUsage[[#This Row],[Used-MB]]</f>
        <v>22358</v>
      </c>
      <c r="N238" s="5">
        <f>IF($L238&gt;0,UnilabUsage[[#This Row],[Free-of-Max]]/UnilabUsage[[#This Row],[Usage-Delta-MB]],UnilabUsage[[#This Row],[Free-of-Max]])</f>
        <v>50.242696629213484</v>
      </c>
    </row>
    <row r="239" spans="1:14" x14ac:dyDescent="0.25">
      <c r="A239" s="3">
        <v>44403</v>
      </c>
      <c r="B239" t="s">
        <v>4</v>
      </c>
      <c r="C239">
        <v>97</v>
      </c>
      <c r="D239">
        <v>77781</v>
      </c>
      <c r="E239">
        <v>2363</v>
      </c>
      <c r="F239">
        <v>75418</v>
      </c>
      <c r="G239">
        <v>3</v>
      </c>
      <c r="H239">
        <v>98304</v>
      </c>
      <c r="I239">
        <v>77</v>
      </c>
      <c r="J239" t="s">
        <v>1</v>
      </c>
      <c r="K239" t="s">
        <v>2</v>
      </c>
      <c r="L239" s="8">
        <f>UnilabUsage[[#This Row],[Used-MB]]-F229</f>
        <v>64</v>
      </c>
      <c r="M239">
        <f>UnilabUsage[[#This Row],[Max]]-UnilabUsage[[#This Row],[Used-MB]]</f>
        <v>22886</v>
      </c>
      <c r="N239" s="5">
        <f>IF($L239&gt;0,UnilabUsage[[#This Row],[Free-of-Max]]/UnilabUsage[[#This Row],[Usage-Delta-MB]],UnilabUsage[[#This Row],[Free-of-Max]])</f>
        <v>357.59375</v>
      </c>
    </row>
    <row r="240" spans="1:14" x14ac:dyDescent="0.25">
      <c r="A240" s="3">
        <v>44403</v>
      </c>
      <c r="B240" t="s">
        <v>12</v>
      </c>
      <c r="C240">
        <v>0</v>
      </c>
      <c r="D240">
        <v>30720</v>
      </c>
      <c r="E240">
        <v>30646</v>
      </c>
      <c r="F240">
        <v>74</v>
      </c>
      <c r="G240">
        <v>100</v>
      </c>
      <c r="H240">
        <v>30720</v>
      </c>
      <c r="I240">
        <v>0</v>
      </c>
      <c r="J240" t="s">
        <v>1</v>
      </c>
      <c r="K240" t="s">
        <v>13</v>
      </c>
      <c r="L240" s="8">
        <f>UnilabUsage[[#This Row],[Used-MB]]-F230</f>
        <v>2</v>
      </c>
      <c r="M240">
        <f>UnilabUsage[[#This Row],[Max]]-UnilabUsage[[#This Row],[Used-MB]]</f>
        <v>30646</v>
      </c>
      <c r="N240" s="5">
        <f>IF($L240&gt;0,UnilabUsage[[#This Row],[Free-of-Max]]/UnilabUsage[[#This Row],[Usage-Delta-MB]],UnilabUsage[[#This Row],[Free-of-Max]])</f>
        <v>15323</v>
      </c>
    </row>
    <row r="241" spans="1:14" x14ac:dyDescent="0.25">
      <c r="A241" s="3">
        <v>44403</v>
      </c>
      <c r="B241" t="s">
        <v>9</v>
      </c>
      <c r="C241">
        <v>1</v>
      </c>
      <c r="D241">
        <v>10440</v>
      </c>
      <c r="E241">
        <v>10333</v>
      </c>
      <c r="F241">
        <v>107</v>
      </c>
      <c r="G241">
        <v>99</v>
      </c>
      <c r="H241">
        <v>32768</v>
      </c>
      <c r="I241">
        <v>0</v>
      </c>
      <c r="J241" t="s">
        <v>1</v>
      </c>
      <c r="K241" t="s">
        <v>10</v>
      </c>
      <c r="L241" s="8">
        <f>UnilabUsage[[#This Row],[Used-MB]]-F231</f>
        <v>-33</v>
      </c>
      <c r="M241">
        <f>UnilabUsage[[#This Row],[Max]]-UnilabUsage[[#This Row],[Used-MB]]</f>
        <v>32661</v>
      </c>
      <c r="N241" s="5">
        <f>IF($L241&gt;0,UnilabUsage[[#This Row],[Free-of-Max]]/UnilabUsage[[#This Row],[Usage-Delta-MB]],UnilabUsage[[#This Row],[Free-of-Max]])</f>
        <v>32661</v>
      </c>
    </row>
    <row r="242" spans="1:14" x14ac:dyDescent="0.25">
      <c r="A242" s="3">
        <v>44410</v>
      </c>
      <c r="B242" t="s">
        <v>7</v>
      </c>
      <c r="C242">
        <v>96</v>
      </c>
      <c r="D242">
        <v>1270</v>
      </c>
      <c r="E242">
        <v>55</v>
      </c>
      <c r="F242">
        <v>1215</v>
      </c>
      <c r="G242">
        <v>4</v>
      </c>
      <c r="H242">
        <v>32768</v>
      </c>
      <c r="I242">
        <v>4</v>
      </c>
      <c r="J242" t="s">
        <v>1</v>
      </c>
      <c r="K242" t="s">
        <v>2</v>
      </c>
      <c r="L242" s="8">
        <f>UnilabUsage[[#This Row],[Used-MB]]-F232</f>
        <v>7</v>
      </c>
      <c r="M242">
        <f>UnilabUsage[[#This Row],[Max]]-UnilabUsage[[#This Row],[Used-MB]]</f>
        <v>31553</v>
      </c>
      <c r="N242" s="5">
        <f>IF($L242&gt;0,UnilabUsage[[#This Row],[Free-of-Max]]/UnilabUsage[[#This Row],[Usage-Delta-MB]],UnilabUsage[[#This Row],[Free-of-Max]])</f>
        <v>4507.5714285714284</v>
      </c>
    </row>
    <row r="243" spans="1:14" x14ac:dyDescent="0.25">
      <c r="A243" s="3">
        <v>44410</v>
      </c>
      <c r="B243" t="s">
        <v>0</v>
      </c>
      <c r="C243">
        <v>100</v>
      </c>
      <c r="D243">
        <v>16200</v>
      </c>
      <c r="E243">
        <v>72</v>
      </c>
      <c r="F243">
        <v>16128</v>
      </c>
      <c r="G243">
        <v>0</v>
      </c>
      <c r="H243">
        <v>32768</v>
      </c>
      <c r="I243">
        <v>49</v>
      </c>
      <c r="J243" t="s">
        <v>1</v>
      </c>
      <c r="K243" t="s">
        <v>2</v>
      </c>
      <c r="L243" s="8">
        <f>UnilabUsage[[#This Row],[Used-MB]]-F233</f>
        <v>0</v>
      </c>
      <c r="M243">
        <f>UnilabUsage[[#This Row],[Max]]-UnilabUsage[[#This Row],[Used-MB]]</f>
        <v>16640</v>
      </c>
      <c r="N243" s="5">
        <f>IF($L243&gt;0,UnilabUsage[[#This Row],[Free-of-Max]]/UnilabUsage[[#This Row],[Usage-Delta-MB]],UnilabUsage[[#This Row],[Free-of-Max]])</f>
        <v>16640</v>
      </c>
    </row>
    <row r="244" spans="1:14" x14ac:dyDescent="0.25">
      <c r="A244" s="3">
        <v>44410</v>
      </c>
      <c r="B244" t="s">
        <v>11</v>
      </c>
      <c r="C244">
        <v>1</v>
      </c>
      <c r="D244">
        <v>100</v>
      </c>
      <c r="E244">
        <v>99</v>
      </c>
      <c r="F244">
        <v>1</v>
      </c>
      <c r="G244">
        <v>99</v>
      </c>
      <c r="H244">
        <v>32768</v>
      </c>
      <c r="I244">
        <v>0</v>
      </c>
      <c r="J244" t="s">
        <v>1</v>
      </c>
      <c r="K244" t="s">
        <v>2</v>
      </c>
      <c r="L244" s="8">
        <f>UnilabUsage[[#This Row],[Used-MB]]-F234</f>
        <v>0</v>
      </c>
      <c r="M244">
        <f>UnilabUsage[[#This Row],[Max]]-UnilabUsage[[#This Row],[Used-MB]]</f>
        <v>32767</v>
      </c>
      <c r="N244" s="5">
        <f>IF($L244&gt;0,UnilabUsage[[#This Row],[Free-of-Max]]/UnilabUsage[[#This Row],[Usage-Delta-MB]],UnilabUsage[[#This Row],[Free-of-Max]])</f>
        <v>32767</v>
      </c>
    </row>
    <row r="245" spans="1:14" x14ac:dyDescent="0.25">
      <c r="A245" s="3">
        <v>44410</v>
      </c>
      <c r="B245" t="s">
        <v>6</v>
      </c>
      <c r="C245">
        <v>95</v>
      </c>
      <c r="D245">
        <v>6665</v>
      </c>
      <c r="E245">
        <v>323</v>
      </c>
      <c r="F245">
        <v>6342</v>
      </c>
      <c r="G245">
        <v>5</v>
      </c>
      <c r="H245">
        <v>32768</v>
      </c>
      <c r="I245">
        <v>19</v>
      </c>
      <c r="J245" t="s">
        <v>1</v>
      </c>
      <c r="K245" t="s">
        <v>2</v>
      </c>
      <c r="L245" s="8">
        <f>UnilabUsage[[#This Row],[Used-MB]]-F235</f>
        <v>2</v>
      </c>
      <c r="M245">
        <f>UnilabUsage[[#This Row],[Max]]-UnilabUsage[[#This Row],[Used-MB]]</f>
        <v>26426</v>
      </c>
      <c r="N245" s="5">
        <f>IF($L245&gt;0,UnilabUsage[[#This Row],[Free-of-Max]]/UnilabUsage[[#This Row],[Usage-Delta-MB]],UnilabUsage[[#This Row],[Free-of-Max]])</f>
        <v>13213</v>
      </c>
    </row>
    <row r="246" spans="1:14" x14ac:dyDescent="0.25">
      <c r="A246" s="3">
        <v>44410</v>
      </c>
      <c r="B246" t="s">
        <v>3</v>
      </c>
      <c r="C246">
        <v>98</v>
      </c>
      <c r="D246">
        <v>377328</v>
      </c>
      <c r="E246">
        <v>8832</v>
      </c>
      <c r="F246">
        <v>368496</v>
      </c>
      <c r="G246">
        <v>2</v>
      </c>
      <c r="H246">
        <v>393216</v>
      </c>
      <c r="I246">
        <v>94</v>
      </c>
      <c r="J246" t="s">
        <v>1</v>
      </c>
      <c r="K246" t="s">
        <v>2</v>
      </c>
      <c r="L246" s="8">
        <f>UnilabUsage[[#This Row],[Used-MB]]-F236</f>
        <v>357</v>
      </c>
      <c r="M246">
        <f>UnilabUsage[[#This Row],[Max]]-UnilabUsage[[#This Row],[Used-MB]]</f>
        <v>24720</v>
      </c>
      <c r="N246" s="5">
        <f>IF($L246&gt;0,UnilabUsage[[#This Row],[Free-of-Max]]/UnilabUsage[[#This Row],[Usage-Delta-MB]],UnilabUsage[[#This Row],[Free-of-Max]])</f>
        <v>69.243697478991592</v>
      </c>
    </row>
    <row r="247" spans="1:14" x14ac:dyDescent="0.25">
      <c r="A247" s="3">
        <v>44410</v>
      </c>
      <c r="B247" t="s">
        <v>5</v>
      </c>
      <c r="C247">
        <v>95</v>
      </c>
      <c r="D247">
        <v>17500</v>
      </c>
      <c r="E247">
        <v>841</v>
      </c>
      <c r="F247">
        <v>16659</v>
      </c>
      <c r="G247">
        <v>5</v>
      </c>
      <c r="H247">
        <v>32768</v>
      </c>
      <c r="I247">
        <v>51</v>
      </c>
      <c r="J247" t="s">
        <v>1</v>
      </c>
      <c r="K247" t="s">
        <v>2</v>
      </c>
      <c r="L247" s="8">
        <f>UnilabUsage[[#This Row],[Used-MB]]-F237</f>
        <v>137</v>
      </c>
      <c r="M247">
        <f>UnilabUsage[[#This Row],[Max]]-UnilabUsage[[#This Row],[Used-MB]]</f>
        <v>16109</v>
      </c>
      <c r="N247" s="5">
        <f>IF($L247&gt;0,UnilabUsage[[#This Row],[Free-of-Max]]/UnilabUsage[[#This Row],[Usage-Delta-MB]],UnilabUsage[[#This Row],[Free-of-Max]])</f>
        <v>117.58394160583941</v>
      </c>
    </row>
    <row r="248" spans="1:14" x14ac:dyDescent="0.25">
      <c r="A248" s="3">
        <v>44410</v>
      </c>
      <c r="B248" t="s">
        <v>8</v>
      </c>
      <c r="C248">
        <v>92</v>
      </c>
      <c r="D248">
        <v>262144</v>
      </c>
      <c r="E248">
        <v>22180</v>
      </c>
      <c r="F248">
        <v>239964</v>
      </c>
      <c r="G248">
        <v>8</v>
      </c>
      <c r="H248">
        <v>262144</v>
      </c>
      <c r="I248">
        <v>92</v>
      </c>
      <c r="J248" t="s">
        <v>1</v>
      </c>
      <c r="K248" t="s">
        <v>2</v>
      </c>
      <c r="L248" s="8">
        <f>UnilabUsage[[#This Row],[Used-MB]]-F238</f>
        <v>178</v>
      </c>
      <c r="M248">
        <f>UnilabUsage[[#This Row],[Max]]-UnilabUsage[[#This Row],[Used-MB]]</f>
        <v>22180</v>
      </c>
      <c r="N248" s="5">
        <f>IF($L248&gt;0,UnilabUsage[[#This Row],[Free-of-Max]]/UnilabUsage[[#This Row],[Usage-Delta-MB]],UnilabUsage[[#This Row],[Free-of-Max]])</f>
        <v>124.6067415730337</v>
      </c>
    </row>
    <row r="249" spans="1:14" x14ac:dyDescent="0.25">
      <c r="A249" s="3">
        <v>44410</v>
      </c>
      <c r="B249" t="s">
        <v>4</v>
      </c>
      <c r="C249">
        <v>97</v>
      </c>
      <c r="D249">
        <v>77781</v>
      </c>
      <c r="E249">
        <v>2299</v>
      </c>
      <c r="F249">
        <v>75482</v>
      </c>
      <c r="G249">
        <v>3</v>
      </c>
      <c r="H249">
        <v>98304</v>
      </c>
      <c r="I249">
        <v>77</v>
      </c>
      <c r="J249" t="s">
        <v>1</v>
      </c>
      <c r="K249" t="s">
        <v>2</v>
      </c>
      <c r="L249" s="8">
        <f>UnilabUsage[[#This Row],[Used-MB]]-F239</f>
        <v>64</v>
      </c>
      <c r="M249">
        <f>UnilabUsage[[#This Row],[Max]]-UnilabUsage[[#This Row],[Used-MB]]</f>
        <v>22822</v>
      </c>
      <c r="N249" s="5">
        <f>IF($L249&gt;0,UnilabUsage[[#This Row],[Free-of-Max]]/UnilabUsage[[#This Row],[Usage-Delta-MB]],UnilabUsage[[#This Row],[Free-of-Max]])</f>
        <v>356.59375</v>
      </c>
    </row>
    <row r="250" spans="1:14" x14ac:dyDescent="0.25">
      <c r="A250" s="3">
        <v>44410</v>
      </c>
      <c r="B250" t="s">
        <v>12</v>
      </c>
      <c r="C250">
        <v>0</v>
      </c>
      <c r="D250">
        <v>30720</v>
      </c>
      <c r="E250">
        <v>30628</v>
      </c>
      <c r="F250">
        <v>92</v>
      </c>
      <c r="G250">
        <v>100</v>
      </c>
      <c r="H250">
        <v>30720</v>
      </c>
      <c r="I250">
        <v>0</v>
      </c>
      <c r="J250" t="s">
        <v>1</v>
      </c>
      <c r="K250" t="s">
        <v>13</v>
      </c>
      <c r="L250" s="8">
        <f>UnilabUsage[[#This Row],[Used-MB]]-F240</f>
        <v>18</v>
      </c>
      <c r="M250">
        <f>UnilabUsage[[#This Row],[Max]]-UnilabUsage[[#This Row],[Used-MB]]</f>
        <v>30628</v>
      </c>
      <c r="N250" s="5">
        <f>IF($L250&gt;0,UnilabUsage[[#This Row],[Free-of-Max]]/UnilabUsage[[#This Row],[Usage-Delta-MB]],UnilabUsage[[#This Row],[Free-of-Max]])</f>
        <v>1701.5555555555557</v>
      </c>
    </row>
    <row r="251" spans="1:14" x14ac:dyDescent="0.25">
      <c r="A251" s="3">
        <v>44410</v>
      </c>
      <c r="B251" t="s">
        <v>9</v>
      </c>
      <c r="C251">
        <v>1</v>
      </c>
      <c r="D251">
        <v>10440</v>
      </c>
      <c r="E251">
        <v>10315</v>
      </c>
      <c r="F251">
        <v>125</v>
      </c>
      <c r="G251">
        <v>99</v>
      </c>
      <c r="H251">
        <v>32768</v>
      </c>
      <c r="I251">
        <v>0</v>
      </c>
      <c r="J251" t="s">
        <v>1</v>
      </c>
      <c r="K251" t="s">
        <v>10</v>
      </c>
      <c r="L251" s="8">
        <f>UnilabUsage[[#This Row],[Used-MB]]-F241</f>
        <v>18</v>
      </c>
      <c r="M251">
        <f>UnilabUsage[[#This Row],[Max]]-UnilabUsage[[#This Row],[Used-MB]]</f>
        <v>32643</v>
      </c>
      <c r="N251" s="5">
        <f>IF($L251&gt;0,UnilabUsage[[#This Row],[Free-of-Max]]/UnilabUsage[[#This Row],[Usage-Delta-MB]],UnilabUsage[[#This Row],[Free-of-Max]])</f>
        <v>1813.5</v>
      </c>
    </row>
    <row r="252" spans="1:14" x14ac:dyDescent="0.25">
      <c r="A252" s="3">
        <v>44417</v>
      </c>
      <c r="B252" t="s">
        <v>7</v>
      </c>
      <c r="C252">
        <v>95</v>
      </c>
      <c r="D252">
        <v>1290</v>
      </c>
      <c r="E252">
        <v>66</v>
      </c>
      <c r="F252">
        <v>1224</v>
      </c>
      <c r="G252">
        <v>5</v>
      </c>
      <c r="H252">
        <v>32768</v>
      </c>
      <c r="I252">
        <v>4</v>
      </c>
      <c r="J252" t="s">
        <v>1</v>
      </c>
      <c r="K252" t="s">
        <v>2</v>
      </c>
      <c r="L252" s="8">
        <f>UnilabUsage[[#This Row],[Used-MB]]-F242</f>
        <v>9</v>
      </c>
      <c r="M252">
        <f>UnilabUsage[[#This Row],[Max]]-UnilabUsage[[#This Row],[Used-MB]]</f>
        <v>31544</v>
      </c>
      <c r="N252" s="5">
        <f>IF($L252&gt;0,UnilabUsage[[#This Row],[Free-of-Max]]/UnilabUsage[[#This Row],[Usage-Delta-MB]],UnilabUsage[[#This Row],[Free-of-Max]])</f>
        <v>3504.8888888888887</v>
      </c>
    </row>
    <row r="253" spans="1:14" x14ac:dyDescent="0.25">
      <c r="A253" s="3">
        <v>44417</v>
      </c>
      <c r="B253" t="s">
        <v>0</v>
      </c>
      <c r="C253">
        <v>100</v>
      </c>
      <c r="D253">
        <v>16200</v>
      </c>
      <c r="E253">
        <v>8</v>
      </c>
      <c r="F253">
        <v>16192</v>
      </c>
      <c r="G253">
        <v>0</v>
      </c>
      <c r="H253">
        <v>32768</v>
      </c>
      <c r="I253">
        <v>49</v>
      </c>
      <c r="J253" t="s">
        <v>1</v>
      </c>
      <c r="K253" t="s">
        <v>2</v>
      </c>
      <c r="L253" s="8">
        <f>UnilabUsage[[#This Row],[Used-MB]]-F243</f>
        <v>64</v>
      </c>
      <c r="M253">
        <f>UnilabUsage[[#This Row],[Max]]-UnilabUsage[[#This Row],[Used-MB]]</f>
        <v>16576</v>
      </c>
      <c r="N253" s="5">
        <f>IF($L253&gt;0,UnilabUsage[[#This Row],[Free-of-Max]]/UnilabUsage[[#This Row],[Usage-Delta-MB]],UnilabUsage[[#This Row],[Free-of-Max]])</f>
        <v>259</v>
      </c>
    </row>
    <row r="254" spans="1:14" x14ac:dyDescent="0.25">
      <c r="A254" s="3">
        <v>44417</v>
      </c>
      <c r="B254" t="s">
        <v>11</v>
      </c>
      <c r="C254">
        <v>1</v>
      </c>
      <c r="D254">
        <v>100</v>
      </c>
      <c r="E254">
        <v>99</v>
      </c>
      <c r="F254">
        <v>1</v>
      </c>
      <c r="G254">
        <v>99</v>
      </c>
      <c r="H254">
        <v>32768</v>
      </c>
      <c r="I254">
        <v>0</v>
      </c>
      <c r="J254" t="s">
        <v>1</v>
      </c>
      <c r="K254" t="s">
        <v>2</v>
      </c>
      <c r="L254" s="8">
        <f>UnilabUsage[[#This Row],[Used-MB]]-F244</f>
        <v>0</v>
      </c>
      <c r="M254">
        <f>UnilabUsage[[#This Row],[Max]]-UnilabUsage[[#This Row],[Used-MB]]</f>
        <v>32767</v>
      </c>
      <c r="N254" s="5">
        <f>IF($L254&gt;0,UnilabUsage[[#This Row],[Free-of-Max]]/UnilabUsage[[#This Row],[Usage-Delta-MB]],UnilabUsage[[#This Row],[Free-of-Max]])</f>
        <v>32767</v>
      </c>
    </row>
    <row r="255" spans="1:14" x14ac:dyDescent="0.25">
      <c r="A255" s="3">
        <v>44417</v>
      </c>
      <c r="B255" t="s">
        <v>6</v>
      </c>
      <c r="C255">
        <v>95</v>
      </c>
      <c r="D255">
        <v>6665</v>
      </c>
      <c r="E255">
        <v>323</v>
      </c>
      <c r="F255">
        <v>6342</v>
      </c>
      <c r="G255">
        <v>5</v>
      </c>
      <c r="H255">
        <v>32768</v>
      </c>
      <c r="I255">
        <v>19</v>
      </c>
      <c r="J255" t="s">
        <v>1</v>
      </c>
      <c r="K255" t="s">
        <v>2</v>
      </c>
      <c r="L255" s="8">
        <f>UnilabUsage[[#This Row],[Used-MB]]-F245</f>
        <v>0</v>
      </c>
      <c r="M255">
        <f>UnilabUsage[[#This Row],[Max]]-UnilabUsage[[#This Row],[Used-MB]]</f>
        <v>26426</v>
      </c>
      <c r="N255" s="5">
        <f>IF($L255&gt;0,UnilabUsage[[#This Row],[Free-of-Max]]/UnilabUsage[[#This Row],[Usage-Delta-MB]],UnilabUsage[[#This Row],[Free-of-Max]])</f>
        <v>26426</v>
      </c>
    </row>
    <row r="256" spans="1:14" x14ac:dyDescent="0.25">
      <c r="A256" s="3">
        <v>44417</v>
      </c>
      <c r="B256" t="s">
        <v>3</v>
      </c>
      <c r="C256">
        <v>98</v>
      </c>
      <c r="D256">
        <v>377328</v>
      </c>
      <c r="E256">
        <v>8522</v>
      </c>
      <c r="F256">
        <v>368806</v>
      </c>
      <c r="G256">
        <v>2</v>
      </c>
      <c r="H256">
        <v>393216</v>
      </c>
      <c r="I256">
        <v>94</v>
      </c>
      <c r="J256" t="s">
        <v>1</v>
      </c>
      <c r="K256" t="s">
        <v>2</v>
      </c>
      <c r="L256" s="8">
        <f>UnilabUsage[[#This Row],[Used-MB]]-F246</f>
        <v>310</v>
      </c>
      <c r="M256">
        <f>UnilabUsage[[#This Row],[Max]]-UnilabUsage[[#This Row],[Used-MB]]</f>
        <v>24410</v>
      </c>
      <c r="N256" s="5">
        <f>IF($L256&gt;0,UnilabUsage[[#This Row],[Free-of-Max]]/UnilabUsage[[#This Row],[Usage-Delta-MB]],UnilabUsage[[#This Row],[Free-of-Max]])</f>
        <v>78.741935483870961</v>
      </c>
    </row>
    <row r="257" spans="1:14" x14ac:dyDescent="0.25">
      <c r="A257" s="3">
        <v>44417</v>
      </c>
      <c r="B257" t="s">
        <v>5</v>
      </c>
      <c r="C257">
        <v>95</v>
      </c>
      <c r="D257">
        <v>17550</v>
      </c>
      <c r="E257">
        <v>883</v>
      </c>
      <c r="F257">
        <v>16667</v>
      </c>
      <c r="G257">
        <v>5</v>
      </c>
      <c r="H257">
        <v>32768</v>
      </c>
      <c r="I257">
        <v>51</v>
      </c>
      <c r="J257" t="s">
        <v>1</v>
      </c>
      <c r="K257" t="s">
        <v>2</v>
      </c>
      <c r="L257" s="8">
        <f>UnilabUsage[[#This Row],[Used-MB]]-F247</f>
        <v>8</v>
      </c>
      <c r="M257">
        <f>UnilabUsage[[#This Row],[Max]]-UnilabUsage[[#This Row],[Used-MB]]</f>
        <v>16101</v>
      </c>
      <c r="N257" s="5">
        <f>IF($L257&gt;0,UnilabUsage[[#This Row],[Free-of-Max]]/UnilabUsage[[#This Row],[Usage-Delta-MB]],UnilabUsage[[#This Row],[Free-of-Max]])</f>
        <v>2012.625</v>
      </c>
    </row>
    <row r="258" spans="1:14" x14ac:dyDescent="0.25">
      <c r="A258" s="3">
        <v>44417</v>
      </c>
      <c r="B258" t="s">
        <v>8</v>
      </c>
      <c r="C258">
        <v>92</v>
      </c>
      <c r="D258">
        <v>262144</v>
      </c>
      <c r="E258">
        <v>21753</v>
      </c>
      <c r="F258">
        <v>240391</v>
      </c>
      <c r="G258">
        <v>8</v>
      </c>
      <c r="H258">
        <v>262144</v>
      </c>
      <c r="I258">
        <v>92</v>
      </c>
      <c r="J258" t="s">
        <v>1</v>
      </c>
      <c r="K258" t="s">
        <v>2</v>
      </c>
      <c r="L258" s="8">
        <f>UnilabUsage[[#This Row],[Used-MB]]-F248</f>
        <v>427</v>
      </c>
      <c r="M258">
        <f>UnilabUsage[[#This Row],[Max]]-UnilabUsage[[#This Row],[Used-MB]]</f>
        <v>21753</v>
      </c>
      <c r="N258" s="5">
        <f>IF($L258&gt;0,UnilabUsage[[#This Row],[Free-of-Max]]/UnilabUsage[[#This Row],[Usage-Delta-MB]],UnilabUsage[[#This Row],[Free-of-Max]])</f>
        <v>50.943793911007027</v>
      </c>
    </row>
    <row r="259" spans="1:14" x14ac:dyDescent="0.25">
      <c r="A259" s="3">
        <v>44417</v>
      </c>
      <c r="B259" t="s">
        <v>4</v>
      </c>
      <c r="C259">
        <v>97</v>
      </c>
      <c r="D259">
        <v>77781</v>
      </c>
      <c r="E259">
        <v>2235</v>
      </c>
      <c r="F259">
        <v>75546</v>
      </c>
      <c r="G259">
        <v>3</v>
      </c>
      <c r="H259">
        <v>98304</v>
      </c>
      <c r="I259">
        <v>77</v>
      </c>
      <c r="J259" t="s">
        <v>1</v>
      </c>
      <c r="K259" t="s">
        <v>2</v>
      </c>
      <c r="L259" s="8">
        <f>UnilabUsage[[#This Row],[Used-MB]]-F249</f>
        <v>64</v>
      </c>
      <c r="M259">
        <f>UnilabUsage[[#This Row],[Max]]-UnilabUsage[[#This Row],[Used-MB]]</f>
        <v>22758</v>
      </c>
      <c r="N259" s="5">
        <f>IF($L259&gt;0,UnilabUsage[[#This Row],[Free-of-Max]]/UnilabUsage[[#This Row],[Usage-Delta-MB]],UnilabUsage[[#This Row],[Free-of-Max]])</f>
        <v>355.59375</v>
      </c>
    </row>
    <row r="260" spans="1:14" x14ac:dyDescent="0.25">
      <c r="A260" s="3">
        <v>44417</v>
      </c>
      <c r="B260" t="s">
        <v>12</v>
      </c>
      <c r="C260">
        <v>0</v>
      </c>
      <c r="D260">
        <v>30720</v>
      </c>
      <c r="E260">
        <v>30668</v>
      </c>
      <c r="F260">
        <v>52</v>
      </c>
      <c r="G260">
        <v>100</v>
      </c>
      <c r="H260">
        <v>30720</v>
      </c>
      <c r="I260">
        <v>0</v>
      </c>
      <c r="J260" t="s">
        <v>1</v>
      </c>
      <c r="K260" t="s">
        <v>13</v>
      </c>
      <c r="L260" s="8">
        <f>UnilabUsage[[#This Row],[Used-MB]]-F250</f>
        <v>-40</v>
      </c>
      <c r="M260">
        <f>UnilabUsage[[#This Row],[Max]]-UnilabUsage[[#This Row],[Used-MB]]</f>
        <v>30668</v>
      </c>
      <c r="N260" s="5">
        <f>IF($L260&gt;0,UnilabUsage[[#This Row],[Free-of-Max]]/UnilabUsage[[#This Row],[Usage-Delta-MB]],UnilabUsage[[#This Row],[Free-of-Max]])</f>
        <v>30668</v>
      </c>
    </row>
    <row r="261" spans="1:14" x14ac:dyDescent="0.25">
      <c r="A261" s="3">
        <v>44417</v>
      </c>
      <c r="B261" t="s">
        <v>9</v>
      </c>
      <c r="C261">
        <v>1</v>
      </c>
      <c r="D261">
        <v>10440</v>
      </c>
      <c r="E261">
        <v>10343</v>
      </c>
      <c r="F261">
        <v>97</v>
      </c>
      <c r="G261">
        <v>99</v>
      </c>
      <c r="H261">
        <v>32768</v>
      </c>
      <c r="I261">
        <v>0</v>
      </c>
      <c r="J261" t="s">
        <v>1</v>
      </c>
      <c r="K261" t="s">
        <v>10</v>
      </c>
      <c r="L261" s="8">
        <f>UnilabUsage[[#This Row],[Used-MB]]-F251</f>
        <v>-28</v>
      </c>
      <c r="M261">
        <f>UnilabUsage[[#This Row],[Max]]-UnilabUsage[[#This Row],[Used-MB]]</f>
        <v>32671</v>
      </c>
      <c r="N261" s="5">
        <f>IF($L261&gt;0,UnilabUsage[[#This Row],[Free-of-Max]]/UnilabUsage[[#This Row],[Usage-Delta-MB]],UnilabUsage[[#This Row],[Free-of-Max]])</f>
        <v>32671</v>
      </c>
    </row>
    <row r="262" spans="1:14" x14ac:dyDescent="0.25">
      <c r="A262" s="3">
        <v>44425</v>
      </c>
      <c r="B262" t="s">
        <v>7</v>
      </c>
      <c r="C262">
        <v>96</v>
      </c>
      <c r="D262">
        <v>1290</v>
      </c>
      <c r="E262">
        <v>58</v>
      </c>
      <c r="F262">
        <v>1232</v>
      </c>
      <c r="G262">
        <v>4</v>
      </c>
      <c r="H262">
        <v>32768</v>
      </c>
      <c r="I262">
        <v>4</v>
      </c>
      <c r="J262" t="s">
        <v>1</v>
      </c>
      <c r="K262" t="s">
        <v>2</v>
      </c>
      <c r="L262" s="8">
        <f>UnilabUsage[[#This Row],[Used-MB]]-F252</f>
        <v>8</v>
      </c>
      <c r="M262">
        <f>UnilabUsage[[#This Row],[Max]]-UnilabUsage[[#This Row],[Used-MB]]</f>
        <v>31536</v>
      </c>
      <c r="N262" s="5">
        <f>IF($L262&gt;0,UnilabUsage[[#This Row],[Free-of-Max]]/UnilabUsage[[#This Row],[Usage-Delta-MB]],UnilabUsage[[#This Row],[Free-of-Max]])</f>
        <v>3942</v>
      </c>
    </row>
    <row r="263" spans="1:14" x14ac:dyDescent="0.25">
      <c r="A263" s="3">
        <v>44425</v>
      </c>
      <c r="B263" t="s">
        <v>0</v>
      </c>
      <c r="C263">
        <v>100</v>
      </c>
      <c r="D263">
        <v>16300</v>
      </c>
      <c r="E263">
        <v>44</v>
      </c>
      <c r="F263">
        <v>16256</v>
      </c>
      <c r="G263">
        <v>0</v>
      </c>
      <c r="H263">
        <v>32768</v>
      </c>
      <c r="I263">
        <v>50</v>
      </c>
      <c r="J263" t="s">
        <v>1</v>
      </c>
      <c r="K263" t="s">
        <v>2</v>
      </c>
      <c r="L263" s="8">
        <f>UnilabUsage[[#This Row],[Used-MB]]-F253</f>
        <v>64</v>
      </c>
      <c r="M263">
        <f>UnilabUsage[[#This Row],[Max]]-UnilabUsage[[#This Row],[Used-MB]]</f>
        <v>16512</v>
      </c>
      <c r="N263" s="5">
        <f>IF($L263&gt;0,UnilabUsage[[#This Row],[Free-of-Max]]/UnilabUsage[[#This Row],[Usage-Delta-MB]],UnilabUsage[[#This Row],[Free-of-Max]])</f>
        <v>258</v>
      </c>
    </row>
    <row r="264" spans="1:14" x14ac:dyDescent="0.25">
      <c r="A264" s="3">
        <v>44425</v>
      </c>
      <c r="B264" t="s">
        <v>11</v>
      </c>
      <c r="C264">
        <v>1</v>
      </c>
      <c r="D264">
        <v>100</v>
      </c>
      <c r="E264">
        <v>99</v>
      </c>
      <c r="F264">
        <v>1</v>
      </c>
      <c r="G264">
        <v>99</v>
      </c>
      <c r="H264">
        <v>32768</v>
      </c>
      <c r="I264">
        <v>0</v>
      </c>
      <c r="J264" t="s">
        <v>1</v>
      </c>
      <c r="K264" t="s">
        <v>2</v>
      </c>
      <c r="L264" s="8">
        <f>UnilabUsage[[#This Row],[Used-MB]]-F254</f>
        <v>0</v>
      </c>
      <c r="M264">
        <f>UnilabUsage[[#This Row],[Max]]-UnilabUsage[[#This Row],[Used-MB]]</f>
        <v>32767</v>
      </c>
      <c r="N264" s="5">
        <f>IF($L264&gt;0,UnilabUsage[[#This Row],[Free-of-Max]]/UnilabUsage[[#This Row],[Usage-Delta-MB]],UnilabUsage[[#This Row],[Free-of-Max]])</f>
        <v>32767</v>
      </c>
    </row>
    <row r="265" spans="1:14" x14ac:dyDescent="0.25">
      <c r="A265" s="3">
        <v>44425</v>
      </c>
      <c r="B265" t="s">
        <v>6</v>
      </c>
      <c r="C265">
        <v>95</v>
      </c>
      <c r="D265">
        <v>6665</v>
      </c>
      <c r="E265">
        <v>320</v>
      </c>
      <c r="F265">
        <v>6345</v>
      </c>
      <c r="G265">
        <v>5</v>
      </c>
      <c r="H265">
        <v>32768</v>
      </c>
      <c r="I265">
        <v>19</v>
      </c>
      <c r="J265" t="s">
        <v>1</v>
      </c>
      <c r="K265" t="s">
        <v>2</v>
      </c>
      <c r="L265" s="8">
        <f>UnilabUsage[[#This Row],[Used-MB]]-F255</f>
        <v>3</v>
      </c>
      <c r="M265">
        <f>UnilabUsage[[#This Row],[Max]]-UnilabUsage[[#This Row],[Used-MB]]</f>
        <v>26423</v>
      </c>
      <c r="N265" s="5">
        <f>IF($L265&gt;0,UnilabUsage[[#This Row],[Free-of-Max]]/UnilabUsage[[#This Row],[Usage-Delta-MB]],UnilabUsage[[#This Row],[Free-of-Max]])</f>
        <v>8807.6666666666661</v>
      </c>
    </row>
    <row r="266" spans="1:14" x14ac:dyDescent="0.25">
      <c r="A266" s="3">
        <v>44425</v>
      </c>
      <c r="B266" t="s">
        <v>3</v>
      </c>
      <c r="C266">
        <v>98</v>
      </c>
      <c r="D266">
        <v>377328</v>
      </c>
      <c r="E266">
        <v>8122</v>
      </c>
      <c r="F266">
        <v>369206</v>
      </c>
      <c r="G266">
        <v>2</v>
      </c>
      <c r="H266">
        <v>393216</v>
      </c>
      <c r="I266">
        <v>94</v>
      </c>
      <c r="J266" t="s">
        <v>1</v>
      </c>
      <c r="K266" t="s">
        <v>2</v>
      </c>
      <c r="L266" s="8">
        <f>UnilabUsage[[#This Row],[Used-MB]]-F256</f>
        <v>400</v>
      </c>
      <c r="M266">
        <f>UnilabUsage[[#This Row],[Max]]-UnilabUsage[[#This Row],[Used-MB]]</f>
        <v>24010</v>
      </c>
      <c r="N266" s="5">
        <f>IF($L266&gt;0,UnilabUsage[[#This Row],[Free-of-Max]]/UnilabUsage[[#This Row],[Usage-Delta-MB]],UnilabUsage[[#This Row],[Free-of-Max]])</f>
        <v>60.024999999999999</v>
      </c>
    </row>
    <row r="267" spans="1:14" x14ac:dyDescent="0.25">
      <c r="A267" s="3">
        <v>44425</v>
      </c>
      <c r="B267" t="s">
        <v>5</v>
      </c>
      <c r="C267">
        <v>95</v>
      </c>
      <c r="D267">
        <v>17550</v>
      </c>
      <c r="E267">
        <v>883</v>
      </c>
      <c r="F267">
        <v>16667</v>
      </c>
      <c r="G267">
        <v>5</v>
      </c>
      <c r="H267">
        <v>32768</v>
      </c>
      <c r="I267">
        <v>51</v>
      </c>
      <c r="J267" t="s">
        <v>1</v>
      </c>
      <c r="K267" t="s">
        <v>2</v>
      </c>
      <c r="L267" s="8">
        <f>UnilabUsage[[#This Row],[Used-MB]]-F257</f>
        <v>0</v>
      </c>
      <c r="M267">
        <f>UnilabUsage[[#This Row],[Max]]-UnilabUsage[[#This Row],[Used-MB]]</f>
        <v>16101</v>
      </c>
      <c r="N267" s="5">
        <f>IF($L267&gt;0,UnilabUsage[[#This Row],[Free-of-Max]]/UnilabUsage[[#This Row],[Usage-Delta-MB]],UnilabUsage[[#This Row],[Free-of-Max]])</f>
        <v>16101</v>
      </c>
    </row>
    <row r="268" spans="1:14" x14ac:dyDescent="0.25">
      <c r="A268" s="3">
        <v>44425</v>
      </c>
      <c r="B268" t="s">
        <v>8</v>
      </c>
      <c r="C268">
        <v>92</v>
      </c>
      <c r="D268">
        <v>262144</v>
      </c>
      <c r="E268">
        <v>21587</v>
      </c>
      <c r="F268">
        <v>240557</v>
      </c>
      <c r="G268">
        <v>8</v>
      </c>
      <c r="H268">
        <v>262144</v>
      </c>
      <c r="I268">
        <v>92</v>
      </c>
      <c r="J268" t="s">
        <v>1</v>
      </c>
      <c r="K268" t="s">
        <v>2</v>
      </c>
      <c r="L268" s="8">
        <f>UnilabUsage[[#This Row],[Used-MB]]-F258</f>
        <v>166</v>
      </c>
      <c r="M268">
        <f>UnilabUsage[[#This Row],[Max]]-UnilabUsage[[#This Row],[Used-MB]]</f>
        <v>21587</v>
      </c>
      <c r="N268" s="5">
        <f>IF($L268&gt;0,UnilabUsage[[#This Row],[Free-of-Max]]/UnilabUsage[[#This Row],[Usage-Delta-MB]],UnilabUsage[[#This Row],[Free-of-Max]])</f>
        <v>130.04216867469879</v>
      </c>
    </row>
    <row r="269" spans="1:14" x14ac:dyDescent="0.25">
      <c r="A269" s="3">
        <v>44425</v>
      </c>
      <c r="B269" t="s">
        <v>4</v>
      </c>
      <c r="C269">
        <v>98</v>
      </c>
      <c r="D269">
        <v>77781</v>
      </c>
      <c r="E269">
        <v>1530</v>
      </c>
      <c r="F269">
        <v>76251</v>
      </c>
      <c r="G269">
        <v>2</v>
      </c>
      <c r="H269">
        <v>98304</v>
      </c>
      <c r="I269">
        <v>78</v>
      </c>
      <c r="J269" t="s">
        <v>1</v>
      </c>
      <c r="K269" t="s">
        <v>2</v>
      </c>
      <c r="L269" s="8">
        <f>UnilabUsage[[#This Row],[Used-MB]]-F259</f>
        <v>705</v>
      </c>
      <c r="M269">
        <f>UnilabUsage[[#This Row],[Max]]-UnilabUsage[[#This Row],[Used-MB]]</f>
        <v>22053</v>
      </c>
      <c r="N269" s="5">
        <f>IF($L269&gt;0,UnilabUsage[[#This Row],[Free-of-Max]]/UnilabUsage[[#This Row],[Usage-Delta-MB]],UnilabUsage[[#This Row],[Free-of-Max]])</f>
        <v>31.280851063829786</v>
      </c>
    </row>
    <row r="270" spans="1:14" x14ac:dyDescent="0.25">
      <c r="A270" s="3">
        <v>44425</v>
      </c>
      <c r="B270" t="s">
        <v>12</v>
      </c>
      <c r="C270">
        <v>0</v>
      </c>
      <c r="D270">
        <v>30720</v>
      </c>
      <c r="E270">
        <v>30648</v>
      </c>
      <c r="F270">
        <v>72</v>
      </c>
      <c r="G270">
        <v>100</v>
      </c>
      <c r="H270">
        <v>30720</v>
      </c>
      <c r="I270">
        <v>0</v>
      </c>
      <c r="J270" t="s">
        <v>1</v>
      </c>
      <c r="K270" t="s">
        <v>13</v>
      </c>
      <c r="L270" s="8">
        <f>UnilabUsage[[#This Row],[Used-MB]]-F260</f>
        <v>20</v>
      </c>
      <c r="M270">
        <f>UnilabUsage[[#This Row],[Max]]-UnilabUsage[[#This Row],[Used-MB]]</f>
        <v>30648</v>
      </c>
      <c r="N270" s="5">
        <f>IF($L270&gt;0,UnilabUsage[[#This Row],[Free-of-Max]]/UnilabUsage[[#This Row],[Usage-Delta-MB]],UnilabUsage[[#This Row],[Free-of-Max]])</f>
        <v>1532.4</v>
      </c>
    </row>
    <row r="271" spans="1:14" x14ac:dyDescent="0.25">
      <c r="A271" s="3">
        <v>44425</v>
      </c>
      <c r="B271" t="s">
        <v>9</v>
      </c>
      <c r="C271">
        <v>1</v>
      </c>
      <c r="D271">
        <v>10440</v>
      </c>
      <c r="E271">
        <v>10310</v>
      </c>
      <c r="F271">
        <v>130</v>
      </c>
      <c r="G271">
        <v>99</v>
      </c>
      <c r="H271">
        <v>32768</v>
      </c>
      <c r="I271">
        <v>0</v>
      </c>
      <c r="J271" t="s">
        <v>1</v>
      </c>
      <c r="K271" t="s">
        <v>10</v>
      </c>
      <c r="L271" s="8">
        <f>UnilabUsage[[#This Row],[Used-MB]]-F261</f>
        <v>33</v>
      </c>
      <c r="M271">
        <f>UnilabUsage[[#This Row],[Max]]-UnilabUsage[[#This Row],[Used-MB]]</f>
        <v>32638</v>
      </c>
      <c r="N271" s="5">
        <f>IF($L271&gt;0,UnilabUsage[[#This Row],[Free-of-Max]]/UnilabUsage[[#This Row],[Usage-Delta-MB]],UnilabUsage[[#This Row],[Free-of-Max]])</f>
        <v>989.030303030303</v>
      </c>
    </row>
    <row r="272" spans="1:14" x14ac:dyDescent="0.25">
      <c r="A272" s="3">
        <v>44431</v>
      </c>
      <c r="B272" t="s">
        <v>7</v>
      </c>
      <c r="C272">
        <v>95</v>
      </c>
      <c r="D272">
        <v>1310</v>
      </c>
      <c r="E272">
        <v>70</v>
      </c>
      <c r="F272">
        <v>1240</v>
      </c>
      <c r="G272">
        <v>5</v>
      </c>
      <c r="H272">
        <v>32768</v>
      </c>
      <c r="I272">
        <v>4</v>
      </c>
      <c r="J272" t="s">
        <v>1</v>
      </c>
      <c r="K272" t="s">
        <v>2</v>
      </c>
      <c r="L272" s="8">
        <f>UnilabUsage[[#This Row],[Used-MB]]-F262</f>
        <v>8</v>
      </c>
      <c r="M272">
        <f>UnilabUsage[[#This Row],[Max]]-UnilabUsage[[#This Row],[Used-MB]]</f>
        <v>31528</v>
      </c>
      <c r="N272" s="5">
        <f>IF($L272&gt;0,UnilabUsage[[#This Row],[Free-of-Max]]/UnilabUsage[[#This Row],[Usage-Delta-MB]],UnilabUsage[[#This Row],[Free-of-Max]])</f>
        <v>3941</v>
      </c>
    </row>
    <row r="273" spans="1:14" x14ac:dyDescent="0.25">
      <c r="A273" s="3">
        <v>44431</v>
      </c>
      <c r="B273" t="s">
        <v>0</v>
      </c>
      <c r="C273">
        <v>99</v>
      </c>
      <c r="D273">
        <v>16450</v>
      </c>
      <c r="E273">
        <v>127</v>
      </c>
      <c r="F273">
        <v>16323</v>
      </c>
      <c r="G273">
        <v>1</v>
      </c>
      <c r="H273">
        <v>32768</v>
      </c>
      <c r="I273">
        <v>50</v>
      </c>
      <c r="J273" t="s">
        <v>1</v>
      </c>
      <c r="K273" t="s">
        <v>2</v>
      </c>
      <c r="L273" s="8">
        <f>UnilabUsage[[#This Row],[Used-MB]]-F263</f>
        <v>67</v>
      </c>
      <c r="M273">
        <f>UnilabUsage[[#This Row],[Max]]-UnilabUsage[[#This Row],[Used-MB]]</f>
        <v>16445</v>
      </c>
      <c r="N273" s="5">
        <f>IF($L273&gt;0,UnilabUsage[[#This Row],[Free-of-Max]]/UnilabUsage[[#This Row],[Usage-Delta-MB]],UnilabUsage[[#This Row],[Free-of-Max]])</f>
        <v>245.44776119402985</v>
      </c>
    </row>
    <row r="274" spans="1:14" x14ac:dyDescent="0.25">
      <c r="A274" s="3">
        <v>44431</v>
      </c>
      <c r="B274" t="s">
        <v>11</v>
      </c>
      <c r="C274">
        <v>1</v>
      </c>
      <c r="D274">
        <v>100</v>
      </c>
      <c r="E274">
        <v>99</v>
      </c>
      <c r="F274">
        <v>1</v>
      </c>
      <c r="G274">
        <v>99</v>
      </c>
      <c r="H274">
        <v>32768</v>
      </c>
      <c r="I274">
        <v>0</v>
      </c>
      <c r="J274" t="s">
        <v>1</v>
      </c>
      <c r="K274" t="s">
        <v>2</v>
      </c>
      <c r="L274" s="8">
        <f>UnilabUsage[[#This Row],[Used-MB]]-F264</f>
        <v>0</v>
      </c>
      <c r="M274">
        <f>UnilabUsage[[#This Row],[Max]]-UnilabUsage[[#This Row],[Used-MB]]</f>
        <v>32767</v>
      </c>
      <c r="N274" s="5">
        <f>IF($L274&gt;0,UnilabUsage[[#This Row],[Free-of-Max]]/UnilabUsage[[#This Row],[Usage-Delta-MB]],UnilabUsage[[#This Row],[Free-of-Max]])</f>
        <v>32767</v>
      </c>
    </row>
    <row r="275" spans="1:14" x14ac:dyDescent="0.25">
      <c r="A275" s="3">
        <v>44431</v>
      </c>
      <c r="B275" t="s">
        <v>6</v>
      </c>
      <c r="C275">
        <v>95</v>
      </c>
      <c r="D275">
        <v>6665</v>
      </c>
      <c r="E275">
        <v>320</v>
      </c>
      <c r="F275">
        <v>6345</v>
      </c>
      <c r="G275">
        <v>5</v>
      </c>
      <c r="H275">
        <v>32768</v>
      </c>
      <c r="I275">
        <v>19</v>
      </c>
      <c r="J275" t="s">
        <v>1</v>
      </c>
      <c r="K275" t="s">
        <v>2</v>
      </c>
      <c r="L275" s="8">
        <f>UnilabUsage[[#This Row],[Used-MB]]-F265</f>
        <v>0</v>
      </c>
      <c r="M275">
        <f>UnilabUsage[[#This Row],[Max]]-UnilabUsage[[#This Row],[Used-MB]]</f>
        <v>26423</v>
      </c>
      <c r="N275" s="5">
        <f>IF($L275&gt;0,UnilabUsage[[#This Row],[Free-of-Max]]/UnilabUsage[[#This Row],[Usage-Delta-MB]],UnilabUsage[[#This Row],[Free-of-Max]])</f>
        <v>26423</v>
      </c>
    </row>
    <row r="276" spans="1:14" x14ac:dyDescent="0.25">
      <c r="A276" s="3">
        <v>44431</v>
      </c>
      <c r="B276" t="s">
        <v>3</v>
      </c>
      <c r="C276">
        <v>98</v>
      </c>
      <c r="D276">
        <v>377328</v>
      </c>
      <c r="E276">
        <v>7785</v>
      </c>
      <c r="F276">
        <v>369543</v>
      </c>
      <c r="G276">
        <v>2</v>
      </c>
      <c r="H276">
        <v>393216</v>
      </c>
      <c r="I276">
        <v>94</v>
      </c>
      <c r="J276" t="s">
        <v>1</v>
      </c>
      <c r="K276" t="s">
        <v>2</v>
      </c>
      <c r="L276" s="8">
        <f>UnilabUsage[[#This Row],[Used-MB]]-F266</f>
        <v>337</v>
      </c>
      <c r="M276">
        <f>UnilabUsage[[#This Row],[Max]]-UnilabUsage[[#This Row],[Used-MB]]</f>
        <v>23673</v>
      </c>
      <c r="N276" s="5">
        <f>IF($L276&gt;0,UnilabUsage[[#This Row],[Free-of-Max]]/UnilabUsage[[#This Row],[Usage-Delta-MB]],UnilabUsage[[#This Row],[Free-of-Max]])</f>
        <v>70.246290801186944</v>
      </c>
    </row>
    <row r="277" spans="1:14" x14ac:dyDescent="0.25">
      <c r="A277" s="3">
        <v>44431</v>
      </c>
      <c r="B277" t="s">
        <v>5</v>
      </c>
      <c r="C277">
        <v>95</v>
      </c>
      <c r="D277">
        <v>17600</v>
      </c>
      <c r="E277">
        <v>868</v>
      </c>
      <c r="F277">
        <v>16732</v>
      </c>
      <c r="G277">
        <v>5</v>
      </c>
      <c r="H277">
        <v>32768</v>
      </c>
      <c r="I277">
        <v>51</v>
      </c>
      <c r="J277" t="s">
        <v>1</v>
      </c>
      <c r="K277" t="s">
        <v>2</v>
      </c>
      <c r="L277" s="8">
        <f>UnilabUsage[[#This Row],[Used-MB]]-F267</f>
        <v>65</v>
      </c>
      <c r="M277">
        <f>UnilabUsage[[#This Row],[Max]]-UnilabUsage[[#This Row],[Used-MB]]</f>
        <v>16036</v>
      </c>
      <c r="N277" s="5">
        <f>IF($L277&gt;0,UnilabUsage[[#This Row],[Free-of-Max]]/UnilabUsage[[#This Row],[Usage-Delta-MB]],UnilabUsage[[#This Row],[Free-of-Max]])</f>
        <v>246.7076923076923</v>
      </c>
    </row>
    <row r="278" spans="1:14" x14ac:dyDescent="0.25">
      <c r="A278" s="3">
        <v>44431</v>
      </c>
      <c r="B278" t="s">
        <v>8</v>
      </c>
      <c r="C278">
        <v>93</v>
      </c>
      <c r="D278">
        <v>262144</v>
      </c>
      <c r="E278">
        <v>19320</v>
      </c>
      <c r="F278">
        <v>242824</v>
      </c>
      <c r="G278">
        <v>7</v>
      </c>
      <c r="H278">
        <v>262144</v>
      </c>
      <c r="I278">
        <v>93</v>
      </c>
      <c r="J278" t="s">
        <v>1</v>
      </c>
      <c r="K278" t="s">
        <v>2</v>
      </c>
      <c r="L278" s="8">
        <f>UnilabUsage[[#This Row],[Used-MB]]-F268</f>
        <v>2267</v>
      </c>
      <c r="M278">
        <f>UnilabUsage[[#This Row],[Max]]-UnilabUsage[[#This Row],[Used-MB]]</f>
        <v>19320</v>
      </c>
      <c r="N278" s="5">
        <f>IF($L278&gt;0,UnilabUsage[[#This Row],[Free-of-Max]]/UnilabUsage[[#This Row],[Usage-Delta-MB]],UnilabUsage[[#This Row],[Free-of-Max]])</f>
        <v>8.5222761358623735</v>
      </c>
    </row>
    <row r="279" spans="1:14" x14ac:dyDescent="0.25">
      <c r="A279" s="3">
        <v>44431</v>
      </c>
      <c r="B279" t="s">
        <v>4</v>
      </c>
      <c r="C279">
        <v>98</v>
      </c>
      <c r="D279">
        <v>77781</v>
      </c>
      <c r="E279">
        <v>1402</v>
      </c>
      <c r="F279">
        <v>76379</v>
      </c>
      <c r="G279">
        <v>2</v>
      </c>
      <c r="H279">
        <v>98304</v>
      </c>
      <c r="I279">
        <v>78</v>
      </c>
      <c r="J279" t="s">
        <v>1</v>
      </c>
      <c r="K279" t="s">
        <v>2</v>
      </c>
      <c r="L279" s="8">
        <f>UnilabUsage[[#This Row],[Used-MB]]-F269</f>
        <v>128</v>
      </c>
      <c r="M279">
        <f>UnilabUsage[[#This Row],[Max]]-UnilabUsage[[#This Row],[Used-MB]]</f>
        <v>21925</v>
      </c>
      <c r="N279" s="5">
        <f>IF($L279&gt;0,UnilabUsage[[#This Row],[Free-of-Max]]/UnilabUsage[[#This Row],[Usage-Delta-MB]],UnilabUsage[[#This Row],[Free-of-Max]])</f>
        <v>171.2890625</v>
      </c>
    </row>
    <row r="280" spans="1:14" x14ac:dyDescent="0.25">
      <c r="A280" s="3">
        <v>44431</v>
      </c>
      <c r="B280" t="s">
        <v>12</v>
      </c>
      <c r="C280">
        <v>0</v>
      </c>
      <c r="D280">
        <v>30720</v>
      </c>
      <c r="E280">
        <v>30644</v>
      </c>
      <c r="F280">
        <v>76</v>
      </c>
      <c r="G280">
        <v>100</v>
      </c>
      <c r="H280">
        <v>30720</v>
      </c>
      <c r="I280">
        <v>0</v>
      </c>
      <c r="J280" t="s">
        <v>1</v>
      </c>
      <c r="K280" t="s">
        <v>13</v>
      </c>
      <c r="L280" s="8">
        <f>UnilabUsage[[#This Row],[Used-MB]]-F270</f>
        <v>4</v>
      </c>
      <c r="M280">
        <f>UnilabUsage[[#This Row],[Max]]-UnilabUsage[[#This Row],[Used-MB]]</f>
        <v>30644</v>
      </c>
      <c r="N280" s="5">
        <f>IF($L280&gt;0,UnilabUsage[[#This Row],[Free-of-Max]]/UnilabUsage[[#This Row],[Usage-Delta-MB]],UnilabUsage[[#This Row],[Free-of-Max]])</f>
        <v>7661</v>
      </c>
    </row>
    <row r="281" spans="1:14" x14ac:dyDescent="0.25">
      <c r="A281" s="3">
        <v>44431</v>
      </c>
      <c r="B281" t="s">
        <v>9</v>
      </c>
      <c r="C281">
        <v>1</v>
      </c>
      <c r="D281">
        <v>10440</v>
      </c>
      <c r="E281">
        <v>10310</v>
      </c>
      <c r="F281">
        <v>130</v>
      </c>
      <c r="G281">
        <v>99</v>
      </c>
      <c r="H281">
        <v>32768</v>
      </c>
      <c r="I281">
        <v>0</v>
      </c>
      <c r="J281" t="s">
        <v>1</v>
      </c>
      <c r="K281" t="s">
        <v>10</v>
      </c>
      <c r="L281" s="8">
        <f>UnilabUsage[[#This Row],[Used-MB]]-F271</f>
        <v>0</v>
      </c>
      <c r="M281">
        <f>UnilabUsage[[#This Row],[Max]]-UnilabUsage[[#This Row],[Used-MB]]</f>
        <v>32638</v>
      </c>
      <c r="N281" s="5">
        <f>IF($L281&gt;0,UnilabUsage[[#This Row],[Free-of-Max]]/UnilabUsage[[#This Row],[Usage-Delta-MB]],UnilabUsage[[#This Row],[Free-of-Max]])</f>
        <v>32638</v>
      </c>
    </row>
    <row r="282" spans="1:14" x14ac:dyDescent="0.25">
      <c r="A282" s="3">
        <v>44438</v>
      </c>
      <c r="B282" t="s">
        <v>7</v>
      </c>
      <c r="C282">
        <v>95</v>
      </c>
      <c r="D282">
        <v>1310</v>
      </c>
      <c r="E282">
        <v>60</v>
      </c>
      <c r="F282">
        <v>1250</v>
      </c>
      <c r="G282">
        <v>5</v>
      </c>
      <c r="H282">
        <v>32768</v>
      </c>
      <c r="I282">
        <v>4</v>
      </c>
      <c r="J282" t="s">
        <v>1</v>
      </c>
      <c r="K282" t="s">
        <v>2</v>
      </c>
      <c r="L282" s="8">
        <f>UnilabUsage[[#This Row],[Used-MB]]-F272</f>
        <v>10</v>
      </c>
      <c r="M282">
        <f>UnilabUsage[[#This Row],[Max]]-UnilabUsage[[#This Row],[Used-MB]]</f>
        <v>31518</v>
      </c>
      <c r="N282" s="5">
        <f>IF($L282&gt;0,UnilabUsage[[#This Row],[Free-of-Max]]/UnilabUsage[[#This Row],[Usage-Delta-MB]],UnilabUsage[[#This Row],[Free-of-Max]])</f>
        <v>3151.8</v>
      </c>
    </row>
    <row r="283" spans="1:14" x14ac:dyDescent="0.25">
      <c r="A283" s="3">
        <v>44438</v>
      </c>
      <c r="B283" t="s">
        <v>0</v>
      </c>
      <c r="C283">
        <v>100</v>
      </c>
      <c r="D283">
        <v>16450</v>
      </c>
      <c r="E283">
        <v>63</v>
      </c>
      <c r="F283">
        <v>16387</v>
      </c>
      <c r="G283">
        <v>0</v>
      </c>
      <c r="H283">
        <v>32768</v>
      </c>
      <c r="I283">
        <v>50</v>
      </c>
      <c r="J283" t="s">
        <v>1</v>
      </c>
      <c r="K283" t="s">
        <v>2</v>
      </c>
      <c r="L283" s="8">
        <f>UnilabUsage[[#This Row],[Used-MB]]-F273</f>
        <v>64</v>
      </c>
      <c r="M283">
        <f>UnilabUsage[[#This Row],[Max]]-UnilabUsage[[#This Row],[Used-MB]]</f>
        <v>16381</v>
      </c>
      <c r="N283" s="5">
        <f>IF($L283&gt;0,UnilabUsage[[#This Row],[Free-of-Max]]/UnilabUsage[[#This Row],[Usage-Delta-MB]],UnilabUsage[[#This Row],[Free-of-Max]])</f>
        <v>255.953125</v>
      </c>
    </row>
    <row r="284" spans="1:14" x14ac:dyDescent="0.25">
      <c r="A284" s="3">
        <v>44438</v>
      </c>
      <c r="B284" t="s">
        <v>11</v>
      </c>
      <c r="C284">
        <v>1</v>
      </c>
      <c r="D284">
        <v>100</v>
      </c>
      <c r="E284">
        <v>99</v>
      </c>
      <c r="F284">
        <v>1</v>
      </c>
      <c r="G284">
        <v>99</v>
      </c>
      <c r="H284">
        <v>32768</v>
      </c>
      <c r="I284">
        <v>0</v>
      </c>
      <c r="J284" t="s">
        <v>1</v>
      </c>
      <c r="K284" t="s">
        <v>2</v>
      </c>
      <c r="L284" s="8">
        <f>UnilabUsage[[#This Row],[Used-MB]]-F274</f>
        <v>0</v>
      </c>
      <c r="M284">
        <f>UnilabUsage[[#This Row],[Max]]-UnilabUsage[[#This Row],[Used-MB]]</f>
        <v>32767</v>
      </c>
      <c r="N284" s="5">
        <f>IF($L284&gt;0,UnilabUsage[[#This Row],[Free-of-Max]]/UnilabUsage[[#This Row],[Usage-Delta-MB]],UnilabUsage[[#This Row],[Free-of-Max]])</f>
        <v>32767</v>
      </c>
    </row>
    <row r="285" spans="1:14" x14ac:dyDescent="0.25">
      <c r="A285" s="3">
        <v>44438</v>
      </c>
      <c r="B285" t="s">
        <v>6</v>
      </c>
      <c r="C285">
        <v>95</v>
      </c>
      <c r="D285">
        <v>6675</v>
      </c>
      <c r="E285">
        <v>320</v>
      </c>
      <c r="F285">
        <v>6355</v>
      </c>
      <c r="G285">
        <v>5</v>
      </c>
      <c r="H285">
        <v>32768</v>
      </c>
      <c r="I285">
        <v>19</v>
      </c>
      <c r="J285" t="s">
        <v>1</v>
      </c>
      <c r="K285" t="s">
        <v>2</v>
      </c>
      <c r="L285" s="8">
        <f>UnilabUsage[[#This Row],[Used-MB]]-F275</f>
        <v>10</v>
      </c>
      <c r="M285">
        <f>UnilabUsage[[#This Row],[Max]]-UnilabUsage[[#This Row],[Used-MB]]</f>
        <v>26413</v>
      </c>
      <c r="N285" s="5">
        <f>IF($L285&gt;0,UnilabUsage[[#This Row],[Free-of-Max]]/UnilabUsage[[#This Row],[Usage-Delta-MB]],UnilabUsage[[#This Row],[Free-of-Max]])</f>
        <v>2641.3</v>
      </c>
    </row>
    <row r="286" spans="1:14" x14ac:dyDescent="0.25">
      <c r="A286" s="3">
        <v>44438</v>
      </c>
      <c r="B286" t="s">
        <v>3</v>
      </c>
      <c r="C286">
        <v>98</v>
      </c>
      <c r="D286">
        <v>377328</v>
      </c>
      <c r="E286">
        <v>7463</v>
      </c>
      <c r="F286">
        <v>369865</v>
      </c>
      <c r="G286">
        <v>2</v>
      </c>
      <c r="H286">
        <v>393216</v>
      </c>
      <c r="I286">
        <v>94</v>
      </c>
      <c r="J286" t="s">
        <v>1</v>
      </c>
      <c r="K286" t="s">
        <v>2</v>
      </c>
      <c r="L286" s="8">
        <f>UnilabUsage[[#This Row],[Used-MB]]-F276</f>
        <v>322</v>
      </c>
      <c r="M286">
        <f>UnilabUsage[[#This Row],[Max]]-UnilabUsage[[#This Row],[Used-MB]]</f>
        <v>23351</v>
      </c>
      <c r="N286" s="5">
        <f>IF($L286&gt;0,UnilabUsage[[#This Row],[Free-of-Max]]/UnilabUsage[[#This Row],[Usage-Delta-MB]],UnilabUsage[[#This Row],[Free-of-Max]])</f>
        <v>72.518633540372676</v>
      </c>
    </row>
    <row r="287" spans="1:14" x14ac:dyDescent="0.25">
      <c r="A287" s="3">
        <v>44438</v>
      </c>
      <c r="B287" t="s">
        <v>5</v>
      </c>
      <c r="C287">
        <v>95</v>
      </c>
      <c r="D287">
        <v>17650</v>
      </c>
      <c r="E287">
        <v>852</v>
      </c>
      <c r="F287">
        <v>16798</v>
      </c>
      <c r="G287">
        <v>5</v>
      </c>
      <c r="H287">
        <v>32768</v>
      </c>
      <c r="I287">
        <v>51</v>
      </c>
      <c r="J287" t="s">
        <v>1</v>
      </c>
      <c r="K287" t="s">
        <v>2</v>
      </c>
      <c r="L287" s="8">
        <f>UnilabUsage[[#This Row],[Used-MB]]-F277</f>
        <v>66</v>
      </c>
      <c r="M287">
        <f>UnilabUsage[[#This Row],[Max]]-UnilabUsage[[#This Row],[Used-MB]]</f>
        <v>15970</v>
      </c>
      <c r="N287" s="5">
        <f>IF($L287&gt;0,UnilabUsage[[#This Row],[Free-of-Max]]/UnilabUsage[[#This Row],[Usage-Delta-MB]],UnilabUsage[[#This Row],[Free-of-Max]])</f>
        <v>241.96969696969697</v>
      </c>
    </row>
    <row r="288" spans="1:14" x14ac:dyDescent="0.25">
      <c r="A288" s="3">
        <v>44438</v>
      </c>
      <c r="B288" t="s">
        <v>8</v>
      </c>
      <c r="C288">
        <v>93</v>
      </c>
      <c r="D288">
        <v>262144</v>
      </c>
      <c r="E288">
        <v>19070</v>
      </c>
      <c r="F288">
        <v>243074</v>
      </c>
      <c r="G288">
        <v>7</v>
      </c>
      <c r="H288">
        <v>262144</v>
      </c>
      <c r="I288">
        <v>93</v>
      </c>
      <c r="J288" t="s">
        <v>1</v>
      </c>
      <c r="K288" t="s">
        <v>2</v>
      </c>
      <c r="L288" s="8">
        <f>UnilabUsage[[#This Row],[Used-MB]]-F278</f>
        <v>250</v>
      </c>
      <c r="M288">
        <f>UnilabUsage[[#This Row],[Max]]-UnilabUsage[[#This Row],[Used-MB]]</f>
        <v>19070</v>
      </c>
      <c r="N288" s="5">
        <f>IF($L288&gt;0,UnilabUsage[[#This Row],[Free-of-Max]]/UnilabUsage[[#This Row],[Usage-Delta-MB]],UnilabUsage[[#This Row],[Free-of-Max]])</f>
        <v>76.28</v>
      </c>
    </row>
    <row r="289" spans="1:14" x14ac:dyDescent="0.25">
      <c r="A289" s="3">
        <v>44438</v>
      </c>
      <c r="B289" t="s">
        <v>4</v>
      </c>
      <c r="C289">
        <v>99</v>
      </c>
      <c r="D289">
        <v>77781</v>
      </c>
      <c r="E289">
        <v>1082</v>
      </c>
      <c r="F289">
        <v>76699</v>
      </c>
      <c r="G289">
        <v>1</v>
      </c>
      <c r="H289">
        <v>98304</v>
      </c>
      <c r="I289">
        <v>78</v>
      </c>
      <c r="J289" t="s">
        <v>1</v>
      </c>
      <c r="K289" t="s">
        <v>2</v>
      </c>
      <c r="L289" s="8">
        <f>UnilabUsage[[#This Row],[Used-MB]]-F279</f>
        <v>320</v>
      </c>
      <c r="M289">
        <f>UnilabUsage[[#This Row],[Max]]-UnilabUsage[[#This Row],[Used-MB]]</f>
        <v>21605</v>
      </c>
      <c r="N289" s="5">
        <f>IF($L289&gt;0,UnilabUsage[[#This Row],[Free-of-Max]]/UnilabUsage[[#This Row],[Usage-Delta-MB]],UnilabUsage[[#This Row],[Free-of-Max]])</f>
        <v>67.515625</v>
      </c>
    </row>
    <row r="290" spans="1:14" x14ac:dyDescent="0.25">
      <c r="A290" s="3">
        <v>44438</v>
      </c>
      <c r="B290" t="s">
        <v>12</v>
      </c>
      <c r="C290">
        <v>0</v>
      </c>
      <c r="D290">
        <v>30720</v>
      </c>
      <c r="E290">
        <v>30643</v>
      </c>
      <c r="F290">
        <v>77</v>
      </c>
      <c r="G290">
        <v>100</v>
      </c>
      <c r="H290">
        <v>30720</v>
      </c>
      <c r="I290">
        <v>0</v>
      </c>
      <c r="J290" t="s">
        <v>1</v>
      </c>
      <c r="K290" t="s">
        <v>13</v>
      </c>
      <c r="L290" s="8">
        <f>UnilabUsage[[#This Row],[Used-MB]]-F280</f>
        <v>1</v>
      </c>
      <c r="M290">
        <f>UnilabUsage[[#This Row],[Max]]-UnilabUsage[[#This Row],[Used-MB]]</f>
        <v>30643</v>
      </c>
      <c r="N290" s="5">
        <f>IF($L290&gt;0,UnilabUsage[[#This Row],[Free-of-Max]]/UnilabUsage[[#This Row],[Usage-Delta-MB]],UnilabUsage[[#This Row],[Free-of-Max]])</f>
        <v>30643</v>
      </c>
    </row>
    <row r="291" spans="1:14" x14ac:dyDescent="0.25">
      <c r="A291" s="3">
        <v>44438</v>
      </c>
      <c r="B291" t="s">
        <v>9</v>
      </c>
      <c r="C291">
        <v>1</v>
      </c>
      <c r="D291">
        <v>10440</v>
      </c>
      <c r="E291">
        <v>10306</v>
      </c>
      <c r="F291">
        <v>135</v>
      </c>
      <c r="G291">
        <v>99</v>
      </c>
      <c r="H291">
        <v>32768</v>
      </c>
      <c r="I291">
        <v>0</v>
      </c>
      <c r="J291" t="s">
        <v>1</v>
      </c>
      <c r="K291" t="s">
        <v>10</v>
      </c>
      <c r="L291" s="8">
        <f>UnilabUsage[[#This Row],[Used-MB]]-F281</f>
        <v>5</v>
      </c>
      <c r="M291">
        <f>UnilabUsage[[#This Row],[Max]]-UnilabUsage[[#This Row],[Used-MB]]</f>
        <v>32633</v>
      </c>
      <c r="N291" s="5">
        <f>IF($L291&gt;0,UnilabUsage[[#This Row],[Free-of-Max]]/UnilabUsage[[#This Row],[Usage-Delta-MB]],UnilabUsage[[#This Row],[Free-of-Max]])</f>
        <v>6526.6</v>
      </c>
    </row>
    <row r="292" spans="1:14" x14ac:dyDescent="0.25">
      <c r="A292" s="3">
        <v>44445</v>
      </c>
      <c r="B292" t="s">
        <v>7</v>
      </c>
      <c r="C292">
        <v>95</v>
      </c>
      <c r="D292">
        <v>1330</v>
      </c>
      <c r="E292">
        <v>72</v>
      </c>
      <c r="F292">
        <v>1258</v>
      </c>
      <c r="G292">
        <v>5</v>
      </c>
      <c r="H292">
        <v>32768</v>
      </c>
      <c r="I292">
        <v>4</v>
      </c>
      <c r="J292" t="s">
        <v>1</v>
      </c>
      <c r="K292" t="s">
        <v>2</v>
      </c>
      <c r="L292" s="8">
        <f>UnilabUsage[[#This Row],[Used-MB]]-F282</f>
        <v>8</v>
      </c>
      <c r="M292">
        <f>UnilabUsage[[#This Row],[Max]]-UnilabUsage[[#This Row],[Used-MB]]</f>
        <v>31510</v>
      </c>
      <c r="N292" s="5">
        <f>IF($L292&gt;0,UnilabUsage[[#This Row],[Free-of-Max]]/UnilabUsage[[#This Row],[Usage-Delta-MB]],UnilabUsage[[#This Row],[Free-of-Max]])</f>
        <v>3938.75</v>
      </c>
    </row>
    <row r="293" spans="1:14" x14ac:dyDescent="0.25">
      <c r="A293" s="3">
        <v>44445</v>
      </c>
      <c r="B293" t="s">
        <v>0</v>
      </c>
      <c r="C293">
        <v>100</v>
      </c>
      <c r="D293">
        <v>16450</v>
      </c>
      <c r="E293">
        <v>63</v>
      </c>
      <c r="F293">
        <v>16387</v>
      </c>
      <c r="G293">
        <v>0</v>
      </c>
      <c r="H293">
        <v>32768</v>
      </c>
      <c r="I293">
        <v>50</v>
      </c>
      <c r="J293" t="s">
        <v>1</v>
      </c>
      <c r="K293" t="s">
        <v>2</v>
      </c>
      <c r="L293" s="8">
        <f>UnilabUsage[[#This Row],[Used-MB]]-F283</f>
        <v>0</v>
      </c>
      <c r="M293">
        <f>UnilabUsage[[#This Row],[Max]]-UnilabUsage[[#This Row],[Used-MB]]</f>
        <v>16381</v>
      </c>
      <c r="N293" s="5">
        <f>IF($L293&gt;0,UnilabUsage[[#This Row],[Free-of-Max]]/UnilabUsage[[#This Row],[Usage-Delta-MB]],UnilabUsage[[#This Row],[Free-of-Max]])</f>
        <v>16381</v>
      </c>
    </row>
    <row r="294" spans="1:14" x14ac:dyDescent="0.25">
      <c r="A294" s="3">
        <v>44445</v>
      </c>
      <c r="B294" t="s">
        <v>11</v>
      </c>
      <c r="C294">
        <v>1</v>
      </c>
      <c r="D294">
        <v>100</v>
      </c>
      <c r="E294">
        <v>99</v>
      </c>
      <c r="F294">
        <v>1</v>
      </c>
      <c r="G294">
        <v>99</v>
      </c>
      <c r="H294">
        <v>32768</v>
      </c>
      <c r="I294">
        <v>0</v>
      </c>
      <c r="J294" t="s">
        <v>1</v>
      </c>
      <c r="K294" t="s">
        <v>2</v>
      </c>
      <c r="L294" s="8">
        <f>UnilabUsage[[#This Row],[Used-MB]]-F284</f>
        <v>0</v>
      </c>
      <c r="M294">
        <f>UnilabUsage[[#This Row],[Max]]-UnilabUsage[[#This Row],[Used-MB]]</f>
        <v>32767</v>
      </c>
      <c r="N294" s="5">
        <f>IF($L294&gt;0,UnilabUsage[[#This Row],[Free-of-Max]]/UnilabUsage[[#This Row],[Usage-Delta-MB]],UnilabUsage[[#This Row],[Free-of-Max]])</f>
        <v>32767</v>
      </c>
    </row>
    <row r="295" spans="1:14" x14ac:dyDescent="0.25">
      <c r="A295" s="3">
        <v>44445</v>
      </c>
      <c r="B295" t="s">
        <v>6</v>
      </c>
      <c r="C295">
        <v>95</v>
      </c>
      <c r="D295">
        <v>6675</v>
      </c>
      <c r="E295">
        <v>320</v>
      </c>
      <c r="F295">
        <v>6355</v>
      </c>
      <c r="G295">
        <v>5</v>
      </c>
      <c r="H295">
        <v>32768</v>
      </c>
      <c r="I295">
        <v>19</v>
      </c>
      <c r="J295" t="s">
        <v>1</v>
      </c>
      <c r="K295" t="s">
        <v>2</v>
      </c>
      <c r="L295" s="8">
        <f>UnilabUsage[[#This Row],[Used-MB]]-F285</f>
        <v>0</v>
      </c>
      <c r="M295">
        <f>UnilabUsage[[#This Row],[Max]]-UnilabUsage[[#This Row],[Used-MB]]</f>
        <v>26413</v>
      </c>
      <c r="N295" s="5">
        <f>IF($L295&gt;0,UnilabUsage[[#This Row],[Free-of-Max]]/UnilabUsage[[#This Row],[Usage-Delta-MB]],UnilabUsage[[#This Row],[Free-of-Max]])</f>
        <v>26413</v>
      </c>
    </row>
    <row r="296" spans="1:14" x14ac:dyDescent="0.25">
      <c r="A296" s="3">
        <v>44445</v>
      </c>
      <c r="B296" t="s">
        <v>3</v>
      </c>
      <c r="C296">
        <v>98</v>
      </c>
      <c r="D296">
        <v>377328</v>
      </c>
      <c r="E296">
        <v>6910</v>
      </c>
      <c r="F296">
        <v>370418</v>
      </c>
      <c r="G296">
        <v>2</v>
      </c>
      <c r="H296">
        <v>393216</v>
      </c>
      <c r="I296">
        <v>94</v>
      </c>
      <c r="J296" t="s">
        <v>1</v>
      </c>
      <c r="K296" t="s">
        <v>2</v>
      </c>
      <c r="L296" s="8">
        <f>UnilabUsage[[#This Row],[Used-MB]]-F286</f>
        <v>553</v>
      </c>
      <c r="M296">
        <f>UnilabUsage[[#This Row],[Max]]-UnilabUsage[[#This Row],[Used-MB]]</f>
        <v>22798</v>
      </c>
      <c r="N296" s="5">
        <f>IF($L296&gt;0,UnilabUsage[[#This Row],[Free-of-Max]]/UnilabUsage[[#This Row],[Usage-Delta-MB]],UnilabUsage[[#This Row],[Free-of-Max]])</f>
        <v>41.226039783001809</v>
      </c>
    </row>
    <row r="297" spans="1:14" x14ac:dyDescent="0.25">
      <c r="A297" s="3">
        <v>44445</v>
      </c>
      <c r="B297" t="s">
        <v>5</v>
      </c>
      <c r="C297">
        <v>95</v>
      </c>
      <c r="D297">
        <v>17650</v>
      </c>
      <c r="E297">
        <v>851</v>
      </c>
      <c r="F297">
        <v>16799</v>
      </c>
      <c r="G297">
        <v>5</v>
      </c>
      <c r="H297">
        <v>32768</v>
      </c>
      <c r="I297">
        <v>51</v>
      </c>
      <c r="J297" t="s">
        <v>1</v>
      </c>
      <c r="K297" t="s">
        <v>2</v>
      </c>
      <c r="L297" s="8">
        <f>UnilabUsage[[#This Row],[Used-MB]]-F287</f>
        <v>1</v>
      </c>
      <c r="M297">
        <f>UnilabUsage[[#This Row],[Max]]-UnilabUsage[[#This Row],[Used-MB]]</f>
        <v>15969</v>
      </c>
      <c r="N297" s="5">
        <f>IF($L297&gt;0,UnilabUsage[[#This Row],[Free-of-Max]]/UnilabUsage[[#This Row],[Usage-Delta-MB]],UnilabUsage[[#This Row],[Free-of-Max]])</f>
        <v>15969</v>
      </c>
    </row>
    <row r="298" spans="1:14" x14ac:dyDescent="0.25">
      <c r="A298" s="3">
        <v>44445</v>
      </c>
      <c r="B298" t="s">
        <v>8</v>
      </c>
      <c r="C298">
        <v>93</v>
      </c>
      <c r="D298">
        <v>262144</v>
      </c>
      <c r="E298">
        <v>18644</v>
      </c>
      <c r="F298">
        <v>243500</v>
      </c>
      <c r="G298">
        <v>7</v>
      </c>
      <c r="H298">
        <v>262144</v>
      </c>
      <c r="I298">
        <v>93</v>
      </c>
      <c r="J298" t="s">
        <v>1</v>
      </c>
      <c r="K298" t="s">
        <v>2</v>
      </c>
      <c r="L298" s="8">
        <f>UnilabUsage[[#This Row],[Used-MB]]-F288</f>
        <v>426</v>
      </c>
      <c r="M298">
        <f>UnilabUsage[[#This Row],[Max]]-UnilabUsage[[#This Row],[Used-MB]]</f>
        <v>18644</v>
      </c>
      <c r="N298" s="5">
        <f>IF($L298&gt;0,UnilabUsage[[#This Row],[Free-of-Max]]/UnilabUsage[[#This Row],[Usage-Delta-MB]],UnilabUsage[[#This Row],[Free-of-Max]])</f>
        <v>43.76525821596244</v>
      </c>
    </row>
    <row r="299" spans="1:14" x14ac:dyDescent="0.25">
      <c r="A299" s="3">
        <v>44445</v>
      </c>
      <c r="B299" t="s">
        <v>4</v>
      </c>
      <c r="C299">
        <v>95</v>
      </c>
      <c r="D299">
        <v>80853</v>
      </c>
      <c r="E299">
        <v>4026</v>
      </c>
      <c r="F299">
        <v>76827</v>
      </c>
      <c r="G299">
        <v>5</v>
      </c>
      <c r="H299">
        <v>98304</v>
      </c>
      <c r="I299">
        <v>78</v>
      </c>
      <c r="J299" t="s">
        <v>1</v>
      </c>
      <c r="K299" t="s">
        <v>2</v>
      </c>
      <c r="L299" s="8">
        <f>UnilabUsage[[#This Row],[Used-MB]]-F289</f>
        <v>128</v>
      </c>
      <c r="M299">
        <f>UnilabUsage[[#This Row],[Max]]-UnilabUsage[[#This Row],[Used-MB]]</f>
        <v>21477</v>
      </c>
      <c r="N299" s="5">
        <f>IF($L299&gt;0,UnilabUsage[[#This Row],[Free-of-Max]]/UnilabUsage[[#This Row],[Usage-Delta-MB]],UnilabUsage[[#This Row],[Free-of-Max]])</f>
        <v>167.7890625</v>
      </c>
    </row>
    <row r="300" spans="1:14" x14ac:dyDescent="0.25">
      <c r="A300" s="3">
        <v>44445</v>
      </c>
      <c r="B300" t="s">
        <v>12</v>
      </c>
      <c r="C300">
        <v>0</v>
      </c>
      <c r="D300">
        <v>30720</v>
      </c>
      <c r="E300">
        <v>30620</v>
      </c>
      <c r="F300">
        <v>100</v>
      </c>
      <c r="G300">
        <v>100</v>
      </c>
      <c r="H300">
        <v>30720</v>
      </c>
      <c r="I300">
        <v>0</v>
      </c>
      <c r="J300" t="s">
        <v>1</v>
      </c>
      <c r="K300" t="s">
        <v>13</v>
      </c>
      <c r="L300" s="8">
        <f>UnilabUsage[[#This Row],[Used-MB]]-F290</f>
        <v>23</v>
      </c>
      <c r="M300">
        <f>UnilabUsage[[#This Row],[Max]]-UnilabUsage[[#This Row],[Used-MB]]</f>
        <v>30620</v>
      </c>
      <c r="N300" s="5">
        <f>IF($L300&gt;0,UnilabUsage[[#This Row],[Free-of-Max]]/UnilabUsage[[#This Row],[Usage-Delta-MB]],UnilabUsage[[#This Row],[Free-of-Max]])</f>
        <v>1331.304347826087</v>
      </c>
    </row>
    <row r="301" spans="1:14" x14ac:dyDescent="0.25">
      <c r="A301" s="3">
        <v>44445</v>
      </c>
      <c r="B301" t="s">
        <v>9</v>
      </c>
      <c r="C301">
        <v>1</v>
      </c>
      <c r="D301">
        <v>10440</v>
      </c>
      <c r="E301">
        <v>10331</v>
      </c>
      <c r="F301">
        <v>109</v>
      </c>
      <c r="G301">
        <v>99</v>
      </c>
      <c r="H301">
        <v>32768</v>
      </c>
      <c r="I301">
        <v>0</v>
      </c>
      <c r="J301" t="s">
        <v>1</v>
      </c>
      <c r="K301" t="s">
        <v>10</v>
      </c>
      <c r="L301" s="8">
        <f>UnilabUsage[[#This Row],[Used-MB]]-F291</f>
        <v>-26</v>
      </c>
      <c r="M301">
        <f>UnilabUsage[[#This Row],[Max]]-UnilabUsage[[#This Row],[Used-MB]]</f>
        <v>32659</v>
      </c>
      <c r="N301" s="5">
        <f>IF($L301&gt;0,UnilabUsage[[#This Row],[Free-of-Max]]/UnilabUsage[[#This Row],[Usage-Delta-MB]],UnilabUsage[[#This Row],[Free-of-Max]])</f>
        <v>32659</v>
      </c>
    </row>
    <row r="302" spans="1:14" x14ac:dyDescent="0.25">
      <c r="A302" s="3">
        <v>44452</v>
      </c>
      <c r="B302" t="s">
        <v>7</v>
      </c>
      <c r="C302">
        <v>95</v>
      </c>
      <c r="D302">
        <v>1330</v>
      </c>
      <c r="E302">
        <v>63</v>
      </c>
      <c r="F302">
        <v>1267</v>
      </c>
      <c r="G302">
        <v>5</v>
      </c>
      <c r="H302">
        <v>32768</v>
      </c>
      <c r="I302">
        <v>4</v>
      </c>
      <c r="J302" t="s">
        <v>1</v>
      </c>
      <c r="K302" t="s">
        <v>2</v>
      </c>
      <c r="L302" s="8">
        <f>UnilabUsage[[#This Row],[Used-MB]]-F292</f>
        <v>9</v>
      </c>
      <c r="M302">
        <f>UnilabUsage[[#This Row],[Max]]-UnilabUsage[[#This Row],[Used-MB]]</f>
        <v>31501</v>
      </c>
      <c r="N302" s="5">
        <f>IF($L302&gt;0,UnilabUsage[[#This Row],[Free-of-Max]]/UnilabUsage[[#This Row],[Usage-Delta-MB]],UnilabUsage[[#This Row],[Free-of-Max]])</f>
        <v>3500.1111111111113</v>
      </c>
    </row>
    <row r="303" spans="1:14" x14ac:dyDescent="0.25">
      <c r="A303" s="3">
        <v>44452</v>
      </c>
      <c r="B303" t="s">
        <v>0</v>
      </c>
      <c r="C303">
        <v>99</v>
      </c>
      <c r="D303">
        <v>16550</v>
      </c>
      <c r="E303">
        <v>99</v>
      </c>
      <c r="F303">
        <v>16451</v>
      </c>
      <c r="G303">
        <v>1</v>
      </c>
      <c r="H303">
        <v>32768</v>
      </c>
      <c r="I303">
        <v>50</v>
      </c>
      <c r="J303" t="s">
        <v>1</v>
      </c>
      <c r="K303" t="s">
        <v>2</v>
      </c>
      <c r="L303" s="8">
        <f>UnilabUsage[[#This Row],[Used-MB]]-F293</f>
        <v>64</v>
      </c>
      <c r="M303">
        <f>UnilabUsage[[#This Row],[Max]]-UnilabUsage[[#This Row],[Used-MB]]</f>
        <v>16317</v>
      </c>
      <c r="N303" s="5">
        <f>IF($L303&gt;0,UnilabUsage[[#This Row],[Free-of-Max]]/UnilabUsage[[#This Row],[Usage-Delta-MB]],UnilabUsage[[#This Row],[Free-of-Max]])</f>
        <v>254.953125</v>
      </c>
    </row>
    <row r="304" spans="1:14" x14ac:dyDescent="0.25">
      <c r="A304" s="3">
        <v>44452</v>
      </c>
      <c r="B304" t="s">
        <v>11</v>
      </c>
      <c r="C304">
        <v>1</v>
      </c>
      <c r="D304">
        <v>100</v>
      </c>
      <c r="E304">
        <v>99</v>
      </c>
      <c r="F304">
        <v>1</v>
      </c>
      <c r="G304">
        <v>99</v>
      </c>
      <c r="H304">
        <v>32768</v>
      </c>
      <c r="I304">
        <v>0</v>
      </c>
      <c r="J304" t="s">
        <v>1</v>
      </c>
      <c r="K304" t="s">
        <v>2</v>
      </c>
      <c r="L304" s="8">
        <f>UnilabUsage[[#This Row],[Used-MB]]-F294</f>
        <v>0</v>
      </c>
      <c r="M304">
        <f>UnilabUsage[[#This Row],[Max]]-UnilabUsage[[#This Row],[Used-MB]]</f>
        <v>32767</v>
      </c>
      <c r="N304" s="5">
        <f>IF($L304&gt;0,UnilabUsage[[#This Row],[Free-of-Max]]/UnilabUsage[[#This Row],[Usage-Delta-MB]],UnilabUsage[[#This Row],[Free-of-Max]])</f>
        <v>32767</v>
      </c>
    </row>
    <row r="305" spans="1:14" x14ac:dyDescent="0.25">
      <c r="A305" s="3">
        <v>44452</v>
      </c>
      <c r="B305" t="s">
        <v>6</v>
      </c>
      <c r="C305">
        <v>95</v>
      </c>
      <c r="D305">
        <v>6675</v>
      </c>
      <c r="E305">
        <v>320</v>
      </c>
      <c r="F305">
        <v>6355</v>
      </c>
      <c r="G305">
        <v>5</v>
      </c>
      <c r="H305">
        <v>32768</v>
      </c>
      <c r="I305">
        <v>19</v>
      </c>
      <c r="J305" t="s">
        <v>1</v>
      </c>
      <c r="K305" t="s">
        <v>2</v>
      </c>
      <c r="L305" s="8">
        <f>UnilabUsage[[#This Row],[Used-MB]]-F295</f>
        <v>0</v>
      </c>
      <c r="M305">
        <f>UnilabUsage[[#This Row],[Max]]-UnilabUsage[[#This Row],[Used-MB]]</f>
        <v>26413</v>
      </c>
      <c r="N305" s="5">
        <f>IF($L305&gt;0,UnilabUsage[[#This Row],[Free-of-Max]]/UnilabUsage[[#This Row],[Usage-Delta-MB]],UnilabUsage[[#This Row],[Free-of-Max]])</f>
        <v>26413</v>
      </c>
    </row>
    <row r="306" spans="1:14" x14ac:dyDescent="0.25">
      <c r="A306" s="3">
        <v>44452</v>
      </c>
      <c r="B306" t="s">
        <v>3</v>
      </c>
      <c r="C306">
        <v>98</v>
      </c>
      <c r="D306">
        <v>377328</v>
      </c>
      <c r="E306">
        <v>6379</v>
      </c>
      <c r="F306">
        <v>370949</v>
      </c>
      <c r="G306">
        <v>2</v>
      </c>
      <c r="H306">
        <v>393216</v>
      </c>
      <c r="I306">
        <v>94</v>
      </c>
      <c r="J306" t="s">
        <v>1</v>
      </c>
      <c r="K306" t="s">
        <v>2</v>
      </c>
      <c r="L306" s="8">
        <f>UnilabUsage[[#This Row],[Used-MB]]-F296</f>
        <v>531</v>
      </c>
      <c r="M306">
        <f>UnilabUsage[[#This Row],[Max]]-UnilabUsage[[#This Row],[Used-MB]]</f>
        <v>22267</v>
      </c>
      <c r="N306" s="5">
        <f>IF($L306&gt;0,UnilabUsage[[#This Row],[Free-of-Max]]/UnilabUsage[[#This Row],[Usage-Delta-MB]],UnilabUsage[[#This Row],[Free-of-Max]])</f>
        <v>41.934086629001882</v>
      </c>
    </row>
    <row r="307" spans="1:14" x14ac:dyDescent="0.25">
      <c r="A307" s="3">
        <v>44452</v>
      </c>
      <c r="B307" t="s">
        <v>5</v>
      </c>
      <c r="C307">
        <v>95</v>
      </c>
      <c r="D307">
        <v>17650</v>
      </c>
      <c r="E307">
        <v>851</v>
      </c>
      <c r="F307">
        <v>16799</v>
      </c>
      <c r="G307">
        <v>5</v>
      </c>
      <c r="H307">
        <v>32768</v>
      </c>
      <c r="I307">
        <v>51</v>
      </c>
      <c r="J307" t="s">
        <v>1</v>
      </c>
      <c r="K307" t="s">
        <v>2</v>
      </c>
      <c r="L307" s="8">
        <f>UnilabUsage[[#This Row],[Used-MB]]-F297</f>
        <v>0</v>
      </c>
      <c r="M307">
        <f>UnilabUsage[[#This Row],[Max]]-UnilabUsage[[#This Row],[Used-MB]]</f>
        <v>15969</v>
      </c>
      <c r="N307" s="5">
        <f>IF($L307&gt;0,UnilabUsage[[#This Row],[Free-of-Max]]/UnilabUsage[[#This Row],[Usage-Delta-MB]],UnilabUsage[[#This Row],[Free-of-Max]])</f>
        <v>15969</v>
      </c>
    </row>
    <row r="308" spans="1:14" x14ac:dyDescent="0.25">
      <c r="A308" s="3">
        <v>44452</v>
      </c>
      <c r="B308" t="s">
        <v>8</v>
      </c>
      <c r="C308">
        <v>93</v>
      </c>
      <c r="D308">
        <v>262144</v>
      </c>
      <c r="E308">
        <v>18300</v>
      </c>
      <c r="F308">
        <v>243844</v>
      </c>
      <c r="G308">
        <v>7</v>
      </c>
      <c r="H308">
        <v>262144</v>
      </c>
      <c r="I308">
        <v>93</v>
      </c>
      <c r="J308" t="s">
        <v>1</v>
      </c>
      <c r="K308" t="s">
        <v>2</v>
      </c>
      <c r="L308" s="8">
        <f>UnilabUsage[[#This Row],[Used-MB]]-F298</f>
        <v>344</v>
      </c>
      <c r="M308">
        <f>UnilabUsage[[#This Row],[Max]]-UnilabUsage[[#This Row],[Used-MB]]</f>
        <v>18300</v>
      </c>
      <c r="N308" s="5">
        <f>IF($L308&gt;0,UnilabUsage[[#This Row],[Free-of-Max]]/UnilabUsage[[#This Row],[Usage-Delta-MB]],UnilabUsage[[#This Row],[Free-of-Max]])</f>
        <v>53.197674418604649</v>
      </c>
    </row>
    <row r="309" spans="1:14" x14ac:dyDescent="0.25">
      <c r="A309" s="3">
        <v>44452</v>
      </c>
      <c r="B309" t="s">
        <v>4</v>
      </c>
      <c r="C309">
        <v>95</v>
      </c>
      <c r="D309">
        <v>80853</v>
      </c>
      <c r="E309">
        <v>3962</v>
      </c>
      <c r="F309">
        <v>76891</v>
      </c>
      <c r="G309">
        <v>5</v>
      </c>
      <c r="H309">
        <v>98304</v>
      </c>
      <c r="I309">
        <v>78</v>
      </c>
      <c r="J309" t="s">
        <v>1</v>
      </c>
      <c r="K309" t="s">
        <v>2</v>
      </c>
      <c r="L309" s="8">
        <f>UnilabUsage[[#This Row],[Used-MB]]-F299</f>
        <v>64</v>
      </c>
      <c r="M309">
        <f>UnilabUsage[[#This Row],[Max]]-UnilabUsage[[#This Row],[Used-MB]]</f>
        <v>21413</v>
      </c>
      <c r="N309" s="5">
        <f>IF($L309&gt;0,UnilabUsage[[#This Row],[Free-of-Max]]/UnilabUsage[[#This Row],[Usage-Delta-MB]],UnilabUsage[[#This Row],[Free-of-Max]])</f>
        <v>334.578125</v>
      </c>
    </row>
    <row r="310" spans="1:14" x14ac:dyDescent="0.25">
      <c r="A310" s="3">
        <v>44452</v>
      </c>
      <c r="B310" t="s">
        <v>12</v>
      </c>
      <c r="C310">
        <v>0</v>
      </c>
      <c r="D310">
        <v>30720</v>
      </c>
      <c r="E310">
        <v>30663</v>
      </c>
      <c r="F310">
        <v>57</v>
      </c>
      <c r="G310">
        <v>100</v>
      </c>
      <c r="H310">
        <v>30720</v>
      </c>
      <c r="I310">
        <v>0</v>
      </c>
      <c r="J310" t="s">
        <v>1</v>
      </c>
      <c r="K310" t="s">
        <v>13</v>
      </c>
      <c r="L310" s="8">
        <f>UnilabUsage[[#This Row],[Used-MB]]-F300</f>
        <v>-43</v>
      </c>
      <c r="M310">
        <f>UnilabUsage[[#This Row],[Max]]-UnilabUsage[[#This Row],[Used-MB]]</f>
        <v>30663</v>
      </c>
      <c r="N310" s="5">
        <f>IF($L310&gt;0,UnilabUsage[[#This Row],[Free-of-Max]]/UnilabUsage[[#This Row],[Usage-Delta-MB]],UnilabUsage[[#This Row],[Free-of-Max]])</f>
        <v>30663</v>
      </c>
    </row>
    <row r="311" spans="1:14" x14ac:dyDescent="0.25">
      <c r="A311" s="3">
        <v>44452</v>
      </c>
      <c r="B311" t="s">
        <v>9</v>
      </c>
      <c r="C311">
        <v>2</v>
      </c>
      <c r="D311">
        <v>10440</v>
      </c>
      <c r="E311">
        <v>10262</v>
      </c>
      <c r="F311">
        <v>178</v>
      </c>
      <c r="G311">
        <v>98</v>
      </c>
      <c r="H311">
        <v>32768</v>
      </c>
      <c r="I311">
        <v>1</v>
      </c>
      <c r="J311" t="s">
        <v>1</v>
      </c>
      <c r="K311" t="s">
        <v>10</v>
      </c>
      <c r="L311" s="8">
        <f>UnilabUsage[[#This Row],[Used-MB]]-F301</f>
        <v>69</v>
      </c>
      <c r="M311">
        <f>UnilabUsage[[#This Row],[Max]]-UnilabUsage[[#This Row],[Used-MB]]</f>
        <v>32590</v>
      </c>
      <c r="N311" s="5">
        <f>IF($L311&gt;0,UnilabUsage[[#This Row],[Free-of-Max]]/UnilabUsage[[#This Row],[Usage-Delta-MB]],UnilabUsage[[#This Row],[Free-of-Max]])</f>
        <v>472.31884057971013</v>
      </c>
    </row>
    <row r="312" spans="1:14" x14ac:dyDescent="0.25">
      <c r="A312" s="3">
        <v>44459</v>
      </c>
      <c r="B312" t="s">
        <v>7</v>
      </c>
      <c r="C312">
        <v>95</v>
      </c>
      <c r="D312">
        <v>1350</v>
      </c>
      <c r="E312">
        <v>67</v>
      </c>
      <c r="F312">
        <v>1283</v>
      </c>
      <c r="G312">
        <v>5</v>
      </c>
      <c r="H312">
        <v>32768</v>
      </c>
      <c r="I312">
        <v>4</v>
      </c>
      <c r="J312" t="s">
        <v>1</v>
      </c>
      <c r="K312" t="s">
        <v>2</v>
      </c>
      <c r="L312" s="8">
        <f>UnilabUsage[[#This Row],[Used-MB]]-F302</f>
        <v>16</v>
      </c>
      <c r="M312">
        <f>UnilabUsage[[#This Row],[Max]]-UnilabUsage[[#This Row],[Used-MB]]</f>
        <v>31485</v>
      </c>
      <c r="N312" s="5">
        <f>IF($L312&gt;0,UnilabUsage[[#This Row],[Free-of-Max]]/UnilabUsage[[#This Row],[Usage-Delta-MB]],UnilabUsage[[#This Row],[Free-of-Max]])</f>
        <v>1967.8125</v>
      </c>
    </row>
    <row r="313" spans="1:14" x14ac:dyDescent="0.25">
      <c r="A313" s="3">
        <v>44459</v>
      </c>
      <c r="B313" t="s">
        <v>0</v>
      </c>
      <c r="C313">
        <v>100</v>
      </c>
      <c r="D313">
        <v>16550</v>
      </c>
      <c r="E313">
        <v>35</v>
      </c>
      <c r="F313">
        <v>16515</v>
      </c>
      <c r="G313">
        <v>0</v>
      </c>
      <c r="H313">
        <v>32768</v>
      </c>
      <c r="I313">
        <v>50</v>
      </c>
      <c r="J313" t="s">
        <v>1</v>
      </c>
      <c r="K313" t="s">
        <v>2</v>
      </c>
      <c r="L313" s="8">
        <f>UnilabUsage[[#This Row],[Used-MB]]-F303</f>
        <v>64</v>
      </c>
      <c r="M313">
        <f>UnilabUsage[[#This Row],[Max]]-UnilabUsage[[#This Row],[Used-MB]]</f>
        <v>16253</v>
      </c>
      <c r="N313" s="5">
        <f>IF($L313&gt;0,UnilabUsage[[#This Row],[Free-of-Max]]/UnilabUsage[[#This Row],[Usage-Delta-MB]],UnilabUsage[[#This Row],[Free-of-Max]])</f>
        <v>253.953125</v>
      </c>
    </row>
    <row r="314" spans="1:14" x14ac:dyDescent="0.25">
      <c r="A314" s="3">
        <v>44459</v>
      </c>
      <c r="B314" t="s">
        <v>11</v>
      </c>
      <c r="C314">
        <v>1</v>
      </c>
      <c r="D314">
        <v>100</v>
      </c>
      <c r="E314">
        <v>99</v>
      </c>
      <c r="F314">
        <v>1</v>
      </c>
      <c r="G314">
        <v>99</v>
      </c>
      <c r="H314">
        <v>32768</v>
      </c>
      <c r="I314">
        <v>0</v>
      </c>
      <c r="J314" t="s">
        <v>1</v>
      </c>
      <c r="K314" t="s">
        <v>2</v>
      </c>
      <c r="L314" s="8">
        <f>UnilabUsage[[#This Row],[Used-MB]]-F304</f>
        <v>0</v>
      </c>
      <c r="M314">
        <f>UnilabUsage[[#This Row],[Max]]-UnilabUsage[[#This Row],[Used-MB]]</f>
        <v>32767</v>
      </c>
      <c r="N314" s="5">
        <f>IF($L314&gt;0,UnilabUsage[[#This Row],[Free-of-Max]]/UnilabUsage[[#This Row],[Usage-Delta-MB]],UnilabUsage[[#This Row],[Free-of-Max]])</f>
        <v>32767</v>
      </c>
    </row>
    <row r="315" spans="1:14" x14ac:dyDescent="0.25">
      <c r="A315" s="3">
        <v>44459</v>
      </c>
      <c r="B315" t="s">
        <v>6</v>
      </c>
      <c r="C315">
        <v>95</v>
      </c>
      <c r="D315">
        <v>6705</v>
      </c>
      <c r="E315">
        <v>324</v>
      </c>
      <c r="F315">
        <v>6381</v>
      </c>
      <c r="G315">
        <v>5</v>
      </c>
      <c r="H315">
        <v>32768</v>
      </c>
      <c r="I315">
        <v>19</v>
      </c>
      <c r="J315" t="s">
        <v>1</v>
      </c>
      <c r="K315" t="s">
        <v>2</v>
      </c>
      <c r="L315" s="8">
        <f>UnilabUsage[[#This Row],[Used-MB]]-F305</f>
        <v>26</v>
      </c>
      <c r="M315">
        <f>UnilabUsage[[#This Row],[Max]]-UnilabUsage[[#This Row],[Used-MB]]</f>
        <v>26387</v>
      </c>
      <c r="N315" s="5">
        <f>IF($L315&gt;0,UnilabUsage[[#This Row],[Free-of-Max]]/UnilabUsage[[#This Row],[Usage-Delta-MB]],UnilabUsage[[#This Row],[Free-of-Max]])</f>
        <v>1014.8846153846154</v>
      </c>
    </row>
    <row r="316" spans="1:14" x14ac:dyDescent="0.25">
      <c r="A316" s="3">
        <v>44459</v>
      </c>
      <c r="B316" t="s">
        <v>3</v>
      </c>
      <c r="C316">
        <v>98</v>
      </c>
      <c r="D316">
        <v>377328</v>
      </c>
      <c r="E316">
        <v>5768</v>
      </c>
      <c r="F316">
        <v>371559</v>
      </c>
      <c r="G316">
        <v>2</v>
      </c>
      <c r="H316">
        <v>393216</v>
      </c>
      <c r="I316">
        <v>94</v>
      </c>
      <c r="J316" t="s">
        <v>1</v>
      </c>
      <c r="K316" t="s">
        <v>2</v>
      </c>
      <c r="L316" s="8">
        <f>UnilabUsage[[#This Row],[Used-MB]]-F306</f>
        <v>610</v>
      </c>
      <c r="M316">
        <f>UnilabUsage[[#This Row],[Max]]-UnilabUsage[[#This Row],[Used-MB]]</f>
        <v>21657</v>
      </c>
      <c r="N316" s="5">
        <f>IF($L316&gt;0,UnilabUsage[[#This Row],[Free-of-Max]]/UnilabUsage[[#This Row],[Usage-Delta-MB]],UnilabUsage[[#This Row],[Free-of-Max]])</f>
        <v>35.503278688524588</v>
      </c>
    </row>
    <row r="317" spans="1:14" x14ac:dyDescent="0.25">
      <c r="A317" s="3">
        <v>44459</v>
      </c>
      <c r="B317" t="s">
        <v>5</v>
      </c>
      <c r="C317">
        <v>95</v>
      </c>
      <c r="D317">
        <v>17700</v>
      </c>
      <c r="E317">
        <v>876</v>
      </c>
      <c r="F317">
        <v>16825</v>
      </c>
      <c r="G317">
        <v>5</v>
      </c>
      <c r="H317">
        <v>32768</v>
      </c>
      <c r="I317">
        <v>51</v>
      </c>
      <c r="J317" t="s">
        <v>1</v>
      </c>
      <c r="K317" t="s">
        <v>2</v>
      </c>
      <c r="L317" s="8">
        <f>UnilabUsage[[#This Row],[Used-MB]]-F307</f>
        <v>26</v>
      </c>
      <c r="M317">
        <f>UnilabUsage[[#This Row],[Max]]-UnilabUsage[[#This Row],[Used-MB]]</f>
        <v>15943</v>
      </c>
      <c r="N317" s="5">
        <f>IF($L317&gt;0,UnilabUsage[[#This Row],[Free-of-Max]]/UnilabUsage[[#This Row],[Usage-Delta-MB]],UnilabUsage[[#This Row],[Free-of-Max]])</f>
        <v>613.19230769230774</v>
      </c>
    </row>
    <row r="318" spans="1:14" x14ac:dyDescent="0.25">
      <c r="A318" s="3">
        <v>44459</v>
      </c>
      <c r="B318" t="s">
        <v>8</v>
      </c>
      <c r="C318">
        <v>93</v>
      </c>
      <c r="D318">
        <v>262144</v>
      </c>
      <c r="E318">
        <v>17705</v>
      </c>
      <c r="F318">
        <v>244439</v>
      </c>
      <c r="G318">
        <v>7</v>
      </c>
      <c r="H318">
        <v>262144</v>
      </c>
      <c r="I318">
        <v>93</v>
      </c>
      <c r="J318" t="s">
        <v>1</v>
      </c>
      <c r="K318" t="s">
        <v>2</v>
      </c>
      <c r="L318" s="8">
        <f>UnilabUsage[[#This Row],[Used-MB]]-F308</f>
        <v>595</v>
      </c>
      <c r="M318">
        <f>UnilabUsage[[#This Row],[Max]]-UnilabUsage[[#This Row],[Used-MB]]</f>
        <v>17705</v>
      </c>
      <c r="N318" s="5">
        <f>IF($L318&gt;0,UnilabUsage[[#This Row],[Free-of-Max]]/UnilabUsage[[#This Row],[Usage-Delta-MB]],UnilabUsage[[#This Row],[Free-of-Max]])</f>
        <v>29.756302521008404</v>
      </c>
    </row>
    <row r="319" spans="1:14" x14ac:dyDescent="0.25">
      <c r="A319" s="3">
        <v>44459</v>
      </c>
      <c r="B319" t="s">
        <v>4</v>
      </c>
      <c r="C319">
        <v>95</v>
      </c>
      <c r="D319">
        <v>80853</v>
      </c>
      <c r="E319">
        <v>3898</v>
      </c>
      <c r="F319">
        <v>76955</v>
      </c>
      <c r="G319">
        <v>5</v>
      </c>
      <c r="H319">
        <v>98304</v>
      </c>
      <c r="I319">
        <v>78</v>
      </c>
      <c r="J319" t="s">
        <v>1</v>
      </c>
      <c r="K319" t="s">
        <v>2</v>
      </c>
      <c r="L319" s="8">
        <f>UnilabUsage[[#This Row],[Used-MB]]-F309</f>
        <v>64</v>
      </c>
      <c r="M319">
        <f>UnilabUsage[[#This Row],[Max]]-UnilabUsage[[#This Row],[Used-MB]]</f>
        <v>21349</v>
      </c>
      <c r="N319" s="5">
        <f>IF($L319&gt;0,UnilabUsage[[#This Row],[Free-of-Max]]/UnilabUsage[[#This Row],[Usage-Delta-MB]],UnilabUsage[[#This Row],[Free-of-Max]])</f>
        <v>333.578125</v>
      </c>
    </row>
    <row r="320" spans="1:14" x14ac:dyDescent="0.25">
      <c r="A320" s="3">
        <v>44459</v>
      </c>
      <c r="B320" t="s">
        <v>12</v>
      </c>
      <c r="C320">
        <v>0</v>
      </c>
      <c r="D320">
        <v>30720</v>
      </c>
      <c r="E320">
        <v>30677</v>
      </c>
      <c r="F320">
        <v>43</v>
      </c>
      <c r="G320">
        <v>100</v>
      </c>
      <c r="H320">
        <v>30720</v>
      </c>
      <c r="I320">
        <v>0</v>
      </c>
      <c r="J320" t="s">
        <v>1</v>
      </c>
      <c r="K320" t="s">
        <v>13</v>
      </c>
      <c r="L320" s="8">
        <f>UnilabUsage[[#This Row],[Used-MB]]-F310</f>
        <v>-14</v>
      </c>
      <c r="M320">
        <f>UnilabUsage[[#This Row],[Max]]-UnilabUsage[[#This Row],[Used-MB]]</f>
        <v>30677</v>
      </c>
      <c r="N320" s="5">
        <f>IF($L320&gt;0,UnilabUsage[[#This Row],[Free-of-Max]]/UnilabUsage[[#This Row],[Usage-Delta-MB]],UnilabUsage[[#This Row],[Free-of-Max]])</f>
        <v>30677</v>
      </c>
    </row>
    <row r="321" spans="1:14" x14ac:dyDescent="0.25">
      <c r="A321" s="3">
        <v>44459</v>
      </c>
      <c r="B321" t="s">
        <v>9</v>
      </c>
      <c r="C321">
        <v>1</v>
      </c>
      <c r="D321">
        <v>10440</v>
      </c>
      <c r="E321">
        <v>10324</v>
      </c>
      <c r="F321">
        <v>116</v>
      </c>
      <c r="G321">
        <v>99</v>
      </c>
      <c r="H321">
        <v>32768</v>
      </c>
      <c r="I321">
        <v>0</v>
      </c>
      <c r="J321" t="s">
        <v>1</v>
      </c>
      <c r="K321" t="s">
        <v>10</v>
      </c>
      <c r="L321" s="8">
        <f>UnilabUsage[[#This Row],[Used-MB]]-F311</f>
        <v>-62</v>
      </c>
      <c r="M321">
        <f>UnilabUsage[[#This Row],[Max]]-UnilabUsage[[#This Row],[Used-MB]]</f>
        <v>32652</v>
      </c>
      <c r="N321" s="5">
        <f>IF($L321&gt;0,UnilabUsage[[#This Row],[Free-of-Max]]/UnilabUsage[[#This Row],[Usage-Delta-MB]],UnilabUsage[[#This Row],[Free-of-Max]])</f>
        <v>32652</v>
      </c>
    </row>
    <row r="322" spans="1:14" x14ac:dyDescent="0.25">
      <c r="A322" s="3">
        <v>44469</v>
      </c>
      <c r="B322" t="s">
        <v>7</v>
      </c>
      <c r="C322">
        <v>96</v>
      </c>
      <c r="D322">
        <v>1350</v>
      </c>
      <c r="E322">
        <v>59</v>
      </c>
      <c r="F322">
        <v>1291</v>
      </c>
      <c r="G322">
        <v>4</v>
      </c>
      <c r="H322">
        <v>32768</v>
      </c>
      <c r="I322">
        <v>4</v>
      </c>
      <c r="J322" t="s">
        <v>1</v>
      </c>
      <c r="K322" t="s">
        <v>2</v>
      </c>
      <c r="L322" s="8">
        <f>UnilabUsage[[#This Row],[Used-MB]]-F312</f>
        <v>8</v>
      </c>
      <c r="M322">
        <f>UnilabUsage[[#This Row],[Max]]-UnilabUsage[[#This Row],[Used-MB]]</f>
        <v>31477</v>
      </c>
      <c r="N322" s="5">
        <f>IF($L322&gt;0,UnilabUsage[[#This Row],[Free-of-Max]]/UnilabUsage[[#This Row],[Usage-Delta-MB]],UnilabUsage[[#This Row],[Free-of-Max]])</f>
        <v>3934.625</v>
      </c>
    </row>
    <row r="323" spans="1:14" x14ac:dyDescent="0.25">
      <c r="A323" s="3">
        <v>44469</v>
      </c>
      <c r="B323" t="s">
        <v>0</v>
      </c>
      <c r="C323">
        <v>100</v>
      </c>
      <c r="D323">
        <v>16650</v>
      </c>
      <c r="E323">
        <v>7</v>
      </c>
      <c r="F323">
        <v>16643</v>
      </c>
      <c r="G323">
        <v>0</v>
      </c>
      <c r="H323">
        <v>32768</v>
      </c>
      <c r="I323">
        <v>51</v>
      </c>
      <c r="J323" t="s">
        <v>1</v>
      </c>
      <c r="K323" t="s">
        <v>2</v>
      </c>
      <c r="L323" s="8">
        <f>UnilabUsage[[#This Row],[Used-MB]]-F313</f>
        <v>128</v>
      </c>
      <c r="M323">
        <f>UnilabUsage[[#This Row],[Max]]-UnilabUsage[[#This Row],[Used-MB]]</f>
        <v>16125</v>
      </c>
      <c r="N323" s="5">
        <f>IF($L323&gt;0,UnilabUsage[[#This Row],[Free-of-Max]]/UnilabUsage[[#This Row],[Usage-Delta-MB]],UnilabUsage[[#This Row],[Free-of-Max]])</f>
        <v>125.9765625</v>
      </c>
    </row>
    <row r="324" spans="1:14" x14ac:dyDescent="0.25">
      <c r="A324" s="3">
        <v>44469</v>
      </c>
      <c r="B324" t="s">
        <v>11</v>
      </c>
      <c r="C324">
        <v>1</v>
      </c>
      <c r="D324">
        <v>100</v>
      </c>
      <c r="E324">
        <v>99</v>
      </c>
      <c r="F324">
        <v>1</v>
      </c>
      <c r="G324">
        <v>99</v>
      </c>
      <c r="H324">
        <v>32768</v>
      </c>
      <c r="I324">
        <v>0</v>
      </c>
      <c r="J324" t="s">
        <v>1</v>
      </c>
      <c r="K324" t="s">
        <v>2</v>
      </c>
      <c r="L324" s="8">
        <f>UnilabUsage[[#This Row],[Used-MB]]-F314</f>
        <v>0</v>
      </c>
      <c r="M324">
        <f>UnilabUsage[[#This Row],[Max]]-UnilabUsage[[#This Row],[Used-MB]]</f>
        <v>32767</v>
      </c>
      <c r="N324" s="5">
        <f>IF($L324&gt;0,UnilabUsage[[#This Row],[Free-of-Max]]/UnilabUsage[[#This Row],[Usage-Delta-MB]],UnilabUsage[[#This Row],[Free-of-Max]])</f>
        <v>32767</v>
      </c>
    </row>
    <row r="325" spans="1:14" x14ac:dyDescent="0.25">
      <c r="A325" s="3">
        <v>44469</v>
      </c>
      <c r="B325" t="s">
        <v>6</v>
      </c>
      <c r="C325">
        <v>95</v>
      </c>
      <c r="D325">
        <v>6735</v>
      </c>
      <c r="E325">
        <v>327</v>
      </c>
      <c r="F325">
        <v>6408</v>
      </c>
      <c r="G325">
        <v>5</v>
      </c>
      <c r="H325">
        <v>32768</v>
      </c>
      <c r="I325">
        <v>20</v>
      </c>
      <c r="J325" t="s">
        <v>1</v>
      </c>
      <c r="K325" t="s">
        <v>2</v>
      </c>
      <c r="L325" s="8">
        <f>UnilabUsage[[#This Row],[Used-MB]]-F315</f>
        <v>27</v>
      </c>
      <c r="M325">
        <f>UnilabUsage[[#This Row],[Max]]-UnilabUsage[[#This Row],[Used-MB]]</f>
        <v>26360</v>
      </c>
      <c r="N325" s="5">
        <f>IF($L325&gt;0,UnilabUsage[[#This Row],[Free-of-Max]]/UnilabUsage[[#This Row],[Usage-Delta-MB]],UnilabUsage[[#This Row],[Free-of-Max]])</f>
        <v>976.2962962962963</v>
      </c>
    </row>
    <row r="326" spans="1:14" x14ac:dyDescent="0.25">
      <c r="A326" s="3">
        <v>44469</v>
      </c>
      <c r="B326" t="s">
        <v>3</v>
      </c>
      <c r="C326">
        <v>99</v>
      </c>
      <c r="D326">
        <v>377328</v>
      </c>
      <c r="E326">
        <v>4958</v>
      </c>
      <c r="F326">
        <v>372370</v>
      </c>
      <c r="G326">
        <v>1</v>
      </c>
      <c r="H326">
        <v>393216</v>
      </c>
      <c r="I326">
        <v>95</v>
      </c>
      <c r="J326" t="s">
        <v>1</v>
      </c>
      <c r="K326" t="s">
        <v>2</v>
      </c>
      <c r="L326" s="8">
        <f>UnilabUsage[[#This Row],[Used-MB]]-F316</f>
        <v>811</v>
      </c>
      <c r="M326">
        <f>UnilabUsage[[#This Row],[Max]]-UnilabUsage[[#This Row],[Used-MB]]</f>
        <v>20846</v>
      </c>
      <c r="N326" s="5">
        <f>IF($L326&gt;0,UnilabUsage[[#This Row],[Free-of-Max]]/UnilabUsage[[#This Row],[Usage-Delta-MB]],UnilabUsage[[#This Row],[Free-of-Max]])</f>
        <v>25.704069050554871</v>
      </c>
    </row>
    <row r="327" spans="1:14" x14ac:dyDescent="0.25">
      <c r="A327" s="3">
        <v>44469</v>
      </c>
      <c r="B327" t="s">
        <v>5</v>
      </c>
      <c r="C327">
        <v>95</v>
      </c>
      <c r="D327">
        <v>17900</v>
      </c>
      <c r="E327">
        <v>887</v>
      </c>
      <c r="F327">
        <v>17013</v>
      </c>
      <c r="G327">
        <v>5</v>
      </c>
      <c r="H327">
        <v>32768</v>
      </c>
      <c r="I327">
        <v>52</v>
      </c>
      <c r="J327" t="s">
        <v>1</v>
      </c>
      <c r="K327" t="s">
        <v>2</v>
      </c>
      <c r="L327" s="8">
        <f>UnilabUsage[[#This Row],[Used-MB]]-F317</f>
        <v>188</v>
      </c>
      <c r="M327">
        <f>UnilabUsage[[#This Row],[Max]]-UnilabUsage[[#This Row],[Used-MB]]</f>
        <v>15755</v>
      </c>
      <c r="N327" s="5">
        <f>IF($L327&gt;0,UnilabUsage[[#This Row],[Free-of-Max]]/UnilabUsage[[#This Row],[Usage-Delta-MB]],UnilabUsage[[#This Row],[Free-of-Max]])</f>
        <v>83.803191489361708</v>
      </c>
    </row>
    <row r="328" spans="1:14" x14ac:dyDescent="0.25">
      <c r="A328" s="3">
        <v>44469</v>
      </c>
      <c r="B328" t="s">
        <v>8</v>
      </c>
      <c r="C328">
        <v>93</v>
      </c>
      <c r="D328">
        <v>262144</v>
      </c>
      <c r="E328">
        <v>17172</v>
      </c>
      <c r="F328">
        <v>244972</v>
      </c>
      <c r="G328">
        <v>7</v>
      </c>
      <c r="H328">
        <v>262144</v>
      </c>
      <c r="I328">
        <v>93</v>
      </c>
      <c r="J328" t="s">
        <v>1</v>
      </c>
      <c r="K328" t="s">
        <v>2</v>
      </c>
      <c r="L328" s="8">
        <f>UnilabUsage[[#This Row],[Used-MB]]-F318</f>
        <v>533</v>
      </c>
      <c r="M328">
        <f>UnilabUsage[[#This Row],[Max]]-UnilabUsage[[#This Row],[Used-MB]]</f>
        <v>17172</v>
      </c>
      <c r="N328" s="5">
        <f>IF($L328&gt;0,UnilabUsage[[#This Row],[Free-of-Max]]/UnilabUsage[[#This Row],[Usage-Delta-MB]],UnilabUsage[[#This Row],[Free-of-Max]])</f>
        <v>32.217636022514071</v>
      </c>
    </row>
    <row r="329" spans="1:14" x14ac:dyDescent="0.25">
      <c r="A329" s="3">
        <v>44469</v>
      </c>
      <c r="B329" t="s">
        <v>4</v>
      </c>
      <c r="C329">
        <v>96</v>
      </c>
      <c r="D329">
        <v>80853</v>
      </c>
      <c r="E329">
        <v>3578</v>
      </c>
      <c r="F329">
        <v>77275</v>
      </c>
      <c r="G329">
        <v>4</v>
      </c>
      <c r="H329">
        <v>98304</v>
      </c>
      <c r="I329">
        <v>79</v>
      </c>
      <c r="J329" t="s">
        <v>1</v>
      </c>
      <c r="K329" t="s">
        <v>2</v>
      </c>
      <c r="L329" s="8">
        <f>UnilabUsage[[#This Row],[Used-MB]]-F319</f>
        <v>320</v>
      </c>
      <c r="M329">
        <f>UnilabUsage[[#This Row],[Max]]-UnilabUsage[[#This Row],[Used-MB]]</f>
        <v>21029</v>
      </c>
      <c r="N329" s="5">
        <f>IF($L329&gt;0,UnilabUsage[[#This Row],[Free-of-Max]]/UnilabUsage[[#This Row],[Usage-Delta-MB]],UnilabUsage[[#This Row],[Free-of-Max]])</f>
        <v>65.715625000000003</v>
      </c>
    </row>
    <row r="330" spans="1:14" x14ac:dyDescent="0.25">
      <c r="A330" s="3">
        <v>44469</v>
      </c>
      <c r="B330" t="s">
        <v>12</v>
      </c>
      <c r="C330">
        <v>0</v>
      </c>
      <c r="D330">
        <v>30720</v>
      </c>
      <c r="E330">
        <v>30636</v>
      </c>
      <c r="F330">
        <v>84</v>
      </c>
      <c r="G330">
        <v>100</v>
      </c>
      <c r="H330">
        <v>30720</v>
      </c>
      <c r="I330">
        <v>0</v>
      </c>
      <c r="J330" t="s">
        <v>1</v>
      </c>
      <c r="K330" t="s">
        <v>13</v>
      </c>
      <c r="L330" s="8">
        <f>UnilabUsage[[#This Row],[Used-MB]]-F320</f>
        <v>41</v>
      </c>
      <c r="M330">
        <f>UnilabUsage[[#This Row],[Max]]-UnilabUsage[[#This Row],[Used-MB]]</f>
        <v>30636</v>
      </c>
      <c r="N330" s="5">
        <f>IF($L330&gt;0,UnilabUsage[[#This Row],[Free-of-Max]]/UnilabUsage[[#This Row],[Usage-Delta-MB]],UnilabUsage[[#This Row],[Free-of-Max]])</f>
        <v>747.21951219512198</v>
      </c>
    </row>
    <row r="331" spans="1:14" x14ac:dyDescent="0.25">
      <c r="A331" s="3">
        <v>44469</v>
      </c>
      <c r="B331" t="s">
        <v>9</v>
      </c>
      <c r="C331">
        <v>1</v>
      </c>
      <c r="D331">
        <v>10440</v>
      </c>
      <c r="E331">
        <v>10312</v>
      </c>
      <c r="F331">
        <v>128</v>
      </c>
      <c r="G331">
        <v>99</v>
      </c>
      <c r="H331">
        <v>32768</v>
      </c>
      <c r="I331">
        <v>0</v>
      </c>
      <c r="J331" t="s">
        <v>1</v>
      </c>
      <c r="K331" t="s">
        <v>10</v>
      </c>
      <c r="L331" s="8">
        <f>UnilabUsage[[#This Row],[Used-MB]]-F321</f>
        <v>12</v>
      </c>
      <c r="M331">
        <f>UnilabUsage[[#This Row],[Max]]-UnilabUsage[[#This Row],[Used-MB]]</f>
        <v>32640</v>
      </c>
      <c r="N331" s="5">
        <f>IF($L331&gt;0,UnilabUsage[[#This Row],[Free-of-Max]]/UnilabUsage[[#This Row],[Usage-Delta-MB]],UnilabUsage[[#This Row],[Free-of-Max]])</f>
        <v>2720</v>
      </c>
    </row>
    <row r="332" spans="1:14" x14ac:dyDescent="0.25">
      <c r="A332" s="3">
        <v>44473</v>
      </c>
      <c r="B332" t="s">
        <v>7</v>
      </c>
      <c r="C332">
        <v>95</v>
      </c>
      <c r="D332">
        <v>1370</v>
      </c>
      <c r="E332">
        <v>70</v>
      </c>
      <c r="F332">
        <v>1300</v>
      </c>
      <c r="G332">
        <v>5</v>
      </c>
      <c r="H332">
        <v>32768</v>
      </c>
      <c r="I332">
        <v>4</v>
      </c>
      <c r="J332" t="s">
        <v>1</v>
      </c>
      <c r="K332" t="s">
        <v>2</v>
      </c>
      <c r="L332" s="8">
        <f>UnilabUsage[[#This Row],[Used-MB]]-F322</f>
        <v>9</v>
      </c>
      <c r="M332">
        <f>UnilabUsage[[#This Row],[Max]]-UnilabUsage[[#This Row],[Used-MB]]</f>
        <v>31468</v>
      </c>
      <c r="N332" s="5">
        <f>IF($L332&gt;0,UnilabUsage[[#This Row],[Free-of-Max]]/UnilabUsage[[#This Row],[Usage-Delta-MB]],UnilabUsage[[#This Row],[Free-of-Max]])</f>
        <v>3496.4444444444443</v>
      </c>
    </row>
    <row r="333" spans="1:14" x14ac:dyDescent="0.25">
      <c r="A333" s="3">
        <v>44473</v>
      </c>
      <c r="B333" t="s">
        <v>0</v>
      </c>
      <c r="C333">
        <v>100</v>
      </c>
      <c r="D333">
        <v>16650</v>
      </c>
      <c r="E333">
        <v>7</v>
      </c>
      <c r="F333">
        <v>16643</v>
      </c>
      <c r="G333">
        <v>0</v>
      </c>
      <c r="H333">
        <v>32768</v>
      </c>
      <c r="I333">
        <v>51</v>
      </c>
      <c r="J333" t="s">
        <v>1</v>
      </c>
      <c r="K333" t="s">
        <v>2</v>
      </c>
      <c r="L333" s="8">
        <f>UnilabUsage[[#This Row],[Used-MB]]-F323</f>
        <v>0</v>
      </c>
      <c r="M333">
        <f>UnilabUsage[[#This Row],[Max]]-UnilabUsage[[#This Row],[Used-MB]]</f>
        <v>16125</v>
      </c>
      <c r="N333" s="5">
        <f>IF($L333&gt;0,UnilabUsage[[#This Row],[Free-of-Max]]/UnilabUsage[[#This Row],[Usage-Delta-MB]],UnilabUsage[[#This Row],[Free-of-Max]])</f>
        <v>16125</v>
      </c>
    </row>
    <row r="334" spans="1:14" x14ac:dyDescent="0.25">
      <c r="A334" s="3">
        <v>44473</v>
      </c>
      <c r="B334" t="s">
        <v>11</v>
      </c>
      <c r="C334">
        <v>1</v>
      </c>
      <c r="D334">
        <v>100</v>
      </c>
      <c r="E334">
        <v>99</v>
      </c>
      <c r="F334">
        <v>1</v>
      </c>
      <c r="G334">
        <v>99</v>
      </c>
      <c r="H334">
        <v>32768</v>
      </c>
      <c r="I334">
        <v>0</v>
      </c>
      <c r="J334" t="s">
        <v>1</v>
      </c>
      <c r="K334" t="s">
        <v>2</v>
      </c>
      <c r="L334" s="8">
        <f>UnilabUsage[[#This Row],[Used-MB]]-F324</f>
        <v>0</v>
      </c>
      <c r="M334">
        <f>UnilabUsage[[#This Row],[Max]]-UnilabUsage[[#This Row],[Used-MB]]</f>
        <v>32767</v>
      </c>
      <c r="N334" s="5">
        <f>IF($L334&gt;0,UnilabUsage[[#This Row],[Free-of-Max]]/UnilabUsage[[#This Row],[Usage-Delta-MB]],UnilabUsage[[#This Row],[Free-of-Max]])</f>
        <v>32767</v>
      </c>
    </row>
    <row r="335" spans="1:14" x14ac:dyDescent="0.25">
      <c r="A335" s="3">
        <v>44473</v>
      </c>
      <c r="B335" t="s">
        <v>6</v>
      </c>
      <c r="C335">
        <v>95</v>
      </c>
      <c r="D335">
        <v>6745</v>
      </c>
      <c r="E335">
        <v>329</v>
      </c>
      <c r="F335">
        <v>6416</v>
      </c>
      <c r="G335">
        <v>5</v>
      </c>
      <c r="H335">
        <v>32768</v>
      </c>
      <c r="I335">
        <v>20</v>
      </c>
      <c r="J335" t="s">
        <v>1</v>
      </c>
      <c r="K335" t="s">
        <v>2</v>
      </c>
      <c r="L335" s="8">
        <f>UnilabUsage[[#This Row],[Used-MB]]-F325</f>
        <v>8</v>
      </c>
      <c r="M335">
        <f>UnilabUsage[[#This Row],[Max]]-UnilabUsage[[#This Row],[Used-MB]]</f>
        <v>26352</v>
      </c>
      <c r="N335" s="5">
        <f>IF($L335&gt;0,UnilabUsage[[#This Row],[Free-of-Max]]/UnilabUsage[[#This Row],[Usage-Delta-MB]],UnilabUsage[[#This Row],[Free-of-Max]])</f>
        <v>3294</v>
      </c>
    </row>
    <row r="336" spans="1:14" x14ac:dyDescent="0.25">
      <c r="A336" s="3">
        <v>44473</v>
      </c>
      <c r="B336" t="s">
        <v>3</v>
      </c>
      <c r="C336">
        <v>99</v>
      </c>
      <c r="D336">
        <v>377328</v>
      </c>
      <c r="E336">
        <v>4830</v>
      </c>
      <c r="F336">
        <v>372498</v>
      </c>
      <c r="G336">
        <v>1</v>
      </c>
      <c r="H336">
        <v>393216</v>
      </c>
      <c r="I336">
        <v>95</v>
      </c>
      <c r="J336" t="s">
        <v>1</v>
      </c>
      <c r="K336" t="s">
        <v>2</v>
      </c>
      <c r="L336" s="8">
        <f>UnilabUsage[[#This Row],[Used-MB]]-F326</f>
        <v>128</v>
      </c>
      <c r="M336">
        <f>UnilabUsage[[#This Row],[Max]]-UnilabUsage[[#This Row],[Used-MB]]</f>
        <v>20718</v>
      </c>
      <c r="N336" s="5">
        <f>IF($L336&gt;0,UnilabUsage[[#This Row],[Free-of-Max]]/UnilabUsage[[#This Row],[Usage-Delta-MB]],UnilabUsage[[#This Row],[Free-of-Max]])</f>
        <v>161.859375</v>
      </c>
    </row>
    <row r="337" spans="1:14" x14ac:dyDescent="0.25">
      <c r="A337" s="3">
        <v>44473</v>
      </c>
      <c r="B337" t="s">
        <v>5</v>
      </c>
      <c r="C337">
        <v>95</v>
      </c>
      <c r="D337">
        <v>17900</v>
      </c>
      <c r="E337">
        <v>887</v>
      </c>
      <c r="F337">
        <v>17013</v>
      </c>
      <c r="G337">
        <v>5</v>
      </c>
      <c r="H337">
        <v>32768</v>
      </c>
      <c r="I337">
        <v>52</v>
      </c>
      <c r="J337" t="s">
        <v>1</v>
      </c>
      <c r="K337" t="s">
        <v>2</v>
      </c>
      <c r="L337" s="8">
        <f>UnilabUsage[[#This Row],[Used-MB]]-F327</f>
        <v>0</v>
      </c>
      <c r="M337">
        <f>UnilabUsage[[#This Row],[Max]]-UnilabUsage[[#This Row],[Used-MB]]</f>
        <v>15755</v>
      </c>
      <c r="N337" s="5">
        <f>IF($L337&gt;0,UnilabUsage[[#This Row],[Free-of-Max]]/UnilabUsage[[#This Row],[Usage-Delta-MB]],UnilabUsage[[#This Row],[Free-of-Max]])</f>
        <v>15755</v>
      </c>
    </row>
    <row r="338" spans="1:14" x14ac:dyDescent="0.25">
      <c r="A338" s="3">
        <v>44473</v>
      </c>
      <c r="B338" t="s">
        <v>8</v>
      </c>
      <c r="C338">
        <v>93</v>
      </c>
      <c r="D338">
        <v>262144</v>
      </c>
      <c r="E338">
        <v>17108</v>
      </c>
      <c r="F338">
        <v>245036</v>
      </c>
      <c r="G338">
        <v>7</v>
      </c>
      <c r="H338">
        <v>262144</v>
      </c>
      <c r="I338">
        <v>93</v>
      </c>
      <c r="J338" t="s">
        <v>1</v>
      </c>
      <c r="K338" t="s">
        <v>2</v>
      </c>
      <c r="L338" s="8">
        <f>UnilabUsage[[#This Row],[Used-MB]]-F328</f>
        <v>64</v>
      </c>
      <c r="M338">
        <f>UnilabUsage[[#This Row],[Max]]-UnilabUsage[[#This Row],[Used-MB]]</f>
        <v>17108</v>
      </c>
      <c r="N338" s="5">
        <f>IF($L338&gt;0,UnilabUsage[[#This Row],[Free-of-Max]]/UnilabUsage[[#This Row],[Usage-Delta-MB]],UnilabUsage[[#This Row],[Free-of-Max]])</f>
        <v>267.3125</v>
      </c>
    </row>
    <row r="339" spans="1:14" x14ac:dyDescent="0.25">
      <c r="A339" s="3">
        <v>44473</v>
      </c>
      <c r="B339" t="s">
        <v>4</v>
      </c>
      <c r="C339">
        <v>96</v>
      </c>
      <c r="D339">
        <v>80853</v>
      </c>
      <c r="E339">
        <v>3515</v>
      </c>
      <c r="F339">
        <v>77338</v>
      </c>
      <c r="G339">
        <v>4</v>
      </c>
      <c r="H339">
        <v>98304</v>
      </c>
      <c r="I339">
        <v>79</v>
      </c>
      <c r="J339" t="s">
        <v>1</v>
      </c>
      <c r="K339" t="s">
        <v>2</v>
      </c>
      <c r="L339" s="8">
        <f>UnilabUsage[[#This Row],[Used-MB]]-F329</f>
        <v>63</v>
      </c>
      <c r="M339">
        <f>UnilabUsage[[#This Row],[Max]]-UnilabUsage[[#This Row],[Used-MB]]</f>
        <v>20966</v>
      </c>
      <c r="N339" s="5">
        <f>IF($L339&gt;0,UnilabUsage[[#This Row],[Free-of-Max]]/UnilabUsage[[#This Row],[Usage-Delta-MB]],UnilabUsage[[#This Row],[Free-of-Max]])</f>
        <v>332.79365079365078</v>
      </c>
    </row>
    <row r="340" spans="1:14" x14ac:dyDescent="0.25">
      <c r="A340" s="3">
        <v>44473</v>
      </c>
      <c r="B340" t="s">
        <v>12</v>
      </c>
      <c r="C340">
        <v>0</v>
      </c>
      <c r="D340">
        <v>30720</v>
      </c>
      <c r="E340">
        <v>30649</v>
      </c>
      <c r="F340">
        <v>71</v>
      </c>
      <c r="G340">
        <v>100</v>
      </c>
      <c r="H340">
        <v>30720</v>
      </c>
      <c r="I340">
        <v>0</v>
      </c>
      <c r="J340" t="s">
        <v>1</v>
      </c>
      <c r="K340" t="s">
        <v>13</v>
      </c>
      <c r="L340" s="8">
        <f>UnilabUsage[[#This Row],[Used-MB]]-F330</f>
        <v>-13</v>
      </c>
      <c r="M340">
        <f>UnilabUsage[[#This Row],[Max]]-UnilabUsage[[#This Row],[Used-MB]]</f>
        <v>30649</v>
      </c>
      <c r="N340" s="5">
        <f>IF($L340&gt;0,UnilabUsage[[#This Row],[Free-of-Max]]/UnilabUsage[[#This Row],[Usage-Delta-MB]],UnilabUsage[[#This Row],[Free-of-Max]])</f>
        <v>30649</v>
      </c>
    </row>
    <row r="341" spans="1:14" x14ac:dyDescent="0.25">
      <c r="A341" s="3">
        <v>44473</v>
      </c>
      <c r="B341" t="s">
        <v>9</v>
      </c>
      <c r="C341">
        <v>1</v>
      </c>
      <c r="D341">
        <v>10440</v>
      </c>
      <c r="E341">
        <v>10295</v>
      </c>
      <c r="F341">
        <v>145</v>
      </c>
      <c r="G341">
        <v>99</v>
      </c>
      <c r="H341">
        <v>32768</v>
      </c>
      <c r="I341">
        <v>0</v>
      </c>
      <c r="J341" t="s">
        <v>1</v>
      </c>
      <c r="K341" t="s">
        <v>10</v>
      </c>
      <c r="L341" s="8">
        <f>UnilabUsage[[#This Row],[Used-MB]]-F331</f>
        <v>17</v>
      </c>
      <c r="M341">
        <f>UnilabUsage[[#This Row],[Max]]-UnilabUsage[[#This Row],[Used-MB]]</f>
        <v>32623</v>
      </c>
      <c r="N341" s="5">
        <f>IF($L341&gt;0,UnilabUsage[[#This Row],[Free-of-Max]]/UnilabUsage[[#This Row],[Usage-Delta-MB]],UnilabUsage[[#This Row],[Free-of-Max]])</f>
        <v>1919</v>
      </c>
    </row>
    <row r="342" spans="1:14" x14ac:dyDescent="0.25">
      <c r="A342" s="3">
        <v>44480</v>
      </c>
      <c r="B342" t="s">
        <v>7</v>
      </c>
      <c r="C342">
        <v>95</v>
      </c>
      <c r="D342">
        <v>1390</v>
      </c>
      <c r="E342">
        <v>75</v>
      </c>
      <c r="F342">
        <v>1315</v>
      </c>
      <c r="G342">
        <v>5</v>
      </c>
      <c r="H342">
        <v>32768</v>
      </c>
      <c r="I342">
        <v>4</v>
      </c>
      <c r="J342" t="s">
        <v>1</v>
      </c>
      <c r="K342" t="s">
        <v>2</v>
      </c>
      <c r="L342" s="8">
        <f>UnilabUsage[[#This Row],[Used-MB]]-F332</f>
        <v>15</v>
      </c>
      <c r="M342">
        <f>UnilabUsage[[#This Row],[Max]]-UnilabUsage[[#This Row],[Used-MB]]</f>
        <v>31453</v>
      </c>
      <c r="N342" s="5">
        <f>IF($L342&gt;0,UnilabUsage[[#This Row],[Free-of-Max]]/UnilabUsage[[#This Row],[Usage-Delta-MB]],UnilabUsage[[#This Row],[Free-of-Max]])</f>
        <v>2096.8666666666668</v>
      </c>
    </row>
    <row r="343" spans="1:14" x14ac:dyDescent="0.25">
      <c r="A343" s="3">
        <v>44480</v>
      </c>
      <c r="B343" t="s">
        <v>0</v>
      </c>
      <c r="C343">
        <v>100</v>
      </c>
      <c r="D343">
        <v>16750</v>
      </c>
      <c r="E343">
        <v>43</v>
      </c>
      <c r="F343">
        <v>16707</v>
      </c>
      <c r="G343">
        <v>0</v>
      </c>
      <c r="H343">
        <v>32768</v>
      </c>
      <c r="I343">
        <v>51</v>
      </c>
      <c r="J343" t="s">
        <v>1</v>
      </c>
      <c r="K343" t="s">
        <v>2</v>
      </c>
      <c r="L343" s="8">
        <f>UnilabUsage[[#This Row],[Used-MB]]-F333</f>
        <v>64</v>
      </c>
      <c r="M343">
        <f>UnilabUsage[[#This Row],[Max]]-UnilabUsage[[#This Row],[Used-MB]]</f>
        <v>16061</v>
      </c>
      <c r="N343" s="5">
        <f>IF($L343&gt;0,UnilabUsage[[#This Row],[Free-of-Max]]/UnilabUsage[[#This Row],[Usage-Delta-MB]],UnilabUsage[[#This Row],[Free-of-Max]])</f>
        <v>250.953125</v>
      </c>
    </row>
    <row r="344" spans="1:14" x14ac:dyDescent="0.25">
      <c r="A344" s="3">
        <v>44480</v>
      </c>
      <c r="B344" t="s">
        <v>11</v>
      </c>
      <c r="C344">
        <v>1</v>
      </c>
      <c r="D344">
        <v>100</v>
      </c>
      <c r="E344">
        <v>99</v>
      </c>
      <c r="F344">
        <v>1</v>
      </c>
      <c r="G344">
        <v>99</v>
      </c>
      <c r="H344">
        <v>32768</v>
      </c>
      <c r="I344">
        <v>0</v>
      </c>
      <c r="J344" t="s">
        <v>1</v>
      </c>
      <c r="K344" t="s">
        <v>2</v>
      </c>
      <c r="L344" s="8">
        <f>UnilabUsage[[#This Row],[Used-MB]]-F334</f>
        <v>0</v>
      </c>
      <c r="M344">
        <f>UnilabUsage[[#This Row],[Max]]-UnilabUsage[[#This Row],[Used-MB]]</f>
        <v>32767</v>
      </c>
      <c r="N344" s="5">
        <f>IF($L344&gt;0,UnilabUsage[[#This Row],[Free-of-Max]]/UnilabUsage[[#This Row],[Usage-Delta-MB]],UnilabUsage[[#This Row],[Free-of-Max]])</f>
        <v>32767</v>
      </c>
    </row>
    <row r="345" spans="1:14" x14ac:dyDescent="0.25">
      <c r="A345" s="3">
        <v>44480</v>
      </c>
      <c r="B345" t="s">
        <v>6</v>
      </c>
      <c r="C345">
        <v>95</v>
      </c>
      <c r="D345">
        <v>6745</v>
      </c>
      <c r="E345">
        <v>329</v>
      </c>
      <c r="F345">
        <v>6416</v>
      </c>
      <c r="G345">
        <v>5</v>
      </c>
      <c r="H345">
        <v>32768</v>
      </c>
      <c r="I345">
        <v>20</v>
      </c>
      <c r="J345" t="s">
        <v>1</v>
      </c>
      <c r="K345" t="s">
        <v>2</v>
      </c>
      <c r="L345" s="8">
        <f>UnilabUsage[[#This Row],[Used-MB]]-F335</f>
        <v>0</v>
      </c>
      <c r="M345">
        <f>UnilabUsage[[#This Row],[Max]]-UnilabUsage[[#This Row],[Used-MB]]</f>
        <v>26352</v>
      </c>
      <c r="N345" s="5">
        <f>IF($L345&gt;0,UnilabUsage[[#This Row],[Free-of-Max]]/UnilabUsage[[#This Row],[Usage-Delta-MB]],UnilabUsage[[#This Row],[Free-of-Max]])</f>
        <v>26352</v>
      </c>
    </row>
    <row r="346" spans="1:14" x14ac:dyDescent="0.25">
      <c r="A346" s="3">
        <v>44480</v>
      </c>
      <c r="B346" t="s">
        <v>3</v>
      </c>
      <c r="C346">
        <v>99</v>
      </c>
      <c r="D346">
        <v>377328</v>
      </c>
      <c r="E346">
        <v>4476</v>
      </c>
      <c r="F346">
        <v>372852</v>
      </c>
      <c r="G346">
        <v>1</v>
      </c>
      <c r="H346">
        <v>393216</v>
      </c>
      <c r="I346">
        <v>95</v>
      </c>
      <c r="J346" t="s">
        <v>1</v>
      </c>
      <c r="K346" t="s">
        <v>2</v>
      </c>
      <c r="L346" s="8">
        <f>UnilabUsage[[#This Row],[Used-MB]]-F336</f>
        <v>354</v>
      </c>
      <c r="M346">
        <f>UnilabUsage[[#This Row],[Max]]-UnilabUsage[[#This Row],[Used-MB]]</f>
        <v>20364</v>
      </c>
      <c r="N346" s="5">
        <f>IF($L346&gt;0,UnilabUsage[[#This Row],[Free-of-Max]]/UnilabUsage[[#This Row],[Usage-Delta-MB]],UnilabUsage[[#This Row],[Free-of-Max]])</f>
        <v>57.525423728813557</v>
      </c>
    </row>
    <row r="347" spans="1:14" x14ac:dyDescent="0.25">
      <c r="A347" s="3">
        <v>44480</v>
      </c>
      <c r="B347" t="s">
        <v>5</v>
      </c>
      <c r="C347">
        <v>95</v>
      </c>
      <c r="D347">
        <v>17900</v>
      </c>
      <c r="E347">
        <v>886</v>
      </c>
      <c r="F347">
        <v>17014</v>
      </c>
      <c r="G347">
        <v>5</v>
      </c>
      <c r="H347">
        <v>32768</v>
      </c>
      <c r="I347">
        <v>52</v>
      </c>
      <c r="J347" t="s">
        <v>1</v>
      </c>
      <c r="K347" t="s">
        <v>2</v>
      </c>
      <c r="L347" s="8">
        <f>UnilabUsage[[#This Row],[Used-MB]]-F337</f>
        <v>1</v>
      </c>
      <c r="M347">
        <f>UnilabUsage[[#This Row],[Max]]-UnilabUsage[[#This Row],[Used-MB]]</f>
        <v>15754</v>
      </c>
      <c r="N347" s="5">
        <f>IF($L347&gt;0,UnilabUsage[[#This Row],[Free-of-Max]]/UnilabUsage[[#This Row],[Usage-Delta-MB]],UnilabUsage[[#This Row],[Free-of-Max]])</f>
        <v>15754</v>
      </c>
    </row>
    <row r="348" spans="1:14" x14ac:dyDescent="0.25">
      <c r="A348" s="3">
        <v>44480</v>
      </c>
      <c r="B348" t="s">
        <v>8</v>
      </c>
      <c r="C348">
        <v>94</v>
      </c>
      <c r="D348">
        <v>262144</v>
      </c>
      <c r="E348">
        <v>16559</v>
      </c>
      <c r="F348">
        <v>245585</v>
      </c>
      <c r="G348">
        <v>6</v>
      </c>
      <c r="H348">
        <v>262144</v>
      </c>
      <c r="I348">
        <v>94</v>
      </c>
      <c r="J348" t="s">
        <v>1</v>
      </c>
      <c r="K348" t="s">
        <v>2</v>
      </c>
      <c r="L348" s="8">
        <f>UnilabUsage[[#This Row],[Used-MB]]-F338</f>
        <v>549</v>
      </c>
      <c r="M348">
        <f>UnilabUsage[[#This Row],[Max]]-UnilabUsage[[#This Row],[Used-MB]]</f>
        <v>16559</v>
      </c>
      <c r="N348" s="5">
        <f>IF($L348&gt;0,UnilabUsage[[#This Row],[Free-of-Max]]/UnilabUsage[[#This Row],[Usage-Delta-MB]],UnilabUsage[[#This Row],[Free-of-Max]])</f>
        <v>30.162112932604735</v>
      </c>
    </row>
    <row r="349" spans="1:14" x14ac:dyDescent="0.25">
      <c r="A349" s="3">
        <v>44480</v>
      </c>
      <c r="B349" t="s">
        <v>4</v>
      </c>
      <c r="C349">
        <v>96</v>
      </c>
      <c r="D349">
        <v>80853</v>
      </c>
      <c r="E349">
        <v>3386</v>
      </c>
      <c r="F349">
        <v>77467</v>
      </c>
      <c r="G349">
        <v>4</v>
      </c>
      <c r="H349">
        <v>98304</v>
      </c>
      <c r="I349">
        <v>79</v>
      </c>
      <c r="J349" t="s">
        <v>1</v>
      </c>
      <c r="K349" t="s">
        <v>2</v>
      </c>
      <c r="L349" s="8">
        <f>UnilabUsage[[#This Row],[Used-MB]]-F339</f>
        <v>129</v>
      </c>
      <c r="M349">
        <f>UnilabUsage[[#This Row],[Max]]-UnilabUsage[[#This Row],[Used-MB]]</f>
        <v>20837</v>
      </c>
      <c r="N349" s="5">
        <f>IF($L349&gt;0,UnilabUsage[[#This Row],[Free-of-Max]]/UnilabUsage[[#This Row],[Usage-Delta-MB]],UnilabUsage[[#This Row],[Free-of-Max]])</f>
        <v>161.52713178294573</v>
      </c>
    </row>
    <row r="350" spans="1:14" x14ac:dyDescent="0.25">
      <c r="A350" s="3">
        <v>44480</v>
      </c>
      <c r="B350" t="s">
        <v>12</v>
      </c>
      <c r="C350">
        <v>2</v>
      </c>
      <c r="D350">
        <v>30720</v>
      </c>
      <c r="E350">
        <v>29962</v>
      </c>
      <c r="F350">
        <v>758</v>
      </c>
      <c r="G350">
        <v>98</v>
      </c>
      <c r="H350">
        <v>30720</v>
      </c>
      <c r="I350">
        <v>2</v>
      </c>
      <c r="J350" t="s">
        <v>1</v>
      </c>
      <c r="K350" t="s">
        <v>13</v>
      </c>
      <c r="L350" s="8">
        <f>UnilabUsage[[#This Row],[Used-MB]]-F340</f>
        <v>687</v>
      </c>
      <c r="M350">
        <f>UnilabUsage[[#This Row],[Max]]-UnilabUsage[[#This Row],[Used-MB]]</f>
        <v>29962</v>
      </c>
      <c r="N350" s="5">
        <f>IF($L350&gt;0,UnilabUsage[[#This Row],[Free-of-Max]]/UnilabUsage[[#This Row],[Usage-Delta-MB]],UnilabUsage[[#This Row],[Free-of-Max]])</f>
        <v>43.612809315866087</v>
      </c>
    </row>
    <row r="351" spans="1:14" x14ac:dyDescent="0.25">
      <c r="A351" s="3">
        <v>44480</v>
      </c>
      <c r="B351" t="s">
        <v>9</v>
      </c>
      <c r="C351">
        <v>1</v>
      </c>
      <c r="D351">
        <v>10440</v>
      </c>
      <c r="E351">
        <v>10316</v>
      </c>
      <c r="F351">
        <v>124</v>
      </c>
      <c r="G351">
        <v>99</v>
      </c>
      <c r="H351">
        <v>32768</v>
      </c>
      <c r="I351">
        <v>0</v>
      </c>
      <c r="J351" t="s">
        <v>1</v>
      </c>
      <c r="K351" t="s">
        <v>10</v>
      </c>
      <c r="L351" s="8">
        <f>UnilabUsage[[#This Row],[Used-MB]]-F341</f>
        <v>-21</v>
      </c>
      <c r="M351">
        <f>UnilabUsage[[#This Row],[Max]]-UnilabUsage[[#This Row],[Used-MB]]</f>
        <v>32644</v>
      </c>
      <c r="N351" s="5">
        <f>IF($L351&gt;0,UnilabUsage[[#This Row],[Free-of-Max]]/UnilabUsage[[#This Row],[Usage-Delta-MB]],UnilabUsage[[#This Row],[Free-of-Max]])</f>
        <v>32644</v>
      </c>
    </row>
    <row r="352" spans="1:14" x14ac:dyDescent="0.25">
      <c r="A352" s="3">
        <v>44487</v>
      </c>
      <c r="B352" t="s">
        <v>7</v>
      </c>
      <c r="C352">
        <v>95</v>
      </c>
      <c r="D352">
        <v>1390</v>
      </c>
      <c r="E352">
        <v>67</v>
      </c>
      <c r="F352">
        <v>1323</v>
      </c>
      <c r="G352">
        <v>5</v>
      </c>
      <c r="H352">
        <v>32768</v>
      </c>
      <c r="I352">
        <v>4</v>
      </c>
      <c r="J352" t="s">
        <v>1</v>
      </c>
      <c r="K352" t="s">
        <v>2</v>
      </c>
      <c r="L352" s="8">
        <f>UnilabUsage[[#This Row],[Used-MB]]-F342</f>
        <v>8</v>
      </c>
      <c r="M352">
        <f>UnilabUsage[[#This Row],[Max]]-UnilabUsage[[#This Row],[Used-MB]]</f>
        <v>31445</v>
      </c>
      <c r="N352" s="5">
        <f>IF($L352&gt;0,UnilabUsage[[#This Row],[Free-of-Max]]/UnilabUsage[[#This Row],[Usage-Delta-MB]],UnilabUsage[[#This Row],[Free-of-Max]])</f>
        <v>3930.625</v>
      </c>
    </row>
    <row r="353" spans="1:14" x14ac:dyDescent="0.25">
      <c r="A353" s="3">
        <v>44487</v>
      </c>
      <c r="B353" t="s">
        <v>0</v>
      </c>
      <c r="C353">
        <v>100</v>
      </c>
      <c r="D353">
        <v>16850</v>
      </c>
      <c r="E353">
        <v>79</v>
      </c>
      <c r="F353">
        <v>16771</v>
      </c>
      <c r="G353">
        <v>0</v>
      </c>
      <c r="H353">
        <v>32768</v>
      </c>
      <c r="I353">
        <v>51</v>
      </c>
      <c r="J353" t="s">
        <v>1</v>
      </c>
      <c r="K353" t="s">
        <v>2</v>
      </c>
      <c r="L353" s="8">
        <f>UnilabUsage[[#This Row],[Used-MB]]-F343</f>
        <v>64</v>
      </c>
      <c r="M353">
        <f>UnilabUsage[[#This Row],[Max]]-UnilabUsage[[#This Row],[Used-MB]]</f>
        <v>15997</v>
      </c>
      <c r="N353" s="5">
        <f>IF($L353&gt;0,UnilabUsage[[#This Row],[Free-of-Max]]/UnilabUsage[[#This Row],[Usage-Delta-MB]],UnilabUsage[[#This Row],[Free-of-Max]])</f>
        <v>249.953125</v>
      </c>
    </row>
    <row r="354" spans="1:14" x14ac:dyDescent="0.25">
      <c r="A354" s="3">
        <v>44487</v>
      </c>
      <c r="B354" t="s">
        <v>11</v>
      </c>
      <c r="C354">
        <v>1</v>
      </c>
      <c r="D354">
        <v>100</v>
      </c>
      <c r="E354">
        <v>99</v>
      </c>
      <c r="F354">
        <v>1</v>
      </c>
      <c r="G354">
        <v>99</v>
      </c>
      <c r="H354">
        <v>32768</v>
      </c>
      <c r="I354">
        <v>0</v>
      </c>
      <c r="J354" t="s">
        <v>1</v>
      </c>
      <c r="K354" t="s">
        <v>2</v>
      </c>
      <c r="L354" s="8">
        <f>UnilabUsage[[#This Row],[Used-MB]]-F344</f>
        <v>0</v>
      </c>
      <c r="M354">
        <f>UnilabUsage[[#This Row],[Max]]-UnilabUsage[[#This Row],[Used-MB]]</f>
        <v>32767</v>
      </c>
      <c r="N354" s="5">
        <f>IF($L354&gt;0,UnilabUsage[[#This Row],[Free-of-Max]]/UnilabUsage[[#This Row],[Usage-Delta-MB]],UnilabUsage[[#This Row],[Free-of-Max]])</f>
        <v>32767</v>
      </c>
    </row>
    <row r="355" spans="1:14" x14ac:dyDescent="0.25">
      <c r="A355" s="3">
        <v>44487</v>
      </c>
      <c r="B355" t="s">
        <v>6</v>
      </c>
      <c r="C355">
        <v>95</v>
      </c>
      <c r="D355">
        <v>6755</v>
      </c>
      <c r="E355">
        <v>330</v>
      </c>
      <c r="F355">
        <v>6425</v>
      </c>
      <c r="G355">
        <v>5</v>
      </c>
      <c r="H355">
        <v>32768</v>
      </c>
      <c r="I355">
        <v>20</v>
      </c>
      <c r="J355" t="s">
        <v>1</v>
      </c>
      <c r="K355" t="s">
        <v>2</v>
      </c>
      <c r="L355" s="8">
        <f>UnilabUsage[[#This Row],[Used-MB]]-F345</f>
        <v>9</v>
      </c>
      <c r="M355">
        <f>UnilabUsage[[#This Row],[Max]]-UnilabUsage[[#This Row],[Used-MB]]</f>
        <v>26343</v>
      </c>
      <c r="N355" s="5">
        <f>IF($L355&gt;0,UnilabUsage[[#This Row],[Free-of-Max]]/UnilabUsage[[#This Row],[Usage-Delta-MB]],UnilabUsage[[#This Row],[Free-of-Max]])</f>
        <v>2927</v>
      </c>
    </row>
    <row r="356" spans="1:14" x14ac:dyDescent="0.25">
      <c r="A356" s="3">
        <v>44487</v>
      </c>
      <c r="B356" t="s">
        <v>3</v>
      </c>
      <c r="C356">
        <v>99</v>
      </c>
      <c r="D356">
        <v>377328</v>
      </c>
      <c r="E356">
        <v>3793</v>
      </c>
      <c r="F356">
        <v>373535</v>
      </c>
      <c r="G356">
        <v>1</v>
      </c>
      <c r="H356">
        <v>393216</v>
      </c>
      <c r="I356">
        <v>95</v>
      </c>
      <c r="J356" t="s">
        <v>1</v>
      </c>
      <c r="K356" t="s">
        <v>2</v>
      </c>
      <c r="L356" s="8">
        <f>UnilabUsage[[#This Row],[Used-MB]]-F346</f>
        <v>683</v>
      </c>
      <c r="M356">
        <f>UnilabUsage[[#This Row],[Max]]-UnilabUsage[[#This Row],[Used-MB]]</f>
        <v>19681</v>
      </c>
      <c r="N356" s="5">
        <f>IF($L356&gt;0,UnilabUsage[[#This Row],[Free-of-Max]]/UnilabUsage[[#This Row],[Usage-Delta-MB]],UnilabUsage[[#This Row],[Free-of-Max]])</f>
        <v>28.815519765739385</v>
      </c>
    </row>
    <row r="357" spans="1:14" x14ac:dyDescent="0.25">
      <c r="A357" s="3">
        <v>44487</v>
      </c>
      <c r="B357" t="s">
        <v>5</v>
      </c>
      <c r="C357">
        <v>95</v>
      </c>
      <c r="D357">
        <v>17950</v>
      </c>
      <c r="E357">
        <v>872</v>
      </c>
      <c r="F357">
        <v>17078</v>
      </c>
      <c r="G357">
        <v>5</v>
      </c>
      <c r="H357">
        <v>32768</v>
      </c>
      <c r="I357">
        <v>52</v>
      </c>
      <c r="J357" t="s">
        <v>1</v>
      </c>
      <c r="K357" t="s">
        <v>2</v>
      </c>
      <c r="L357" s="8">
        <f>UnilabUsage[[#This Row],[Used-MB]]-F347</f>
        <v>64</v>
      </c>
      <c r="M357">
        <f>UnilabUsage[[#This Row],[Max]]-UnilabUsage[[#This Row],[Used-MB]]</f>
        <v>15690</v>
      </c>
      <c r="N357" s="5">
        <f>IF($L357&gt;0,UnilabUsage[[#This Row],[Free-of-Max]]/UnilabUsage[[#This Row],[Usage-Delta-MB]],UnilabUsage[[#This Row],[Free-of-Max]])</f>
        <v>245.15625</v>
      </c>
    </row>
    <row r="358" spans="1:14" x14ac:dyDescent="0.25">
      <c r="A358" s="3">
        <v>44487</v>
      </c>
      <c r="B358" t="s">
        <v>8</v>
      </c>
      <c r="C358">
        <v>94</v>
      </c>
      <c r="D358">
        <v>262144</v>
      </c>
      <c r="E358">
        <v>16101</v>
      </c>
      <c r="F358">
        <v>246043</v>
      </c>
      <c r="G358">
        <v>6</v>
      </c>
      <c r="H358">
        <v>262144</v>
      </c>
      <c r="I358">
        <v>94</v>
      </c>
      <c r="J358" t="s">
        <v>1</v>
      </c>
      <c r="K358" t="s">
        <v>2</v>
      </c>
      <c r="L358" s="8">
        <f>UnilabUsage[[#This Row],[Used-MB]]-F348</f>
        <v>458</v>
      </c>
      <c r="M358">
        <f>UnilabUsage[[#This Row],[Max]]-UnilabUsage[[#This Row],[Used-MB]]</f>
        <v>16101</v>
      </c>
      <c r="N358" s="5">
        <f>IF($L358&gt;0,UnilabUsage[[#This Row],[Free-of-Max]]/UnilabUsage[[#This Row],[Usage-Delta-MB]],UnilabUsage[[#This Row],[Free-of-Max]])</f>
        <v>35.155021834061138</v>
      </c>
    </row>
    <row r="359" spans="1:14" x14ac:dyDescent="0.25">
      <c r="A359" s="3">
        <v>44487</v>
      </c>
      <c r="B359" t="s">
        <v>4</v>
      </c>
      <c r="C359">
        <v>96</v>
      </c>
      <c r="D359">
        <v>80853</v>
      </c>
      <c r="E359">
        <v>3194</v>
      </c>
      <c r="F359">
        <v>77659</v>
      </c>
      <c r="G359">
        <v>4</v>
      </c>
      <c r="H359">
        <v>98304</v>
      </c>
      <c r="I359">
        <v>79</v>
      </c>
      <c r="J359" t="s">
        <v>1</v>
      </c>
      <c r="K359" t="s">
        <v>2</v>
      </c>
      <c r="L359" s="8">
        <f>UnilabUsage[[#This Row],[Used-MB]]-F349</f>
        <v>192</v>
      </c>
      <c r="M359">
        <f>UnilabUsage[[#This Row],[Max]]-UnilabUsage[[#This Row],[Used-MB]]</f>
        <v>20645</v>
      </c>
      <c r="N359" s="5">
        <f>IF($L359&gt;0,UnilabUsage[[#This Row],[Free-of-Max]]/UnilabUsage[[#This Row],[Usage-Delta-MB]],UnilabUsage[[#This Row],[Free-of-Max]])</f>
        <v>107.52604166666667</v>
      </c>
    </row>
    <row r="360" spans="1:14" x14ac:dyDescent="0.25">
      <c r="A360" s="3">
        <v>44487</v>
      </c>
      <c r="B360" t="s">
        <v>12</v>
      </c>
      <c r="C360">
        <v>3</v>
      </c>
      <c r="D360">
        <v>30720</v>
      </c>
      <c r="E360">
        <v>29935</v>
      </c>
      <c r="F360">
        <v>785</v>
      </c>
      <c r="G360">
        <v>97</v>
      </c>
      <c r="H360">
        <v>30720</v>
      </c>
      <c r="I360">
        <v>3</v>
      </c>
      <c r="J360" t="s">
        <v>1</v>
      </c>
      <c r="K360" t="s">
        <v>13</v>
      </c>
      <c r="L360" s="8">
        <f>UnilabUsage[[#This Row],[Used-MB]]-F350</f>
        <v>27</v>
      </c>
      <c r="M360">
        <f>UnilabUsage[[#This Row],[Max]]-UnilabUsage[[#This Row],[Used-MB]]</f>
        <v>29935</v>
      </c>
      <c r="N360" s="5">
        <f>IF($L360&gt;0,UnilabUsage[[#This Row],[Free-of-Max]]/UnilabUsage[[#This Row],[Usage-Delta-MB]],UnilabUsage[[#This Row],[Free-of-Max]])</f>
        <v>1108.7037037037037</v>
      </c>
    </row>
    <row r="361" spans="1:14" x14ac:dyDescent="0.25">
      <c r="A361" s="3">
        <v>44487</v>
      </c>
      <c r="B361" t="s">
        <v>9</v>
      </c>
      <c r="C361">
        <v>1</v>
      </c>
      <c r="D361">
        <v>10440</v>
      </c>
      <c r="E361">
        <v>10330</v>
      </c>
      <c r="F361">
        <v>110</v>
      </c>
      <c r="G361">
        <v>99</v>
      </c>
      <c r="H361">
        <v>32768</v>
      </c>
      <c r="I361">
        <v>0</v>
      </c>
      <c r="J361" t="s">
        <v>1</v>
      </c>
      <c r="K361" t="s">
        <v>10</v>
      </c>
      <c r="L361" s="8">
        <f>UnilabUsage[[#This Row],[Used-MB]]-F351</f>
        <v>-14</v>
      </c>
      <c r="M361">
        <f>UnilabUsage[[#This Row],[Max]]-UnilabUsage[[#This Row],[Used-MB]]</f>
        <v>32658</v>
      </c>
      <c r="N361" s="5">
        <f>IF($L361&gt;0,UnilabUsage[[#This Row],[Free-of-Max]]/UnilabUsage[[#This Row],[Usage-Delta-MB]],UnilabUsage[[#This Row],[Free-of-Max]])</f>
        <v>32658</v>
      </c>
    </row>
    <row r="362" spans="1:14" x14ac:dyDescent="0.25">
      <c r="A362" s="3">
        <v>44494</v>
      </c>
      <c r="B362" t="s">
        <v>7</v>
      </c>
      <c r="C362">
        <v>96</v>
      </c>
      <c r="D362">
        <v>1390</v>
      </c>
      <c r="E362">
        <v>60</v>
      </c>
      <c r="F362">
        <v>1330</v>
      </c>
      <c r="G362">
        <v>4</v>
      </c>
      <c r="H362">
        <v>32768</v>
      </c>
      <c r="I362">
        <v>4</v>
      </c>
      <c r="J362" t="s">
        <v>1</v>
      </c>
      <c r="K362" t="s">
        <v>2</v>
      </c>
      <c r="L362" s="8">
        <f>UnilabUsage[[#This Row],[Used-MB]]-F352</f>
        <v>7</v>
      </c>
      <c r="M362">
        <f>UnilabUsage[[#This Row],[Max]]-UnilabUsage[[#This Row],[Used-MB]]</f>
        <v>31438</v>
      </c>
      <c r="N362" s="5">
        <f>IF($L362&gt;0,UnilabUsage[[#This Row],[Free-of-Max]]/UnilabUsage[[#This Row],[Usage-Delta-MB]],UnilabUsage[[#This Row],[Free-of-Max]])</f>
        <v>4491.1428571428569</v>
      </c>
    </row>
    <row r="363" spans="1:14" x14ac:dyDescent="0.25">
      <c r="A363" s="3">
        <v>44494</v>
      </c>
      <c r="B363" t="s">
        <v>0</v>
      </c>
      <c r="C363">
        <v>100</v>
      </c>
      <c r="D363">
        <v>16850</v>
      </c>
      <c r="E363">
        <v>15</v>
      </c>
      <c r="F363">
        <v>16835</v>
      </c>
      <c r="G363">
        <v>0</v>
      </c>
      <c r="H363">
        <v>32768</v>
      </c>
      <c r="I363">
        <v>51</v>
      </c>
      <c r="J363" t="s">
        <v>1</v>
      </c>
      <c r="K363" t="s">
        <v>2</v>
      </c>
      <c r="L363" s="8">
        <f>UnilabUsage[[#This Row],[Used-MB]]-F353</f>
        <v>64</v>
      </c>
      <c r="M363">
        <f>UnilabUsage[[#This Row],[Max]]-UnilabUsage[[#This Row],[Used-MB]]</f>
        <v>15933</v>
      </c>
      <c r="N363" s="5">
        <f>IF($L363&gt;0,UnilabUsage[[#This Row],[Free-of-Max]]/UnilabUsage[[#This Row],[Usage-Delta-MB]],UnilabUsage[[#This Row],[Free-of-Max]])</f>
        <v>248.953125</v>
      </c>
    </row>
    <row r="364" spans="1:14" x14ac:dyDescent="0.25">
      <c r="A364" s="3">
        <v>44494</v>
      </c>
      <c r="B364" t="s">
        <v>11</v>
      </c>
      <c r="C364">
        <v>1</v>
      </c>
      <c r="D364">
        <v>100</v>
      </c>
      <c r="E364">
        <v>99</v>
      </c>
      <c r="F364">
        <v>1</v>
      </c>
      <c r="G364">
        <v>99</v>
      </c>
      <c r="H364">
        <v>32768</v>
      </c>
      <c r="I364">
        <v>0</v>
      </c>
      <c r="J364" t="s">
        <v>1</v>
      </c>
      <c r="K364" t="s">
        <v>2</v>
      </c>
      <c r="L364" s="8">
        <f>UnilabUsage[[#This Row],[Used-MB]]-F354</f>
        <v>0</v>
      </c>
      <c r="M364">
        <f>UnilabUsage[[#This Row],[Max]]-UnilabUsage[[#This Row],[Used-MB]]</f>
        <v>32767</v>
      </c>
      <c r="N364" s="5">
        <f>IF($L364&gt;0,UnilabUsage[[#This Row],[Free-of-Max]]/UnilabUsage[[#This Row],[Usage-Delta-MB]],UnilabUsage[[#This Row],[Free-of-Max]])</f>
        <v>32767</v>
      </c>
    </row>
    <row r="365" spans="1:14" x14ac:dyDescent="0.25">
      <c r="A365" s="3">
        <v>44494</v>
      </c>
      <c r="B365" t="s">
        <v>6</v>
      </c>
      <c r="C365">
        <v>95</v>
      </c>
      <c r="D365">
        <v>6755</v>
      </c>
      <c r="E365">
        <v>322</v>
      </c>
      <c r="F365">
        <v>6433</v>
      </c>
      <c r="G365">
        <v>5</v>
      </c>
      <c r="H365">
        <v>32768</v>
      </c>
      <c r="I365">
        <v>20</v>
      </c>
      <c r="J365" t="s">
        <v>1</v>
      </c>
      <c r="K365" t="s">
        <v>2</v>
      </c>
      <c r="L365" s="8">
        <f>UnilabUsage[[#This Row],[Used-MB]]-F355</f>
        <v>8</v>
      </c>
      <c r="M365">
        <f>UnilabUsage[[#This Row],[Max]]-UnilabUsage[[#This Row],[Used-MB]]</f>
        <v>26335</v>
      </c>
      <c r="N365" s="5">
        <f>IF($L365&gt;0,UnilabUsage[[#This Row],[Free-of-Max]]/UnilabUsage[[#This Row],[Usage-Delta-MB]],UnilabUsage[[#This Row],[Free-of-Max]])</f>
        <v>3291.875</v>
      </c>
    </row>
    <row r="366" spans="1:14" x14ac:dyDescent="0.25">
      <c r="A366" s="3">
        <v>44494</v>
      </c>
      <c r="B366" t="s">
        <v>3</v>
      </c>
      <c r="C366">
        <v>99</v>
      </c>
      <c r="D366">
        <v>377328</v>
      </c>
      <c r="E366">
        <v>3314</v>
      </c>
      <c r="F366">
        <v>374014</v>
      </c>
      <c r="G366">
        <v>1</v>
      </c>
      <c r="H366">
        <v>393216</v>
      </c>
      <c r="I366">
        <v>95</v>
      </c>
      <c r="J366" t="s">
        <v>1</v>
      </c>
      <c r="K366" t="s">
        <v>2</v>
      </c>
      <c r="L366" s="8">
        <f>UnilabUsage[[#This Row],[Used-MB]]-F356</f>
        <v>479</v>
      </c>
      <c r="M366">
        <f>UnilabUsage[[#This Row],[Max]]-UnilabUsage[[#This Row],[Used-MB]]</f>
        <v>19202</v>
      </c>
      <c r="N366" s="5">
        <f>IF($L366&gt;0,UnilabUsage[[#This Row],[Free-of-Max]]/UnilabUsage[[#This Row],[Usage-Delta-MB]],UnilabUsage[[#This Row],[Free-of-Max]])</f>
        <v>40.087682672233818</v>
      </c>
    </row>
    <row r="367" spans="1:14" x14ac:dyDescent="0.25">
      <c r="A367" s="3">
        <v>44494</v>
      </c>
      <c r="B367" t="s">
        <v>5</v>
      </c>
      <c r="C367">
        <v>95</v>
      </c>
      <c r="D367">
        <v>18050</v>
      </c>
      <c r="E367">
        <v>900</v>
      </c>
      <c r="F367">
        <v>17150</v>
      </c>
      <c r="G367">
        <v>5</v>
      </c>
      <c r="H367">
        <v>32768</v>
      </c>
      <c r="I367">
        <v>52</v>
      </c>
      <c r="J367" t="s">
        <v>1</v>
      </c>
      <c r="K367" t="s">
        <v>2</v>
      </c>
      <c r="L367" s="8">
        <f>UnilabUsage[[#This Row],[Used-MB]]-F357</f>
        <v>72</v>
      </c>
      <c r="M367">
        <f>UnilabUsage[[#This Row],[Max]]-UnilabUsage[[#This Row],[Used-MB]]</f>
        <v>15618</v>
      </c>
      <c r="N367" s="5">
        <f>IF($L367&gt;0,UnilabUsage[[#This Row],[Free-of-Max]]/UnilabUsage[[#This Row],[Usage-Delta-MB]],UnilabUsage[[#This Row],[Free-of-Max]])</f>
        <v>216.91666666666666</v>
      </c>
    </row>
    <row r="368" spans="1:14" x14ac:dyDescent="0.25">
      <c r="A368" s="3">
        <v>44494</v>
      </c>
      <c r="B368" t="s">
        <v>8</v>
      </c>
      <c r="C368">
        <v>94</v>
      </c>
      <c r="D368">
        <v>262144</v>
      </c>
      <c r="E368">
        <v>15636</v>
      </c>
      <c r="F368">
        <v>246508</v>
      </c>
      <c r="G368">
        <v>6</v>
      </c>
      <c r="H368">
        <v>262144</v>
      </c>
      <c r="I368">
        <v>94</v>
      </c>
      <c r="J368" t="s">
        <v>1</v>
      </c>
      <c r="K368" t="s">
        <v>2</v>
      </c>
      <c r="L368" s="8">
        <f>UnilabUsage[[#This Row],[Used-MB]]-F358</f>
        <v>465</v>
      </c>
      <c r="M368">
        <f>UnilabUsage[[#This Row],[Max]]-UnilabUsage[[#This Row],[Used-MB]]</f>
        <v>15636</v>
      </c>
      <c r="N368" s="5">
        <f>IF($L368&gt;0,UnilabUsage[[#This Row],[Free-of-Max]]/UnilabUsage[[#This Row],[Usage-Delta-MB]],UnilabUsage[[#This Row],[Free-of-Max]])</f>
        <v>33.625806451612902</v>
      </c>
    </row>
    <row r="369" spans="1:14" x14ac:dyDescent="0.25">
      <c r="A369" s="3">
        <v>44494</v>
      </c>
      <c r="B369" t="s">
        <v>4</v>
      </c>
      <c r="C369">
        <v>96</v>
      </c>
      <c r="D369">
        <v>80853</v>
      </c>
      <c r="E369">
        <v>3066</v>
      </c>
      <c r="F369">
        <v>77787</v>
      </c>
      <c r="G369">
        <v>4</v>
      </c>
      <c r="H369">
        <v>98304</v>
      </c>
      <c r="I369">
        <v>79</v>
      </c>
      <c r="J369" t="s">
        <v>1</v>
      </c>
      <c r="K369" t="s">
        <v>2</v>
      </c>
      <c r="L369" s="8">
        <f>UnilabUsage[[#This Row],[Used-MB]]-F359</f>
        <v>128</v>
      </c>
      <c r="M369">
        <f>UnilabUsage[[#This Row],[Max]]-UnilabUsage[[#This Row],[Used-MB]]</f>
        <v>20517</v>
      </c>
      <c r="N369" s="5">
        <f>IF($L369&gt;0,UnilabUsage[[#This Row],[Free-of-Max]]/UnilabUsage[[#This Row],[Usage-Delta-MB]],UnilabUsage[[#This Row],[Free-of-Max]])</f>
        <v>160.2890625</v>
      </c>
    </row>
    <row r="370" spans="1:14" x14ac:dyDescent="0.25">
      <c r="A370" s="3">
        <v>44494</v>
      </c>
      <c r="B370" t="s">
        <v>12</v>
      </c>
      <c r="C370">
        <v>0</v>
      </c>
      <c r="D370">
        <v>30720</v>
      </c>
      <c r="E370">
        <v>30642</v>
      </c>
      <c r="F370">
        <v>78</v>
      </c>
      <c r="G370">
        <v>100</v>
      </c>
      <c r="H370">
        <v>30720</v>
      </c>
      <c r="I370">
        <v>0</v>
      </c>
      <c r="J370" t="s">
        <v>1</v>
      </c>
      <c r="K370" t="s">
        <v>13</v>
      </c>
      <c r="L370" s="8">
        <f>UnilabUsage[[#This Row],[Used-MB]]-F360</f>
        <v>-707</v>
      </c>
      <c r="M370">
        <f>UnilabUsage[[#This Row],[Max]]-UnilabUsage[[#This Row],[Used-MB]]</f>
        <v>30642</v>
      </c>
      <c r="N370" s="5">
        <f>IF($L370&gt;0,UnilabUsage[[#This Row],[Free-of-Max]]/UnilabUsage[[#This Row],[Usage-Delta-MB]],UnilabUsage[[#This Row],[Free-of-Max]])</f>
        <v>30642</v>
      </c>
    </row>
    <row r="371" spans="1:14" x14ac:dyDescent="0.25">
      <c r="A371" s="3">
        <v>44494</v>
      </c>
      <c r="B371" t="s">
        <v>9</v>
      </c>
      <c r="C371">
        <v>1</v>
      </c>
      <c r="D371">
        <v>10440</v>
      </c>
      <c r="E371">
        <v>10310</v>
      </c>
      <c r="F371">
        <v>130</v>
      </c>
      <c r="G371">
        <v>99</v>
      </c>
      <c r="H371">
        <v>32768</v>
      </c>
      <c r="I371">
        <v>0</v>
      </c>
      <c r="J371" t="s">
        <v>1</v>
      </c>
      <c r="K371" t="s">
        <v>10</v>
      </c>
      <c r="L371" s="8">
        <f>UnilabUsage[[#This Row],[Used-MB]]-F361</f>
        <v>20</v>
      </c>
      <c r="M371">
        <f>UnilabUsage[[#This Row],[Max]]-UnilabUsage[[#This Row],[Used-MB]]</f>
        <v>32638</v>
      </c>
      <c r="N371" s="5">
        <f>IF($L371&gt;0,UnilabUsage[[#This Row],[Free-of-Max]]/UnilabUsage[[#This Row],[Usage-Delta-MB]],UnilabUsage[[#This Row],[Free-of-Max]])</f>
        <v>1631.9</v>
      </c>
    </row>
    <row r="372" spans="1:14" x14ac:dyDescent="0.25">
      <c r="A372" s="3">
        <v>44501</v>
      </c>
      <c r="B372" t="s">
        <v>7</v>
      </c>
      <c r="C372">
        <v>95</v>
      </c>
      <c r="D372">
        <v>1410</v>
      </c>
      <c r="E372">
        <v>71</v>
      </c>
      <c r="F372">
        <v>1339</v>
      </c>
      <c r="G372">
        <v>5</v>
      </c>
      <c r="H372">
        <v>32768</v>
      </c>
      <c r="I372">
        <v>4</v>
      </c>
      <c r="J372" t="s">
        <v>1</v>
      </c>
      <c r="K372" t="s">
        <v>2</v>
      </c>
      <c r="L372" s="8">
        <f>UnilabUsage[[#This Row],[Used-MB]]-F362</f>
        <v>9</v>
      </c>
      <c r="M372">
        <f>UnilabUsage[[#This Row],[Max]]-UnilabUsage[[#This Row],[Used-MB]]</f>
        <v>31429</v>
      </c>
      <c r="N372" s="5">
        <f>IF($L372&gt;0,UnilabUsage[[#This Row],[Free-of-Max]]/UnilabUsage[[#This Row],[Usage-Delta-MB]],UnilabUsage[[#This Row],[Free-of-Max]])</f>
        <v>3492.1111111111113</v>
      </c>
    </row>
    <row r="373" spans="1:14" x14ac:dyDescent="0.25">
      <c r="A373" s="3">
        <v>44501</v>
      </c>
      <c r="B373" t="s">
        <v>0</v>
      </c>
      <c r="C373">
        <v>100</v>
      </c>
      <c r="D373">
        <v>16950</v>
      </c>
      <c r="E373">
        <v>51</v>
      </c>
      <c r="F373">
        <v>16899</v>
      </c>
      <c r="G373">
        <v>0</v>
      </c>
      <c r="H373">
        <v>32768</v>
      </c>
      <c r="I373">
        <v>52</v>
      </c>
      <c r="J373" t="s">
        <v>1</v>
      </c>
      <c r="K373" t="s">
        <v>2</v>
      </c>
      <c r="L373" s="8">
        <f>UnilabUsage[[#This Row],[Used-MB]]-F363</f>
        <v>64</v>
      </c>
      <c r="M373">
        <f>UnilabUsage[[#This Row],[Max]]-UnilabUsage[[#This Row],[Used-MB]]</f>
        <v>15869</v>
      </c>
      <c r="N373" s="5">
        <f>IF($L373&gt;0,UnilabUsage[[#This Row],[Free-of-Max]]/UnilabUsage[[#This Row],[Usage-Delta-MB]],UnilabUsage[[#This Row],[Free-of-Max]])</f>
        <v>247.953125</v>
      </c>
    </row>
    <row r="374" spans="1:14" x14ac:dyDescent="0.25">
      <c r="A374" s="3">
        <v>44501</v>
      </c>
      <c r="B374" t="s">
        <v>11</v>
      </c>
      <c r="C374">
        <v>1</v>
      </c>
      <c r="D374">
        <v>100</v>
      </c>
      <c r="E374">
        <v>99</v>
      </c>
      <c r="F374">
        <v>1</v>
      </c>
      <c r="G374">
        <v>99</v>
      </c>
      <c r="H374">
        <v>32768</v>
      </c>
      <c r="I374">
        <v>0</v>
      </c>
      <c r="J374" t="s">
        <v>1</v>
      </c>
      <c r="K374" t="s">
        <v>2</v>
      </c>
      <c r="L374" s="8">
        <f>UnilabUsage[[#This Row],[Used-MB]]-F364</f>
        <v>0</v>
      </c>
      <c r="M374">
        <f>UnilabUsage[[#This Row],[Max]]-UnilabUsage[[#This Row],[Used-MB]]</f>
        <v>32767</v>
      </c>
      <c r="N374" s="5">
        <f>IF($L374&gt;0,UnilabUsage[[#This Row],[Free-of-Max]]/UnilabUsage[[#This Row],[Usage-Delta-MB]],UnilabUsage[[#This Row],[Free-of-Max]])</f>
        <v>32767</v>
      </c>
    </row>
    <row r="375" spans="1:14" x14ac:dyDescent="0.25">
      <c r="A375" s="3">
        <v>44501</v>
      </c>
      <c r="B375" t="s">
        <v>6</v>
      </c>
      <c r="C375">
        <v>95</v>
      </c>
      <c r="D375">
        <v>6755</v>
      </c>
      <c r="E375">
        <v>322</v>
      </c>
      <c r="F375">
        <v>6433</v>
      </c>
      <c r="G375">
        <v>5</v>
      </c>
      <c r="H375">
        <v>32768</v>
      </c>
      <c r="I375">
        <v>20</v>
      </c>
      <c r="J375" t="s">
        <v>1</v>
      </c>
      <c r="K375" t="s">
        <v>2</v>
      </c>
      <c r="L375" s="8">
        <f>UnilabUsage[[#This Row],[Used-MB]]-F365</f>
        <v>0</v>
      </c>
      <c r="M375">
        <f>UnilabUsage[[#This Row],[Max]]-UnilabUsage[[#This Row],[Used-MB]]</f>
        <v>26335</v>
      </c>
      <c r="N375" s="5">
        <f>IF($L375&gt;0,UnilabUsage[[#This Row],[Free-of-Max]]/UnilabUsage[[#This Row],[Usage-Delta-MB]],UnilabUsage[[#This Row],[Free-of-Max]])</f>
        <v>26335</v>
      </c>
    </row>
    <row r="376" spans="1:14" x14ac:dyDescent="0.25">
      <c r="A376" s="3">
        <v>44501</v>
      </c>
      <c r="B376" t="s">
        <v>3</v>
      </c>
      <c r="C376">
        <v>99</v>
      </c>
      <c r="D376">
        <v>377328</v>
      </c>
      <c r="E376">
        <v>2846</v>
      </c>
      <c r="F376">
        <v>374482</v>
      </c>
      <c r="G376">
        <v>1</v>
      </c>
      <c r="H376">
        <v>393216</v>
      </c>
      <c r="I376">
        <v>95</v>
      </c>
      <c r="J376" t="s">
        <v>1</v>
      </c>
      <c r="K376" t="s">
        <v>2</v>
      </c>
      <c r="L376" s="8">
        <f>UnilabUsage[[#This Row],[Used-MB]]-F366</f>
        <v>468</v>
      </c>
      <c r="M376">
        <f>UnilabUsage[[#This Row],[Max]]-UnilabUsage[[#This Row],[Used-MB]]</f>
        <v>18734</v>
      </c>
      <c r="N376" s="5">
        <f>IF($L376&gt;0,UnilabUsage[[#This Row],[Free-of-Max]]/UnilabUsage[[#This Row],[Usage-Delta-MB]],UnilabUsage[[#This Row],[Free-of-Max]])</f>
        <v>40.029914529914528</v>
      </c>
    </row>
    <row r="377" spans="1:14" x14ac:dyDescent="0.25">
      <c r="A377" s="3">
        <v>44501</v>
      </c>
      <c r="B377" t="s">
        <v>5</v>
      </c>
      <c r="C377">
        <v>95</v>
      </c>
      <c r="D377">
        <v>18050</v>
      </c>
      <c r="E377">
        <v>900</v>
      </c>
      <c r="F377">
        <v>17150</v>
      </c>
      <c r="G377">
        <v>5</v>
      </c>
      <c r="H377">
        <v>32768</v>
      </c>
      <c r="I377">
        <v>52</v>
      </c>
      <c r="J377" t="s">
        <v>1</v>
      </c>
      <c r="K377" t="s">
        <v>2</v>
      </c>
      <c r="L377" s="8">
        <f>UnilabUsage[[#This Row],[Used-MB]]-F367</f>
        <v>0</v>
      </c>
      <c r="M377">
        <f>UnilabUsage[[#This Row],[Max]]-UnilabUsage[[#This Row],[Used-MB]]</f>
        <v>15618</v>
      </c>
      <c r="N377" s="5">
        <f>IF($L377&gt;0,UnilabUsage[[#This Row],[Free-of-Max]]/UnilabUsage[[#This Row],[Usage-Delta-MB]],UnilabUsage[[#This Row],[Free-of-Max]])</f>
        <v>15618</v>
      </c>
    </row>
    <row r="378" spans="1:14" x14ac:dyDescent="0.25">
      <c r="A378" s="3">
        <v>44501</v>
      </c>
      <c r="B378" t="s">
        <v>8</v>
      </c>
      <c r="C378">
        <v>94</v>
      </c>
      <c r="D378">
        <v>262144</v>
      </c>
      <c r="E378">
        <v>15206</v>
      </c>
      <c r="F378">
        <v>246938</v>
      </c>
      <c r="G378">
        <v>6</v>
      </c>
      <c r="H378">
        <v>262144</v>
      </c>
      <c r="I378">
        <v>94</v>
      </c>
      <c r="J378" t="s">
        <v>1</v>
      </c>
      <c r="K378" t="s">
        <v>2</v>
      </c>
      <c r="L378" s="8">
        <f>UnilabUsage[[#This Row],[Used-MB]]-F368</f>
        <v>430</v>
      </c>
      <c r="M378">
        <f>UnilabUsage[[#This Row],[Max]]-UnilabUsage[[#This Row],[Used-MB]]</f>
        <v>15206</v>
      </c>
      <c r="N378" s="5">
        <f>IF($L378&gt;0,UnilabUsage[[#This Row],[Free-of-Max]]/UnilabUsage[[#This Row],[Usage-Delta-MB]],UnilabUsage[[#This Row],[Free-of-Max]])</f>
        <v>35.36279069767442</v>
      </c>
    </row>
    <row r="379" spans="1:14" x14ac:dyDescent="0.25">
      <c r="A379" s="3">
        <v>44501</v>
      </c>
      <c r="B379" t="s">
        <v>4</v>
      </c>
      <c r="C379">
        <v>97</v>
      </c>
      <c r="D379">
        <v>80853</v>
      </c>
      <c r="E379">
        <v>2802</v>
      </c>
      <c r="F379">
        <v>78051</v>
      </c>
      <c r="G379">
        <v>3</v>
      </c>
      <c r="H379">
        <v>98304</v>
      </c>
      <c r="I379">
        <v>79</v>
      </c>
      <c r="J379" t="s">
        <v>1</v>
      </c>
      <c r="K379" t="s">
        <v>2</v>
      </c>
      <c r="L379" s="8">
        <f>UnilabUsage[[#This Row],[Used-MB]]-F369</f>
        <v>264</v>
      </c>
      <c r="M379">
        <f>UnilabUsage[[#This Row],[Max]]-UnilabUsage[[#This Row],[Used-MB]]</f>
        <v>20253</v>
      </c>
      <c r="N379" s="5">
        <f>IF($L379&gt;0,UnilabUsage[[#This Row],[Free-of-Max]]/UnilabUsage[[#This Row],[Usage-Delta-MB]],UnilabUsage[[#This Row],[Free-of-Max]])</f>
        <v>76.715909090909093</v>
      </c>
    </row>
    <row r="380" spans="1:14" x14ac:dyDescent="0.25">
      <c r="A380" s="3">
        <v>44501</v>
      </c>
      <c r="B380" t="s">
        <v>12</v>
      </c>
      <c r="C380">
        <v>1</v>
      </c>
      <c r="D380">
        <v>30720</v>
      </c>
      <c r="E380">
        <v>30561</v>
      </c>
      <c r="F380">
        <v>159</v>
      </c>
      <c r="G380">
        <v>99</v>
      </c>
      <c r="H380">
        <v>30720</v>
      </c>
      <c r="I380">
        <v>1</v>
      </c>
      <c r="J380" t="s">
        <v>1</v>
      </c>
      <c r="K380" t="s">
        <v>13</v>
      </c>
      <c r="L380" s="8">
        <f>UnilabUsage[[#This Row],[Used-MB]]-F370</f>
        <v>81</v>
      </c>
      <c r="M380">
        <f>UnilabUsage[[#This Row],[Max]]-UnilabUsage[[#This Row],[Used-MB]]</f>
        <v>30561</v>
      </c>
      <c r="N380" s="5">
        <f>IF($L380&gt;0,UnilabUsage[[#This Row],[Free-of-Max]]/UnilabUsage[[#This Row],[Usage-Delta-MB]],UnilabUsage[[#This Row],[Free-of-Max]])</f>
        <v>377.2962962962963</v>
      </c>
    </row>
    <row r="381" spans="1:14" x14ac:dyDescent="0.25">
      <c r="A381" s="3">
        <v>44501</v>
      </c>
      <c r="B381" t="s">
        <v>9</v>
      </c>
      <c r="C381">
        <v>1</v>
      </c>
      <c r="D381">
        <v>10440</v>
      </c>
      <c r="E381">
        <v>10318</v>
      </c>
      <c r="F381">
        <v>122</v>
      </c>
      <c r="G381">
        <v>99</v>
      </c>
      <c r="H381">
        <v>32768</v>
      </c>
      <c r="I381">
        <v>0</v>
      </c>
      <c r="J381" t="s">
        <v>1</v>
      </c>
      <c r="K381" t="s">
        <v>10</v>
      </c>
      <c r="L381" s="8">
        <f>UnilabUsage[[#This Row],[Used-MB]]-F371</f>
        <v>-8</v>
      </c>
      <c r="M381">
        <f>UnilabUsage[[#This Row],[Max]]-UnilabUsage[[#This Row],[Used-MB]]</f>
        <v>32646</v>
      </c>
      <c r="N381" s="5">
        <f>IF($L381&gt;0,UnilabUsage[[#This Row],[Free-of-Max]]/UnilabUsage[[#This Row],[Usage-Delta-MB]],UnilabUsage[[#This Row],[Free-of-Max]])</f>
        <v>32646</v>
      </c>
    </row>
    <row r="382" spans="1:14" x14ac:dyDescent="0.25">
      <c r="A382" s="3">
        <v>44508</v>
      </c>
      <c r="B382" t="s">
        <v>7</v>
      </c>
      <c r="C382">
        <v>96</v>
      </c>
      <c r="D382">
        <v>1410</v>
      </c>
      <c r="E382">
        <v>62</v>
      </c>
      <c r="F382">
        <v>1348</v>
      </c>
      <c r="G382">
        <v>4</v>
      </c>
      <c r="H382">
        <v>32768</v>
      </c>
      <c r="I382">
        <v>4</v>
      </c>
      <c r="J382" t="s">
        <v>1</v>
      </c>
      <c r="K382" t="s">
        <v>2</v>
      </c>
      <c r="L382" s="8">
        <f>UnilabUsage[[#This Row],[Used-MB]]-F372</f>
        <v>9</v>
      </c>
      <c r="M382">
        <f>UnilabUsage[[#This Row],[Max]]-UnilabUsage[[#This Row],[Used-MB]]</f>
        <v>31420</v>
      </c>
      <c r="N382" s="5">
        <f>IF($L382&gt;0,UnilabUsage[[#This Row],[Free-of-Max]]/UnilabUsage[[#This Row],[Usage-Delta-MB]],UnilabUsage[[#This Row],[Free-of-Max]])</f>
        <v>3491.1111111111113</v>
      </c>
    </row>
    <row r="383" spans="1:14" x14ac:dyDescent="0.25">
      <c r="A383" s="3">
        <v>44508</v>
      </c>
      <c r="B383" t="s">
        <v>0</v>
      </c>
      <c r="C383">
        <v>99</v>
      </c>
      <c r="D383">
        <v>17050</v>
      </c>
      <c r="E383">
        <v>87</v>
      </c>
      <c r="F383">
        <v>16963</v>
      </c>
      <c r="G383">
        <v>1</v>
      </c>
      <c r="H383">
        <v>32768</v>
      </c>
      <c r="I383">
        <v>52</v>
      </c>
      <c r="J383" t="s">
        <v>1</v>
      </c>
      <c r="K383" t="s">
        <v>2</v>
      </c>
      <c r="L383" s="8">
        <f>UnilabUsage[[#This Row],[Used-MB]]-F373</f>
        <v>64</v>
      </c>
      <c r="M383">
        <f>UnilabUsage[[#This Row],[Max]]-UnilabUsage[[#This Row],[Used-MB]]</f>
        <v>15805</v>
      </c>
      <c r="N383" s="5">
        <f>IF($L383&gt;0,UnilabUsage[[#This Row],[Free-of-Max]]/UnilabUsage[[#This Row],[Usage-Delta-MB]],UnilabUsage[[#This Row],[Free-of-Max]])</f>
        <v>246.953125</v>
      </c>
    </row>
    <row r="384" spans="1:14" x14ac:dyDescent="0.25">
      <c r="A384" s="3">
        <v>44508</v>
      </c>
      <c r="B384" t="s">
        <v>11</v>
      </c>
      <c r="C384">
        <v>1</v>
      </c>
      <c r="D384">
        <v>100</v>
      </c>
      <c r="E384">
        <v>99</v>
      </c>
      <c r="F384">
        <v>1</v>
      </c>
      <c r="G384">
        <v>99</v>
      </c>
      <c r="H384">
        <v>32768</v>
      </c>
      <c r="I384">
        <v>0</v>
      </c>
      <c r="J384" t="s">
        <v>1</v>
      </c>
      <c r="K384" t="s">
        <v>2</v>
      </c>
      <c r="L384" s="8">
        <f>UnilabUsage[[#This Row],[Used-MB]]-F374</f>
        <v>0</v>
      </c>
      <c r="M384">
        <f>UnilabUsage[[#This Row],[Max]]-UnilabUsage[[#This Row],[Used-MB]]</f>
        <v>32767</v>
      </c>
      <c r="N384" s="5">
        <f>IF($L384&gt;0,UnilabUsage[[#This Row],[Free-of-Max]]/UnilabUsage[[#This Row],[Usage-Delta-MB]],UnilabUsage[[#This Row],[Free-of-Max]])</f>
        <v>32767</v>
      </c>
    </row>
    <row r="385" spans="1:14" x14ac:dyDescent="0.25">
      <c r="A385" s="3">
        <v>44508</v>
      </c>
      <c r="B385" t="s">
        <v>6</v>
      </c>
      <c r="C385">
        <v>95</v>
      </c>
      <c r="D385">
        <v>6755</v>
      </c>
      <c r="E385">
        <v>322</v>
      </c>
      <c r="F385">
        <v>6433</v>
      </c>
      <c r="G385">
        <v>5</v>
      </c>
      <c r="H385">
        <v>32768</v>
      </c>
      <c r="I385">
        <v>20</v>
      </c>
      <c r="J385" t="s">
        <v>1</v>
      </c>
      <c r="K385" t="s">
        <v>2</v>
      </c>
      <c r="L385" s="8">
        <f>UnilabUsage[[#This Row],[Used-MB]]-F375</f>
        <v>0</v>
      </c>
      <c r="M385">
        <f>UnilabUsage[[#This Row],[Max]]-UnilabUsage[[#This Row],[Used-MB]]</f>
        <v>26335</v>
      </c>
      <c r="N385" s="5">
        <f>IF($L385&gt;0,UnilabUsage[[#This Row],[Free-of-Max]]/UnilabUsage[[#This Row],[Usage-Delta-MB]],UnilabUsage[[#This Row],[Free-of-Max]])</f>
        <v>26335</v>
      </c>
    </row>
    <row r="386" spans="1:14" x14ac:dyDescent="0.25">
      <c r="A386" s="3">
        <v>44508</v>
      </c>
      <c r="B386" t="s">
        <v>3</v>
      </c>
      <c r="C386">
        <v>99</v>
      </c>
      <c r="D386">
        <v>377328</v>
      </c>
      <c r="E386">
        <v>2230</v>
      </c>
      <c r="F386">
        <v>375098</v>
      </c>
      <c r="G386">
        <v>1</v>
      </c>
      <c r="H386">
        <v>393216</v>
      </c>
      <c r="I386">
        <v>95</v>
      </c>
      <c r="J386" t="s">
        <v>1</v>
      </c>
      <c r="K386" t="s">
        <v>2</v>
      </c>
      <c r="L386" s="8">
        <f>UnilabUsage[[#This Row],[Used-MB]]-F376</f>
        <v>616</v>
      </c>
      <c r="M386">
        <f>UnilabUsage[[#This Row],[Max]]-UnilabUsage[[#This Row],[Used-MB]]</f>
        <v>18118</v>
      </c>
      <c r="N386" s="5">
        <f>IF($L386&gt;0,UnilabUsage[[#This Row],[Free-of-Max]]/UnilabUsage[[#This Row],[Usage-Delta-MB]],UnilabUsage[[#This Row],[Free-of-Max]])</f>
        <v>29.412337662337663</v>
      </c>
    </row>
    <row r="387" spans="1:14" x14ac:dyDescent="0.25">
      <c r="A387" s="3">
        <v>44508</v>
      </c>
      <c r="B387" t="s">
        <v>5</v>
      </c>
      <c r="C387">
        <v>95</v>
      </c>
      <c r="D387">
        <v>18050</v>
      </c>
      <c r="E387">
        <v>900</v>
      </c>
      <c r="F387">
        <v>17150</v>
      </c>
      <c r="G387">
        <v>5</v>
      </c>
      <c r="H387">
        <v>32768</v>
      </c>
      <c r="I387">
        <v>52</v>
      </c>
      <c r="J387" t="s">
        <v>1</v>
      </c>
      <c r="K387" t="s">
        <v>2</v>
      </c>
      <c r="L387" s="8">
        <f>UnilabUsage[[#This Row],[Used-MB]]-F377</f>
        <v>0</v>
      </c>
      <c r="M387">
        <f>UnilabUsage[[#This Row],[Max]]-UnilabUsage[[#This Row],[Used-MB]]</f>
        <v>15618</v>
      </c>
      <c r="N387" s="5">
        <f>IF($L387&gt;0,UnilabUsage[[#This Row],[Free-of-Max]]/UnilabUsage[[#This Row],[Usage-Delta-MB]],UnilabUsage[[#This Row],[Free-of-Max]])</f>
        <v>15618</v>
      </c>
    </row>
    <row r="388" spans="1:14" x14ac:dyDescent="0.25">
      <c r="A388" s="3">
        <v>44508</v>
      </c>
      <c r="B388" t="s">
        <v>8</v>
      </c>
      <c r="C388">
        <v>94</v>
      </c>
      <c r="D388">
        <v>262144</v>
      </c>
      <c r="E388">
        <v>14886</v>
      </c>
      <c r="F388">
        <v>247258</v>
      </c>
      <c r="G388">
        <v>6</v>
      </c>
      <c r="H388">
        <v>262144</v>
      </c>
      <c r="I388">
        <v>94</v>
      </c>
      <c r="J388" t="s">
        <v>1</v>
      </c>
      <c r="K388" t="s">
        <v>2</v>
      </c>
      <c r="L388" s="8">
        <f>UnilabUsage[[#This Row],[Used-MB]]-F378</f>
        <v>320</v>
      </c>
      <c r="M388">
        <f>UnilabUsage[[#This Row],[Max]]-UnilabUsage[[#This Row],[Used-MB]]</f>
        <v>14886</v>
      </c>
      <c r="N388" s="5">
        <f>IF($L388&gt;0,UnilabUsage[[#This Row],[Free-of-Max]]/UnilabUsage[[#This Row],[Usage-Delta-MB]],UnilabUsage[[#This Row],[Free-of-Max]])</f>
        <v>46.518749999999997</v>
      </c>
    </row>
    <row r="389" spans="1:14" x14ac:dyDescent="0.25">
      <c r="A389" s="3">
        <v>44508</v>
      </c>
      <c r="B389" t="s">
        <v>4</v>
      </c>
      <c r="C389">
        <v>97</v>
      </c>
      <c r="D389">
        <v>80853</v>
      </c>
      <c r="E389">
        <v>2482</v>
      </c>
      <c r="F389">
        <v>78371</v>
      </c>
      <c r="G389">
        <v>3</v>
      </c>
      <c r="H389">
        <v>98304</v>
      </c>
      <c r="I389">
        <v>80</v>
      </c>
      <c r="J389" t="s">
        <v>1</v>
      </c>
      <c r="K389" t="s">
        <v>2</v>
      </c>
      <c r="L389" s="8">
        <f>UnilabUsage[[#This Row],[Used-MB]]-F379</f>
        <v>320</v>
      </c>
      <c r="M389">
        <f>UnilabUsage[[#This Row],[Max]]-UnilabUsage[[#This Row],[Used-MB]]</f>
        <v>19933</v>
      </c>
      <c r="N389" s="5">
        <f>IF($L389&gt;0,UnilabUsage[[#This Row],[Free-of-Max]]/UnilabUsage[[#This Row],[Usage-Delta-MB]],UnilabUsage[[#This Row],[Free-of-Max]])</f>
        <v>62.290624999999999</v>
      </c>
    </row>
    <row r="390" spans="1:14" x14ac:dyDescent="0.25">
      <c r="A390" s="3">
        <v>44508</v>
      </c>
      <c r="B390" t="s">
        <v>12</v>
      </c>
      <c r="C390">
        <v>0</v>
      </c>
      <c r="D390">
        <v>30720</v>
      </c>
      <c r="E390">
        <v>30653</v>
      </c>
      <c r="F390">
        <v>67</v>
      </c>
      <c r="G390">
        <v>100</v>
      </c>
      <c r="H390">
        <v>30720</v>
      </c>
      <c r="I390">
        <v>0</v>
      </c>
      <c r="J390" t="s">
        <v>1</v>
      </c>
      <c r="K390" t="s">
        <v>13</v>
      </c>
      <c r="L390" s="8">
        <f>UnilabUsage[[#This Row],[Used-MB]]-F380</f>
        <v>-92</v>
      </c>
      <c r="M390">
        <f>UnilabUsage[[#This Row],[Max]]-UnilabUsage[[#This Row],[Used-MB]]</f>
        <v>30653</v>
      </c>
      <c r="N390" s="5">
        <f>IF($L390&gt;0,UnilabUsage[[#This Row],[Free-of-Max]]/UnilabUsage[[#This Row],[Usage-Delta-MB]],UnilabUsage[[#This Row],[Free-of-Max]])</f>
        <v>30653</v>
      </c>
    </row>
    <row r="391" spans="1:14" x14ac:dyDescent="0.25">
      <c r="A391" s="3">
        <v>44508</v>
      </c>
      <c r="B391" t="s">
        <v>9</v>
      </c>
      <c r="C391">
        <v>1</v>
      </c>
      <c r="D391">
        <v>10440</v>
      </c>
      <c r="E391">
        <v>10329</v>
      </c>
      <c r="F391">
        <v>111</v>
      </c>
      <c r="G391">
        <v>99</v>
      </c>
      <c r="H391">
        <v>32768</v>
      </c>
      <c r="I391">
        <v>0</v>
      </c>
      <c r="J391" t="s">
        <v>1</v>
      </c>
      <c r="K391" t="s">
        <v>10</v>
      </c>
      <c r="L391" s="8">
        <f>UnilabUsage[[#This Row],[Used-MB]]-F381</f>
        <v>-11</v>
      </c>
      <c r="M391">
        <f>UnilabUsage[[#This Row],[Max]]-UnilabUsage[[#This Row],[Used-MB]]</f>
        <v>32657</v>
      </c>
      <c r="N391" s="5">
        <f>IF($L391&gt;0,UnilabUsage[[#This Row],[Free-of-Max]]/UnilabUsage[[#This Row],[Usage-Delta-MB]],UnilabUsage[[#This Row],[Free-of-Max]])</f>
        <v>32657</v>
      </c>
    </row>
    <row r="392" spans="1:14" x14ac:dyDescent="0.25">
      <c r="A392" s="3">
        <v>44515</v>
      </c>
      <c r="B392" t="s">
        <v>7</v>
      </c>
      <c r="C392">
        <v>95</v>
      </c>
      <c r="D392">
        <v>1430</v>
      </c>
      <c r="E392">
        <v>74</v>
      </c>
      <c r="F392">
        <v>1356</v>
      </c>
      <c r="G392">
        <v>5</v>
      </c>
      <c r="H392">
        <v>32768</v>
      </c>
      <c r="I392">
        <v>4</v>
      </c>
      <c r="J392" t="s">
        <v>1</v>
      </c>
      <c r="K392" t="s">
        <v>2</v>
      </c>
      <c r="L392" s="8">
        <f>UnilabUsage[[#This Row],[Used-MB]]-F382</f>
        <v>8</v>
      </c>
      <c r="M392">
        <f>UnilabUsage[[#This Row],[Max]]-UnilabUsage[[#This Row],[Used-MB]]</f>
        <v>31412</v>
      </c>
      <c r="N392" s="5">
        <f>IF($L392&gt;0,UnilabUsage[[#This Row],[Free-of-Max]]/UnilabUsage[[#This Row],[Usage-Delta-MB]],UnilabUsage[[#This Row],[Free-of-Max]])</f>
        <v>3926.5</v>
      </c>
    </row>
    <row r="393" spans="1:14" x14ac:dyDescent="0.25">
      <c r="A393" s="3">
        <v>44515</v>
      </c>
      <c r="B393" t="s">
        <v>0</v>
      </c>
      <c r="C393">
        <v>100</v>
      </c>
      <c r="D393">
        <v>17050</v>
      </c>
      <c r="E393">
        <v>22</v>
      </c>
      <c r="F393">
        <v>17028</v>
      </c>
      <c r="G393">
        <v>0</v>
      </c>
      <c r="H393">
        <v>32768</v>
      </c>
      <c r="I393">
        <v>52</v>
      </c>
      <c r="J393" t="s">
        <v>1</v>
      </c>
      <c r="K393" t="s">
        <v>2</v>
      </c>
      <c r="L393" s="8">
        <f>UnilabUsage[[#This Row],[Used-MB]]-F383</f>
        <v>65</v>
      </c>
      <c r="M393">
        <f>UnilabUsage[[#This Row],[Max]]-UnilabUsage[[#This Row],[Used-MB]]</f>
        <v>15740</v>
      </c>
      <c r="N393" s="5">
        <f>IF($L393&gt;0,UnilabUsage[[#This Row],[Free-of-Max]]/UnilabUsage[[#This Row],[Usage-Delta-MB]],UnilabUsage[[#This Row],[Free-of-Max]])</f>
        <v>242.15384615384616</v>
      </c>
    </row>
    <row r="394" spans="1:14" x14ac:dyDescent="0.25">
      <c r="A394" s="3">
        <v>44515</v>
      </c>
      <c r="B394" t="s">
        <v>11</v>
      </c>
      <c r="C394">
        <v>1</v>
      </c>
      <c r="D394">
        <v>100</v>
      </c>
      <c r="E394">
        <v>99</v>
      </c>
      <c r="F394">
        <v>1</v>
      </c>
      <c r="G394">
        <v>99</v>
      </c>
      <c r="H394">
        <v>32768</v>
      </c>
      <c r="I394">
        <v>0</v>
      </c>
      <c r="J394" t="s">
        <v>1</v>
      </c>
      <c r="K394" t="s">
        <v>2</v>
      </c>
      <c r="L394" s="8">
        <f>UnilabUsage[[#This Row],[Used-MB]]-F384</f>
        <v>0</v>
      </c>
      <c r="M394">
        <f>UnilabUsage[[#This Row],[Max]]-UnilabUsage[[#This Row],[Used-MB]]</f>
        <v>32767</v>
      </c>
      <c r="N394" s="5">
        <f>IF($L394&gt;0,UnilabUsage[[#This Row],[Free-of-Max]]/UnilabUsage[[#This Row],[Usage-Delta-MB]],UnilabUsage[[#This Row],[Free-of-Max]])</f>
        <v>32767</v>
      </c>
    </row>
    <row r="395" spans="1:14" x14ac:dyDescent="0.25">
      <c r="A395" s="3">
        <v>44515</v>
      </c>
      <c r="B395" t="s">
        <v>6</v>
      </c>
      <c r="C395">
        <v>95</v>
      </c>
      <c r="D395">
        <v>6765</v>
      </c>
      <c r="E395">
        <v>329</v>
      </c>
      <c r="F395">
        <v>6436</v>
      </c>
      <c r="G395">
        <v>5</v>
      </c>
      <c r="H395">
        <v>32768</v>
      </c>
      <c r="I395">
        <v>20</v>
      </c>
      <c r="J395" t="s">
        <v>1</v>
      </c>
      <c r="K395" t="s">
        <v>2</v>
      </c>
      <c r="L395" s="8">
        <f>UnilabUsage[[#This Row],[Used-MB]]-F385</f>
        <v>3</v>
      </c>
      <c r="M395">
        <f>UnilabUsage[[#This Row],[Max]]-UnilabUsage[[#This Row],[Used-MB]]</f>
        <v>26332</v>
      </c>
      <c r="N395" s="5">
        <f>IF($L395&gt;0,UnilabUsage[[#This Row],[Free-of-Max]]/UnilabUsage[[#This Row],[Usage-Delta-MB]],UnilabUsage[[#This Row],[Free-of-Max]])</f>
        <v>8777.3333333333339</v>
      </c>
    </row>
    <row r="396" spans="1:14" x14ac:dyDescent="0.25">
      <c r="A396" s="3">
        <v>44515</v>
      </c>
      <c r="B396" t="s">
        <v>3</v>
      </c>
      <c r="C396">
        <v>100</v>
      </c>
      <c r="D396">
        <v>377328</v>
      </c>
      <c r="E396">
        <v>1748</v>
      </c>
      <c r="F396">
        <v>375580</v>
      </c>
      <c r="G396">
        <v>0</v>
      </c>
      <c r="H396">
        <v>393216</v>
      </c>
      <c r="I396">
        <v>96</v>
      </c>
      <c r="J396" t="s">
        <v>1</v>
      </c>
      <c r="K396" t="s">
        <v>2</v>
      </c>
      <c r="L396" s="8">
        <f>UnilabUsage[[#This Row],[Used-MB]]-F386</f>
        <v>482</v>
      </c>
      <c r="M396">
        <f>UnilabUsage[[#This Row],[Max]]-UnilabUsage[[#This Row],[Used-MB]]</f>
        <v>17636</v>
      </c>
      <c r="N396" s="5">
        <f>IF($L396&gt;0,UnilabUsage[[#This Row],[Free-of-Max]]/UnilabUsage[[#This Row],[Usage-Delta-MB]],UnilabUsage[[#This Row],[Free-of-Max]])</f>
        <v>36.589211618257259</v>
      </c>
    </row>
    <row r="397" spans="1:14" x14ac:dyDescent="0.25">
      <c r="A397" s="3">
        <v>44515</v>
      </c>
      <c r="B397" t="s">
        <v>5</v>
      </c>
      <c r="C397">
        <v>95</v>
      </c>
      <c r="D397">
        <v>18050</v>
      </c>
      <c r="E397">
        <v>883</v>
      </c>
      <c r="F397">
        <v>17167</v>
      </c>
      <c r="G397">
        <v>5</v>
      </c>
      <c r="H397">
        <v>32768</v>
      </c>
      <c r="I397">
        <v>52</v>
      </c>
      <c r="J397" t="s">
        <v>1</v>
      </c>
      <c r="K397" t="s">
        <v>2</v>
      </c>
      <c r="L397" s="8">
        <f>UnilabUsage[[#This Row],[Used-MB]]-F387</f>
        <v>17</v>
      </c>
      <c r="M397">
        <f>UnilabUsage[[#This Row],[Max]]-UnilabUsage[[#This Row],[Used-MB]]</f>
        <v>15601</v>
      </c>
      <c r="N397" s="5">
        <f>IF($L397&gt;0,UnilabUsage[[#This Row],[Free-of-Max]]/UnilabUsage[[#This Row],[Usage-Delta-MB]],UnilabUsage[[#This Row],[Free-of-Max]])</f>
        <v>917.70588235294122</v>
      </c>
    </row>
    <row r="398" spans="1:14" x14ac:dyDescent="0.25">
      <c r="A398" s="3">
        <v>44515</v>
      </c>
      <c r="B398" t="s">
        <v>8</v>
      </c>
      <c r="C398">
        <v>94</v>
      </c>
      <c r="D398">
        <v>262144</v>
      </c>
      <c r="E398">
        <v>14610</v>
      </c>
      <c r="F398">
        <v>247533</v>
      </c>
      <c r="G398">
        <v>6</v>
      </c>
      <c r="H398">
        <v>262144</v>
      </c>
      <c r="I398">
        <v>94</v>
      </c>
      <c r="J398" t="s">
        <v>1</v>
      </c>
      <c r="K398" t="s">
        <v>2</v>
      </c>
      <c r="L398" s="8">
        <f>UnilabUsage[[#This Row],[Used-MB]]-F388</f>
        <v>275</v>
      </c>
      <c r="M398">
        <f>UnilabUsage[[#This Row],[Max]]-UnilabUsage[[#This Row],[Used-MB]]</f>
        <v>14611</v>
      </c>
      <c r="N398" s="5">
        <f>IF($L398&gt;0,UnilabUsage[[#This Row],[Free-of-Max]]/UnilabUsage[[#This Row],[Usage-Delta-MB]],UnilabUsage[[#This Row],[Free-of-Max]])</f>
        <v>53.130909090909093</v>
      </c>
    </row>
    <row r="399" spans="1:14" x14ac:dyDescent="0.25">
      <c r="A399" s="3">
        <v>44515</v>
      </c>
      <c r="B399" t="s">
        <v>4</v>
      </c>
      <c r="C399">
        <v>97</v>
      </c>
      <c r="D399">
        <v>80853</v>
      </c>
      <c r="E399">
        <v>2226</v>
      </c>
      <c r="F399">
        <v>78627</v>
      </c>
      <c r="G399">
        <v>3</v>
      </c>
      <c r="H399">
        <v>98304</v>
      </c>
      <c r="I399">
        <v>80</v>
      </c>
      <c r="J399" t="s">
        <v>1</v>
      </c>
      <c r="K399" t="s">
        <v>2</v>
      </c>
      <c r="L399" s="8">
        <f>UnilabUsage[[#This Row],[Used-MB]]-F389</f>
        <v>256</v>
      </c>
      <c r="M399">
        <f>UnilabUsage[[#This Row],[Max]]-UnilabUsage[[#This Row],[Used-MB]]</f>
        <v>19677</v>
      </c>
      <c r="N399" s="5">
        <f>IF($L399&gt;0,UnilabUsage[[#This Row],[Free-of-Max]]/UnilabUsage[[#This Row],[Usage-Delta-MB]],UnilabUsage[[#This Row],[Free-of-Max]])</f>
        <v>76.86328125</v>
      </c>
    </row>
    <row r="400" spans="1:14" x14ac:dyDescent="0.25">
      <c r="A400" s="3">
        <v>44515</v>
      </c>
      <c r="B400" t="s">
        <v>12</v>
      </c>
      <c r="C400">
        <v>0</v>
      </c>
      <c r="D400">
        <v>30720</v>
      </c>
      <c r="E400">
        <v>30617</v>
      </c>
      <c r="F400">
        <v>103</v>
      </c>
      <c r="G400">
        <v>100</v>
      </c>
      <c r="H400">
        <v>30720</v>
      </c>
      <c r="I400">
        <v>0</v>
      </c>
      <c r="J400" t="s">
        <v>1</v>
      </c>
      <c r="K400" t="s">
        <v>13</v>
      </c>
      <c r="L400" s="8">
        <f>UnilabUsage[[#This Row],[Used-MB]]-F390</f>
        <v>36</v>
      </c>
      <c r="M400">
        <f>UnilabUsage[[#This Row],[Max]]-UnilabUsage[[#This Row],[Used-MB]]</f>
        <v>30617</v>
      </c>
      <c r="N400" s="5">
        <f>IF($L400&gt;0,UnilabUsage[[#This Row],[Free-of-Max]]/UnilabUsage[[#This Row],[Usage-Delta-MB]],UnilabUsage[[#This Row],[Free-of-Max]])</f>
        <v>850.47222222222217</v>
      </c>
    </row>
    <row r="401" spans="1:14" x14ac:dyDescent="0.25">
      <c r="A401" s="3">
        <v>44515</v>
      </c>
      <c r="B401" t="s">
        <v>9</v>
      </c>
      <c r="C401">
        <v>2</v>
      </c>
      <c r="D401">
        <v>10440</v>
      </c>
      <c r="E401">
        <v>10263</v>
      </c>
      <c r="F401">
        <v>177</v>
      </c>
      <c r="G401">
        <v>98</v>
      </c>
      <c r="H401">
        <v>32768</v>
      </c>
      <c r="I401">
        <v>1</v>
      </c>
      <c r="J401" t="s">
        <v>1</v>
      </c>
      <c r="K401" t="s">
        <v>10</v>
      </c>
      <c r="L401" s="8">
        <f>UnilabUsage[[#This Row],[Used-MB]]-F391</f>
        <v>66</v>
      </c>
      <c r="M401">
        <f>UnilabUsage[[#This Row],[Max]]-UnilabUsage[[#This Row],[Used-MB]]</f>
        <v>32591</v>
      </c>
      <c r="N401" s="5">
        <f>IF($L401&gt;0,UnilabUsage[[#This Row],[Free-of-Max]]/UnilabUsage[[#This Row],[Usage-Delta-MB]],UnilabUsage[[#This Row],[Free-of-Max]])</f>
        <v>493.80303030303031</v>
      </c>
    </row>
    <row r="402" spans="1:14" x14ac:dyDescent="0.25">
      <c r="A402" s="3">
        <v>44523</v>
      </c>
      <c r="B402" t="s">
        <v>7</v>
      </c>
      <c r="C402">
        <v>95</v>
      </c>
      <c r="D402">
        <v>1430</v>
      </c>
      <c r="E402">
        <v>66</v>
      </c>
      <c r="F402">
        <v>1364</v>
      </c>
      <c r="G402">
        <v>5</v>
      </c>
      <c r="H402">
        <v>32768</v>
      </c>
      <c r="I402">
        <v>4</v>
      </c>
      <c r="J402" t="s">
        <v>1</v>
      </c>
      <c r="K402" t="s">
        <v>2</v>
      </c>
      <c r="L402" s="8">
        <f>UnilabUsage[[#This Row],[Used-MB]]-F392</f>
        <v>8</v>
      </c>
      <c r="M402">
        <f>UnilabUsage[[#This Row],[Max]]-UnilabUsage[[#This Row],[Used-MB]]</f>
        <v>31404</v>
      </c>
      <c r="N402" s="5">
        <f>IF($L402&gt;0,UnilabUsage[[#This Row],[Free-of-Max]]/UnilabUsage[[#This Row],[Usage-Delta-MB]],UnilabUsage[[#This Row],[Free-of-Max]])</f>
        <v>3925.5</v>
      </c>
    </row>
    <row r="403" spans="1:14" x14ac:dyDescent="0.25">
      <c r="A403" s="3">
        <v>44523</v>
      </c>
      <c r="B403" t="s">
        <v>0</v>
      </c>
      <c r="C403">
        <v>100</v>
      </c>
      <c r="D403">
        <v>17150</v>
      </c>
      <c r="E403">
        <v>58</v>
      </c>
      <c r="F403">
        <v>17092</v>
      </c>
      <c r="G403">
        <v>0</v>
      </c>
      <c r="H403">
        <v>32768</v>
      </c>
      <c r="I403">
        <v>52</v>
      </c>
      <c r="J403" t="s">
        <v>1</v>
      </c>
      <c r="K403" t="s">
        <v>2</v>
      </c>
      <c r="L403" s="8">
        <f>UnilabUsage[[#This Row],[Used-MB]]-F393</f>
        <v>64</v>
      </c>
      <c r="M403">
        <f>UnilabUsage[[#This Row],[Max]]-UnilabUsage[[#This Row],[Used-MB]]</f>
        <v>15676</v>
      </c>
      <c r="N403" s="5">
        <f>IF($L403&gt;0,UnilabUsage[[#This Row],[Free-of-Max]]/UnilabUsage[[#This Row],[Usage-Delta-MB]],UnilabUsage[[#This Row],[Free-of-Max]])</f>
        <v>244.9375</v>
      </c>
    </row>
    <row r="404" spans="1:14" x14ac:dyDescent="0.25">
      <c r="A404" s="3">
        <v>44523</v>
      </c>
      <c r="B404" t="s">
        <v>11</v>
      </c>
      <c r="C404">
        <v>1</v>
      </c>
      <c r="D404">
        <v>100</v>
      </c>
      <c r="E404">
        <v>99</v>
      </c>
      <c r="F404">
        <v>1</v>
      </c>
      <c r="G404">
        <v>99</v>
      </c>
      <c r="H404">
        <v>32768</v>
      </c>
      <c r="I404">
        <v>0</v>
      </c>
      <c r="J404" t="s">
        <v>1</v>
      </c>
      <c r="K404" t="s">
        <v>2</v>
      </c>
      <c r="L404" s="8">
        <f>UnilabUsage[[#This Row],[Used-MB]]-F394</f>
        <v>0</v>
      </c>
      <c r="M404">
        <f>UnilabUsage[[#This Row],[Max]]-UnilabUsage[[#This Row],[Used-MB]]</f>
        <v>32767</v>
      </c>
      <c r="N404" s="5">
        <f>IF($L404&gt;0,UnilabUsage[[#This Row],[Free-of-Max]]/UnilabUsage[[#This Row],[Usage-Delta-MB]],UnilabUsage[[#This Row],[Free-of-Max]])</f>
        <v>32767</v>
      </c>
    </row>
    <row r="405" spans="1:14" x14ac:dyDescent="0.25">
      <c r="A405" s="3">
        <v>44523</v>
      </c>
      <c r="B405" t="s">
        <v>6</v>
      </c>
      <c r="C405">
        <v>95</v>
      </c>
      <c r="D405">
        <v>6775</v>
      </c>
      <c r="E405">
        <v>331</v>
      </c>
      <c r="F405">
        <v>6444</v>
      </c>
      <c r="G405">
        <v>5</v>
      </c>
      <c r="H405">
        <v>32768</v>
      </c>
      <c r="I405">
        <v>20</v>
      </c>
      <c r="J405" t="s">
        <v>1</v>
      </c>
      <c r="K405" t="s">
        <v>2</v>
      </c>
      <c r="L405" s="8">
        <f>UnilabUsage[[#This Row],[Used-MB]]-F395</f>
        <v>8</v>
      </c>
      <c r="M405">
        <f>UnilabUsage[[#This Row],[Max]]-UnilabUsage[[#This Row],[Used-MB]]</f>
        <v>26324</v>
      </c>
      <c r="N405" s="5">
        <f>IF($L405&gt;0,UnilabUsage[[#This Row],[Free-of-Max]]/UnilabUsage[[#This Row],[Usage-Delta-MB]],UnilabUsage[[#This Row],[Free-of-Max]])</f>
        <v>3290.5</v>
      </c>
    </row>
    <row r="406" spans="1:14" x14ac:dyDescent="0.25">
      <c r="A406" s="3">
        <v>44523</v>
      </c>
      <c r="B406" t="s">
        <v>3</v>
      </c>
      <c r="C406">
        <v>96</v>
      </c>
      <c r="D406">
        <v>393216</v>
      </c>
      <c r="E406">
        <v>16867</v>
      </c>
      <c r="F406">
        <v>376349</v>
      </c>
      <c r="G406">
        <v>4</v>
      </c>
      <c r="H406">
        <v>393216</v>
      </c>
      <c r="I406">
        <v>96</v>
      </c>
      <c r="J406" t="s">
        <v>1</v>
      </c>
      <c r="K406" t="s">
        <v>2</v>
      </c>
      <c r="L406" s="8">
        <f>UnilabUsage[[#This Row],[Used-MB]]-F396</f>
        <v>769</v>
      </c>
      <c r="M406">
        <f>UnilabUsage[[#This Row],[Max]]-UnilabUsage[[#This Row],[Used-MB]]</f>
        <v>16867</v>
      </c>
      <c r="N406" s="5">
        <f>IF($L406&gt;0,UnilabUsage[[#This Row],[Free-of-Max]]/UnilabUsage[[#This Row],[Usage-Delta-MB]],UnilabUsage[[#This Row],[Free-of-Max]])</f>
        <v>21.933680104031211</v>
      </c>
    </row>
    <row r="407" spans="1:14" x14ac:dyDescent="0.25">
      <c r="A407" s="3">
        <v>44523</v>
      </c>
      <c r="B407" t="s">
        <v>5</v>
      </c>
      <c r="C407">
        <v>95</v>
      </c>
      <c r="D407">
        <v>18150</v>
      </c>
      <c r="E407">
        <v>911</v>
      </c>
      <c r="F407">
        <v>17239</v>
      </c>
      <c r="G407">
        <v>5</v>
      </c>
      <c r="H407">
        <v>32768</v>
      </c>
      <c r="I407">
        <v>53</v>
      </c>
      <c r="J407" t="s">
        <v>1</v>
      </c>
      <c r="K407" t="s">
        <v>2</v>
      </c>
      <c r="L407" s="8">
        <f>UnilabUsage[[#This Row],[Used-MB]]-F397</f>
        <v>72</v>
      </c>
      <c r="M407">
        <f>UnilabUsage[[#This Row],[Max]]-UnilabUsage[[#This Row],[Used-MB]]</f>
        <v>15529</v>
      </c>
      <c r="N407" s="5">
        <f>IF($L407&gt;0,UnilabUsage[[#This Row],[Free-of-Max]]/UnilabUsage[[#This Row],[Usage-Delta-MB]],UnilabUsage[[#This Row],[Free-of-Max]])</f>
        <v>215.68055555555554</v>
      </c>
    </row>
    <row r="408" spans="1:14" x14ac:dyDescent="0.25">
      <c r="A408" s="3">
        <v>44523</v>
      </c>
      <c r="B408" t="s">
        <v>8</v>
      </c>
      <c r="C408">
        <v>95</v>
      </c>
      <c r="D408">
        <v>262144</v>
      </c>
      <c r="E408">
        <v>13965</v>
      </c>
      <c r="F408">
        <v>248179</v>
      </c>
      <c r="G408">
        <v>5</v>
      </c>
      <c r="H408">
        <v>262144</v>
      </c>
      <c r="I408">
        <v>95</v>
      </c>
      <c r="J408" t="s">
        <v>1</v>
      </c>
      <c r="K408" t="s">
        <v>2</v>
      </c>
      <c r="L408" s="8">
        <f>UnilabUsage[[#This Row],[Used-MB]]-F398</f>
        <v>646</v>
      </c>
      <c r="M408">
        <f>UnilabUsage[[#This Row],[Max]]-UnilabUsage[[#This Row],[Used-MB]]</f>
        <v>13965</v>
      </c>
      <c r="N408" s="5">
        <f>IF($L408&gt;0,UnilabUsage[[#This Row],[Free-of-Max]]/UnilabUsage[[#This Row],[Usage-Delta-MB]],UnilabUsage[[#This Row],[Free-of-Max]])</f>
        <v>21.617647058823529</v>
      </c>
    </row>
    <row r="409" spans="1:14" x14ac:dyDescent="0.25">
      <c r="A409" s="3">
        <v>44523</v>
      </c>
      <c r="B409" t="s">
        <v>4</v>
      </c>
      <c r="C409">
        <v>97</v>
      </c>
      <c r="D409">
        <v>80853</v>
      </c>
      <c r="E409">
        <v>2162</v>
      </c>
      <c r="F409">
        <v>78691</v>
      </c>
      <c r="G409">
        <v>3</v>
      </c>
      <c r="H409">
        <v>98304</v>
      </c>
      <c r="I409">
        <v>80</v>
      </c>
      <c r="J409" t="s">
        <v>1</v>
      </c>
      <c r="K409" t="s">
        <v>2</v>
      </c>
      <c r="L409" s="8">
        <f>UnilabUsage[[#This Row],[Used-MB]]-F399</f>
        <v>64</v>
      </c>
      <c r="M409">
        <f>UnilabUsage[[#This Row],[Max]]-UnilabUsage[[#This Row],[Used-MB]]</f>
        <v>19613</v>
      </c>
      <c r="N409" s="5">
        <f>IF($L409&gt;0,UnilabUsage[[#This Row],[Free-of-Max]]/UnilabUsage[[#This Row],[Usage-Delta-MB]],UnilabUsage[[#This Row],[Free-of-Max]])</f>
        <v>306.453125</v>
      </c>
    </row>
    <row r="410" spans="1:14" x14ac:dyDescent="0.25">
      <c r="A410" s="3">
        <v>44523</v>
      </c>
      <c r="B410" t="s">
        <v>12</v>
      </c>
      <c r="C410">
        <v>0</v>
      </c>
      <c r="D410">
        <v>30720</v>
      </c>
      <c r="E410">
        <v>30649</v>
      </c>
      <c r="F410">
        <v>71</v>
      </c>
      <c r="G410">
        <v>100</v>
      </c>
      <c r="H410">
        <v>30720</v>
      </c>
      <c r="I410">
        <v>0</v>
      </c>
      <c r="J410" t="s">
        <v>1</v>
      </c>
      <c r="K410" t="s">
        <v>13</v>
      </c>
      <c r="L410" s="8">
        <f>UnilabUsage[[#This Row],[Used-MB]]-F400</f>
        <v>-32</v>
      </c>
      <c r="M410">
        <f>UnilabUsage[[#This Row],[Max]]-UnilabUsage[[#This Row],[Used-MB]]</f>
        <v>30649</v>
      </c>
      <c r="N410" s="5">
        <f>IF($L410&gt;0,UnilabUsage[[#This Row],[Free-of-Max]]/UnilabUsage[[#This Row],[Usage-Delta-MB]],UnilabUsage[[#This Row],[Free-of-Max]])</f>
        <v>30649</v>
      </c>
    </row>
    <row r="411" spans="1:14" x14ac:dyDescent="0.25">
      <c r="A411" s="3">
        <v>44523</v>
      </c>
      <c r="B411" t="s">
        <v>9</v>
      </c>
      <c r="C411">
        <v>2</v>
      </c>
      <c r="D411">
        <v>10440</v>
      </c>
      <c r="E411">
        <v>10247</v>
      </c>
      <c r="F411">
        <v>193</v>
      </c>
      <c r="G411">
        <v>98</v>
      </c>
      <c r="H411">
        <v>32768</v>
      </c>
      <c r="I411">
        <v>1</v>
      </c>
      <c r="J411" t="s">
        <v>1</v>
      </c>
      <c r="K411" t="s">
        <v>10</v>
      </c>
      <c r="L411" s="8">
        <f>UnilabUsage[[#This Row],[Used-MB]]-F401</f>
        <v>16</v>
      </c>
      <c r="M411">
        <f>UnilabUsage[[#This Row],[Max]]-UnilabUsage[[#This Row],[Used-MB]]</f>
        <v>32575</v>
      </c>
      <c r="N411" s="5">
        <f>IF($L411&gt;0,UnilabUsage[[#This Row],[Free-of-Max]]/UnilabUsage[[#This Row],[Usage-Delta-MB]],UnilabUsage[[#This Row],[Free-of-Max]])</f>
        <v>2035.9375</v>
      </c>
    </row>
    <row r="412" spans="1:14" x14ac:dyDescent="0.25">
      <c r="A412" s="3">
        <v>44529</v>
      </c>
      <c r="B412" t="s">
        <v>7</v>
      </c>
      <c r="C412">
        <v>95</v>
      </c>
      <c r="D412">
        <v>1450</v>
      </c>
      <c r="E412">
        <v>78</v>
      </c>
      <c r="F412">
        <v>1372</v>
      </c>
      <c r="G412">
        <v>5</v>
      </c>
      <c r="H412">
        <v>32768</v>
      </c>
      <c r="I412">
        <v>4</v>
      </c>
      <c r="J412" t="s">
        <v>1</v>
      </c>
      <c r="K412" t="s">
        <v>2</v>
      </c>
      <c r="L412" s="8">
        <f>UnilabUsage[[#This Row],[Used-MB]]-F402</f>
        <v>8</v>
      </c>
      <c r="M412">
        <f>UnilabUsage[[#This Row],[Max]]-UnilabUsage[[#This Row],[Used-MB]]</f>
        <v>31396</v>
      </c>
      <c r="N412" s="5">
        <f>IF($L412&gt;0,UnilabUsage[[#This Row],[Free-of-Max]]/UnilabUsage[[#This Row],[Usage-Delta-MB]],UnilabUsage[[#This Row],[Free-of-Max]])</f>
        <v>3924.5</v>
      </c>
    </row>
    <row r="413" spans="1:14" x14ac:dyDescent="0.25">
      <c r="A413" s="3">
        <v>44529</v>
      </c>
      <c r="B413" t="s">
        <v>0</v>
      </c>
      <c r="C413">
        <v>100</v>
      </c>
      <c r="D413">
        <v>17150</v>
      </c>
      <c r="E413">
        <v>58</v>
      </c>
      <c r="F413">
        <v>17092</v>
      </c>
      <c r="G413">
        <v>0</v>
      </c>
      <c r="H413">
        <v>32768</v>
      </c>
      <c r="I413">
        <v>52</v>
      </c>
      <c r="J413" t="s">
        <v>1</v>
      </c>
      <c r="K413" t="s">
        <v>2</v>
      </c>
      <c r="L413" s="8">
        <f>UnilabUsage[[#This Row],[Used-MB]]-F403</f>
        <v>0</v>
      </c>
      <c r="M413">
        <f>UnilabUsage[[#This Row],[Max]]-UnilabUsage[[#This Row],[Used-MB]]</f>
        <v>15676</v>
      </c>
      <c r="N413" s="5">
        <f>IF($L413&gt;0,UnilabUsage[[#This Row],[Free-of-Max]]/UnilabUsage[[#This Row],[Usage-Delta-MB]],UnilabUsage[[#This Row],[Free-of-Max]])</f>
        <v>15676</v>
      </c>
    </row>
    <row r="414" spans="1:14" x14ac:dyDescent="0.25">
      <c r="A414" s="3">
        <v>44529</v>
      </c>
      <c r="B414" t="s">
        <v>11</v>
      </c>
      <c r="C414">
        <v>1</v>
      </c>
      <c r="D414">
        <v>100</v>
      </c>
      <c r="E414">
        <v>99</v>
      </c>
      <c r="F414">
        <v>1</v>
      </c>
      <c r="G414">
        <v>99</v>
      </c>
      <c r="H414">
        <v>32768</v>
      </c>
      <c r="I414">
        <v>0</v>
      </c>
      <c r="J414" t="s">
        <v>1</v>
      </c>
      <c r="K414" t="s">
        <v>2</v>
      </c>
      <c r="L414" s="8">
        <f>UnilabUsage[[#This Row],[Used-MB]]-F404</f>
        <v>0</v>
      </c>
      <c r="M414">
        <f>UnilabUsage[[#This Row],[Max]]-UnilabUsage[[#This Row],[Used-MB]]</f>
        <v>32767</v>
      </c>
      <c r="N414" s="5">
        <f>IF($L414&gt;0,UnilabUsage[[#This Row],[Free-of-Max]]/UnilabUsage[[#This Row],[Usage-Delta-MB]],UnilabUsage[[#This Row],[Free-of-Max]])</f>
        <v>32767</v>
      </c>
    </row>
    <row r="415" spans="1:14" x14ac:dyDescent="0.25">
      <c r="A415" s="3">
        <v>44529</v>
      </c>
      <c r="B415" t="s">
        <v>6</v>
      </c>
      <c r="C415">
        <v>95</v>
      </c>
      <c r="D415">
        <v>6775</v>
      </c>
      <c r="E415">
        <v>323</v>
      </c>
      <c r="F415">
        <v>6452</v>
      </c>
      <c r="G415">
        <v>5</v>
      </c>
      <c r="H415">
        <v>32768</v>
      </c>
      <c r="I415">
        <v>20</v>
      </c>
      <c r="J415" t="s">
        <v>1</v>
      </c>
      <c r="K415" t="s">
        <v>2</v>
      </c>
      <c r="L415" s="8">
        <f>UnilabUsage[[#This Row],[Used-MB]]-F405</f>
        <v>8</v>
      </c>
      <c r="M415">
        <f>UnilabUsage[[#This Row],[Max]]-UnilabUsage[[#This Row],[Used-MB]]</f>
        <v>26316</v>
      </c>
      <c r="N415" s="5">
        <f>IF($L415&gt;0,UnilabUsage[[#This Row],[Free-of-Max]]/UnilabUsage[[#This Row],[Usage-Delta-MB]],UnilabUsage[[#This Row],[Free-of-Max]])</f>
        <v>3289.5</v>
      </c>
    </row>
    <row r="416" spans="1:14" x14ac:dyDescent="0.25">
      <c r="A416" s="3">
        <v>44529</v>
      </c>
      <c r="B416" t="s">
        <v>3</v>
      </c>
      <c r="C416">
        <v>96</v>
      </c>
      <c r="D416">
        <v>393216</v>
      </c>
      <c r="E416">
        <v>16521</v>
      </c>
      <c r="F416">
        <v>376694</v>
      </c>
      <c r="G416">
        <v>4</v>
      </c>
      <c r="H416">
        <v>393216</v>
      </c>
      <c r="I416">
        <v>96</v>
      </c>
      <c r="J416" t="s">
        <v>1</v>
      </c>
      <c r="K416" t="s">
        <v>2</v>
      </c>
      <c r="L416" s="8">
        <f>UnilabUsage[[#This Row],[Used-MB]]-F406</f>
        <v>345</v>
      </c>
      <c r="M416">
        <f>UnilabUsage[[#This Row],[Max]]-UnilabUsage[[#This Row],[Used-MB]]</f>
        <v>16522</v>
      </c>
      <c r="N416" s="5">
        <f>IF($L416&gt;0,UnilabUsage[[#This Row],[Free-of-Max]]/UnilabUsage[[#This Row],[Usage-Delta-MB]],UnilabUsage[[#This Row],[Free-of-Max]])</f>
        <v>47.889855072463767</v>
      </c>
    </row>
    <row r="417" spans="1:14" x14ac:dyDescent="0.25">
      <c r="A417" s="3">
        <v>44529</v>
      </c>
      <c r="B417" t="s">
        <v>5</v>
      </c>
      <c r="C417">
        <v>95</v>
      </c>
      <c r="D417">
        <v>18200</v>
      </c>
      <c r="E417">
        <v>895</v>
      </c>
      <c r="F417">
        <v>17305</v>
      </c>
      <c r="G417">
        <v>5</v>
      </c>
      <c r="H417">
        <v>32768</v>
      </c>
      <c r="I417">
        <v>53</v>
      </c>
      <c r="J417" t="s">
        <v>1</v>
      </c>
      <c r="K417" t="s">
        <v>2</v>
      </c>
      <c r="L417" s="8">
        <f>UnilabUsage[[#This Row],[Used-MB]]-F407</f>
        <v>66</v>
      </c>
      <c r="M417">
        <f>UnilabUsage[[#This Row],[Max]]-UnilabUsage[[#This Row],[Used-MB]]</f>
        <v>15463</v>
      </c>
      <c r="N417" s="5">
        <f>IF($L417&gt;0,UnilabUsage[[#This Row],[Free-of-Max]]/UnilabUsage[[#This Row],[Usage-Delta-MB]],UnilabUsage[[#This Row],[Free-of-Max]])</f>
        <v>234.28787878787878</v>
      </c>
    </row>
    <row r="418" spans="1:14" x14ac:dyDescent="0.25">
      <c r="A418" s="3">
        <v>44529</v>
      </c>
      <c r="B418" t="s">
        <v>8</v>
      </c>
      <c r="C418">
        <v>95</v>
      </c>
      <c r="D418">
        <v>262144</v>
      </c>
      <c r="E418">
        <v>13562</v>
      </c>
      <c r="F418">
        <v>248582</v>
      </c>
      <c r="G418">
        <v>5</v>
      </c>
      <c r="H418">
        <v>262144</v>
      </c>
      <c r="I418">
        <v>95</v>
      </c>
      <c r="J418" t="s">
        <v>1</v>
      </c>
      <c r="K418" t="s">
        <v>2</v>
      </c>
      <c r="L418" s="8">
        <f>UnilabUsage[[#This Row],[Used-MB]]-F408</f>
        <v>403</v>
      </c>
      <c r="M418">
        <f>UnilabUsage[[#This Row],[Max]]-UnilabUsage[[#This Row],[Used-MB]]</f>
        <v>13562</v>
      </c>
      <c r="N418" s="5">
        <f>IF($L418&gt;0,UnilabUsage[[#This Row],[Free-of-Max]]/UnilabUsage[[#This Row],[Usage-Delta-MB]],UnilabUsage[[#This Row],[Free-of-Max]])</f>
        <v>33.652605459057071</v>
      </c>
    </row>
    <row r="419" spans="1:14" x14ac:dyDescent="0.25">
      <c r="A419" s="3">
        <v>44529</v>
      </c>
      <c r="B419" t="s">
        <v>4</v>
      </c>
      <c r="C419">
        <v>97</v>
      </c>
      <c r="D419">
        <v>80853</v>
      </c>
      <c r="E419">
        <v>2098</v>
      </c>
      <c r="F419">
        <v>78755</v>
      </c>
      <c r="G419">
        <v>3</v>
      </c>
      <c r="H419">
        <v>98304</v>
      </c>
      <c r="I419">
        <v>80</v>
      </c>
      <c r="J419" t="s">
        <v>1</v>
      </c>
      <c r="K419" t="s">
        <v>2</v>
      </c>
      <c r="L419" s="8">
        <f>UnilabUsage[[#This Row],[Used-MB]]-F409</f>
        <v>64</v>
      </c>
      <c r="M419">
        <f>UnilabUsage[[#This Row],[Max]]-UnilabUsage[[#This Row],[Used-MB]]</f>
        <v>19549</v>
      </c>
      <c r="N419" s="5">
        <f>IF($L419&gt;0,UnilabUsage[[#This Row],[Free-of-Max]]/UnilabUsage[[#This Row],[Usage-Delta-MB]],UnilabUsage[[#This Row],[Free-of-Max]])</f>
        <v>305.453125</v>
      </c>
    </row>
    <row r="420" spans="1:14" x14ac:dyDescent="0.25">
      <c r="A420" s="3">
        <v>44529</v>
      </c>
      <c r="B420" t="s">
        <v>12</v>
      </c>
      <c r="C420">
        <v>0</v>
      </c>
      <c r="D420">
        <v>30720</v>
      </c>
      <c r="E420">
        <v>30666</v>
      </c>
      <c r="F420">
        <v>54</v>
      </c>
      <c r="G420">
        <v>100</v>
      </c>
      <c r="H420">
        <v>30720</v>
      </c>
      <c r="I420">
        <v>0</v>
      </c>
      <c r="J420" t="s">
        <v>1</v>
      </c>
      <c r="K420" t="s">
        <v>13</v>
      </c>
      <c r="L420" s="8">
        <f>UnilabUsage[[#This Row],[Used-MB]]-F410</f>
        <v>-17</v>
      </c>
      <c r="M420">
        <f>UnilabUsage[[#This Row],[Max]]-UnilabUsage[[#This Row],[Used-MB]]</f>
        <v>30666</v>
      </c>
      <c r="N420" s="5">
        <f>IF($L420&gt;0,UnilabUsage[[#This Row],[Free-of-Max]]/UnilabUsage[[#This Row],[Usage-Delta-MB]],UnilabUsage[[#This Row],[Free-of-Max]])</f>
        <v>30666</v>
      </c>
    </row>
    <row r="421" spans="1:14" x14ac:dyDescent="0.25">
      <c r="A421" s="3">
        <v>44529</v>
      </c>
      <c r="B421" t="s">
        <v>9</v>
      </c>
      <c r="C421">
        <v>1</v>
      </c>
      <c r="D421">
        <v>10440</v>
      </c>
      <c r="E421">
        <v>10316</v>
      </c>
      <c r="F421">
        <v>124</v>
      </c>
      <c r="G421">
        <v>99</v>
      </c>
      <c r="H421">
        <v>32768</v>
      </c>
      <c r="I421">
        <v>0</v>
      </c>
      <c r="J421" t="s">
        <v>1</v>
      </c>
      <c r="K421" t="s">
        <v>10</v>
      </c>
      <c r="L421" s="8">
        <f>UnilabUsage[[#This Row],[Used-MB]]-F411</f>
        <v>-69</v>
      </c>
      <c r="M421">
        <f>UnilabUsage[[#This Row],[Max]]-UnilabUsage[[#This Row],[Used-MB]]</f>
        <v>32644</v>
      </c>
      <c r="N421" s="5">
        <f>IF($L421&gt;0,UnilabUsage[[#This Row],[Free-of-Max]]/UnilabUsage[[#This Row],[Usage-Delta-MB]],UnilabUsage[[#This Row],[Free-of-Max]])</f>
        <v>32644</v>
      </c>
    </row>
    <row r="422" spans="1:14" x14ac:dyDescent="0.25">
      <c r="A422" s="3">
        <v>44536</v>
      </c>
      <c r="B422" t="s">
        <v>7</v>
      </c>
      <c r="C422">
        <v>95</v>
      </c>
      <c r="D422">
        <v>1450</v>
      </c>
      <c r="E422">
        <v>70</v>
      </c>
      <c r="F422">
        <v>1380</v>
      </c>
      <c r="G422">
        <v>5</v>
      </c>
      <c r="H422">
        <v>32768</v>
      </c>
      <c r="I422">
        <v>4</v>
      </c>
      <c r="J422" t="s">
        <v>1</v>
      </c>
      <c r="K422" t="s">
        <v>2</v>
      </c>
      <c r="L422" s="8">
        <f>UnilabUsage[[#This Row],[Used-MB]]-F412</f>
        <v>8</v>
      </c>
      <c r="M422">
        <f>UnilabUsage[[#This Row],[Max]]-UnilabUsage[[#This Row],[Used-MB]]</f>
        <v>31388</v>
      </c>
      <c r="N422" s="5">
        <f>IF($L422&gt;0,UnilabUsage[[#This Row],[Free-of-Max]]/UnilabUsage[[#This Row],[Usage-Delta-MB]],UnilabUsage[[#This Row],[Free-of-Max]])</f>
        <v>3923.5</v>
      </c>
    </row>
    <row r="423" spans="1:14" x14ac:dyDescent="0.25">
      <c r="A423" s="3">
        <v>44536</v>
      </c>
      <c r="B423" t="s">
        <v>0</v>
      </c>
      <c r="C423">
        <v>99</v>
      </c>
      <c r="D423">
        <v>17250</v>
      </c>
      <c r="E423">
        <v>94</v>
      </c>
      <c r="F423">
        <v>17156</v>
      </c>
      <c r="G423">
        <v>1</v>
      </c>
      <c r="H423">
        <v>32768</v>
      </c>
      <c r="I423">
        <v>52</v>
      </c>
      <c r="J423" t="s">
        <v>1</v>
      </c>
      <c r="K423" t="s">
        <v>2</v>
      </c>
      <c r="L423" s="8">
        <f>UnilabUsage[[#This Row],[Used-MB]]-F413</f>
        <v>64</v>
      </c>
      <c r="M423">
        <f>UnilabUsage[[#This Row],[Max]]-UnilabUsage[[#This Row],[Used-MB]]</f>
        <v>15612</v>
      </c>
      <c r="N423" s="5">
        <f>IF($L423&gt;0,UnilabUsage[[#This Row],[Free-of-Max]]/UnilabUsage[[#This Row],[Usage-Delta-MB]],UnilabUsage[[#This Row],[Free-of-Max]])</f>
        <v>243.9375</v>
      </c>
    </row>
    <row r="424" spans="1:14" x14ac:dyDescent="0.25">
      <c r="A424" s="3">
        <v>44536</v>
      </c>
      <c r="B424" t="s">
        <v>11</v>
      </c>
      <c r="C424">
        <v>1</v>
      </c>
      <c r="D424">
        <v>100</v>
      </c>
      <c r="E424">
        <v>99</v>
      </c>
      <c r="F424">
        <v>1</v>
      </c>
      <c r="G424">
        <v>99</v>
      </c>
      <c r="H424">
        <v>32768</v>
      </c>
      <c r="I424">
        <v>0</v>
      </c>
      <c r="J424" t="s">
        <v>1</v>
      </c>
      <c r="K424" t="s">
        <v>2</v>
      </c>
      <c r="L424" s="8">
        <f>UnilabUsage[[#This Row],[Used-MB]]-F414</f>
        <v>0</v>
      </c>
      <c r="M424">
        <f>UnilabUsage[[#This Row],[Max]]-UnilabUsage[[#This Row],[Used-MB]]</f>
        <v>32767</v>
      </c>
      <c r="N424" s="5">
        <f>IF($L424&gt;0,UnilabUsage[[#This Row],[Free-of-Max]]/UnilabUsage[[#This Row],[Usage-Delta-MB]],UnilabUsage[[#This Row],[Free-of-Max]])</f>
        <v>32767</v>
      </c>
    </row>
    <row r="425" spans="1:14" x14ac:dyDescent="0.25">
      <c r="A425" s="3">
        <v>44536</v>
      </c>
      <c r="B425" t="s">
        <v>6</v>
      </c>
      <c r="C425">
        <v>95</v>
      </c>
      <c r="D425">
        <v>6785</v>
      </c>
      <c r="E425">
        <v>332</v>
      </c>
      <c r="F425">
        <v>6453</v>
      </c>
      <c r="G425">
        <v>5</v>
      </c>
      <c r="H425">
        <v>32768</v>
      </c>
      <c r="I425">
        <v>20</v>
      </c>
      <c r="J425" t="s">
        <v>1</v>
      </c>
      <c r="K425" t="s">
        <v>2</v>
      </c>
      <c r="L425" s="8">
        <f>UnilabUsage[[#This Row],[Used-MB]]-F415</f>
        <v>1</v>
      </c>
      <c r="M425">
        <f>UnilabUsage[[#This Row],[Max]]-UnilabUsage[[#This Row],[Used-MB]]</f>
        <v>26315</v>
      </c>
      <c r="N425" s="5">
        <f>IF($L425&gt;0,UnilabUsage[[#This Row],[Free-of-Max]]/UnilabUsage[[#This Row],[Usage-Delta-MB]],UnilabUsage[[#This Row],[Free-of-Max]])</f>
        <v>26315</v>
      </c>
    </row>
    <row r="426" spans="1:14" x14ac:dyDescent="0.25">
      <c r="A426" s="3">
        <v>44536</v>
      </c>
      <c r="B426" t="s">
        <v>3</v>
      </c>
      <c r="C426">
        <v>96</v>
      </c>
      <c r="D426">
        <v>393216</v>
      </c>
      <c r="E426">
        <v>16137</v>
      </c>
      <c r="F426">
        <v>377079</v>
      </c>
      <c r="G426">
        <v>4</v>
      </c>
      <c r="H426">
        <v>393216</v>
      </c>
      <c r="I426">
        <v>96</v>
      </c>
      <c r="J426" t="s">
        <v>1</v>
      </c>
      <c r="K426" t="s">
        <v>2</v>
      </c>
      <c r="L426" s="8">
        <f>UnilabUsage[[#This Row],[Used-MB]]-F416</f>
        <v>385</v>
      </c>
      <c r="M426">
        <f>UnilabUsage[[#This Row],[Max]]-UnilabUsage[[#This Row],[Used-MB]]</f>
        <v>16137</v>
      </c>
      <c r="N426" s="5">
        <f>IF($L426&gt;0,UnilabUsage[[#This Row],[Free-of-Max]]/UnilabUsage[[#This Row],[Usage-Delta-MB]],UnilabUsage[[#This Row],[Free-of-Max]])</f>
        <v>41.914285714285711</v>
      </c>
    </row>
    <row r="427" spans="1:14" x14ac:dyDescent="0.25">
      <c r="A427" s="3">
        <v>44536</v>
      </c>
      <c r="B427" t="s">
        <v>5</v>
      </c>
      <c r="C427">
        <v>95</v>
      </c>
      <c r="D427">
        <v>18250</v>
      </c>
      <c r="E427">
        <v>872</v>
      </c>
      <c r="F427">
        <v>17378</v>
      </c>
      <c r="G427">
        <v>5</v>
      </c>
      <c r="H427">
        <v>32768</v>
      </c>
      <c r="I427">
        <v>53</v>
      </c>
      <c r="J427" t="s">
        <v>1</v>
      </c>
      <c r="K427" t="s">
        <v>2</v>
      </c>
      <c r="L427" s="8">
        <f>UnilabUsage[[#This Row],[Used-MB]]-F417</f>
        <v>73</v>
      </c>
      <c r="M427">
        <f>UnilabUsage[[#This Row],[Max]]-UnilabUsage[[#This Row],[Used-MB]]</f>
        <v>15390</v>
      </c>
      <c r="N427" s="5">
        <f>IF($L427&gt;0,UnilabUsage[[#This Row],[Free-of-Max]]/UnilabUsage[[#This Row],[Usage-Delta-MB]],UnilabUsage[[#This Row],[Free-of-Max]])</f>
        <v>210.82191780821918</v>
      </c>
    </row>
    <row r="428" spans="1:14" x14ac:dyDescent="0.25">
      <c r="A428" s="3">
        <v>44536</v>
      </c>
      <c r="B428" t="s">
        <v>8</v>
      </c>
      <c r="C428">
        <v>95</v>
      </c>
      <c r="D428">
        <v>262144</v>
      </c>
      <c r="E428">
        <v>13017</v>
      </c>
      <c r="F428">
        <v>249127</v>
      </c>
      <c r="G428">
        <v>5</v>
      </c>
      <c r="H428">
        <v>262144</v>
      </c>
      <c r="I428">
        <v>95</v>
      </c>
      <c r="J428" t="s">
        <v>1</v>
      </c>
      <c r="K428" t="s">
        <v>2</v>
      </c>
      <c r="L428" s="8">
        <f>UnilabUsage[[#This Row],[Used-MB]]-F418</f>
        <v>545</v>
      </c>
      <c r="M428">
        <f>UnilabUsage[[#This Row],[Max]]-UnilabUsage[[#This Row],[Used-MB]]</f>
        <v>13017</v>
      </c>
      <c r="N428" s="5">
        <f>IF($L428&gt;0,UnilabUsage[[#This Row],[Free-of-Max]]/UnilabUsage[[#This Row],[Usage-Delta-MB]],UnilabUsage[[#This Row],[Free-of-Max]])</f>
        <v>23.884403669724772</v>
      </c>
    </row>
    <row r="429" spans="1:14" x14ac:dyDescent="0.25">
      <c r="A429" s="3">
        <v>44536</v>
      </c>
      <c r="B429" t="s">
        <v>4</v>
      </c>
      <c r="C429">
        <v>97</v>
      </c>
      <c r="D429">
        <v>80853</v>
      </c>
      <c r="E429">
        <v>2034</v>
      </c>
      <c r="F429">
        <v>78819</v>
      </c>
      <c r="G429">
        <v>3</v>
      </c>
      <c r="H429">
        <v>98304</v>
      </c>
      <c r="I429">
        <v>80</v>
      </c>
      <c r="J429" t="s">
        <v>1</v>
      </c>
      <c r="K429" t="s">
        <v>2</v>
      </c>
      <c r="L429" s="8">
        <f>UnilabUsage[[#This Row],[Used-MB]]-F419</f>
        <v>64</v>
      </c>
      <c r="M429">
        <f>UnilabUsage[[#This Row],[Max]]-UnilabUsage[[#This Row],[Used-MB]]</f>
        <v>19485</v>
      </c>
      <c r="N429" s="5">
        <f>IF($L429&gt;0,UnilabUsage[[#This Row],[Free-of-Max]]/UnilabUsage[[#This Row],[Usage-Delta-MB]],UnilabUsage[[#This Row],[Free-of-Max]])</f>
        <v>304.453125</v>
      </c>
    </row>
    <row r="430" spans="1:14" x14ac:dyDescent="0.25">
      <c r="A430" s="3">
        <v>44536</v>
      </c>
      <c r="B430" t="s">
        <v>12</v>
      </c>
      <c r="C430">
        <v>0</v>
      </c>
      <c r="D430">
        <v>30720</v>
      </c>
      <c r="E430">
        <v>30651</v>
      </c>
      <c r="F430">
        <v>69</v>
      </c>
      <c r="G430">
        <v>100</v>
      </c>
      <c r="H430">
        <v>30720</v>
      </c>
      <c r="I430">
        <v>0</v>
      </c>
      <c r="J430" t="s">
        <v>1</v>
      </c>
      <c r="K430" t="s">
        <v>13</v>
      </c>
      <c r="L430" s="8">
        <f>UnilabUsage[[#This Row],[Used-MB]]-F420</f>
        <v>15</v>
      </c>
      <c r="M430">
        <f>UnilabUsage[[#This Row],[Max]]-UnilabUsage[[#This Row],[Used-MB]]</f>
        <v>30651</v>
      </c>
      <c r="N430" s="5">
        <f>IF($L430&gt;0,UnilabUsage[[#This Row],[Free-of-Max]]/UnilabUsage[[#This Row],[Usage-Delta-MB]],UnilabUsage[[#This Row],[Free-of-Max]])</f>
        <v>2043.4</v>
      </c>
    </row>
    <row r="431" spans="1:14" x14ac:dyDescent="0.25">
      <c r="A431" s="3">
        <v>44536</v>
      </c>
      <c r="B431" t="s">
        <v>9</v>
      </c>
      <c r="C431">
        <v>2</v>
      </c>
      <c r="D431">
        <v>10440</v>
      </c>
      <c r="E431">
        <v>10209</v>
      </c>
      <c r="F431">
        <v>231</v>
      </c>
      <c r="G431">
        <v>98</v>
      </c>
      <c r="H431">
        <v>32768</v>
      </c>
      <c r="I431">
        <v>1</v>
      </c>
      <c r="J431" t="s">
        <v>1</v>
      </c>
      <c r="K431" t="s">
        <v>10</v>
      </c>
      <c r="L431" s="8">
        <f>UnilabUsage[[#This Row],[Used-MB]]-F421</f>
        <v>107</v>
      </c>
      <c r="M431">
        <f>UnilabUsage[[#This Row],[Max]]-UnilabUsage[[#This Row],[Used-MB]]</f>
        <v>32537</v>
      </c>
      <c r="N431" s="5">
        <f>IF($L431&gt;0,UnilabUsage[[#This Row],[Free-of-Max]]/UnilabUsage[[#This Row],[Usage-Delta-MB]],UnilabUsage[[#This Row],[Free-of-Max]])</f>
        <v>304.0841121495327</v>
      </c>
    </row>
    <row r="432" spans="1:14" x14ac:dyDescent="0.25">
      <c r="A432" s="3">
        <v>44543</v>
      </c>
      <c r="B432" t="s">
        <v>7</v>
      </c>
      <c r="C432">
        <v>96</v>
      </c>
      <c r="D432">
        <v>1450</v>
      </c>
      <c r="E432">
        <v>62</v>
      </c>
      <c r="F432">
        <v>1388</v>
      </c>
      <c r="G432">
        <v>4</v>
      </c>
      <c r="H432">
        <v>32768</v>
      </c>
      <c r="I432">
        <v>4</v>
      </c>
      <c r="J432" t="s">
        <v>1</v>
      </c>
      <c r="K432" t="s">
        <v>2</v>
      </c>
      <c r="L432" s="8">
        <f>UnilabUsage[[#This Row],[Used-MB]]-F422</f>
        <v>8</v>
      </c>
      <c r="M432">
        <f>UnilabUsage[[#This Row],[Max]]-UnilabUsage[[#This Row],[Used-MB]]</f>
        <v>31380</v>
      </c>
      <c r="N432" s="5">
        <f>IF($L432&gt;0,UnilabUsage[[#This Row],[Free-of-Max]]/UnilabUsage[[#This Row],[Usage-Delta-MB]],UnilabUsage[[#This Row],[Free-of-Max]])</f>
        <v>3922.5</v>
      </c>
    </row>
    <row r="433" spans="1:14" x14ac:dyDescent="0.25">
      <c r="A433" s="3">
        <v>44543</v>
      </c>
      <c r="B433" t="s">
        <v>0</v>
      </c>
      <c r="C433">
        <v>100</v>
      </c>
      <c r="D433">
        <v>17250</v>
      </c>
      <c r="E433">
        <v>30</v>
      </c>
      <c r="F433">
        <v>17220</v>
      </c>
      <c r="G433">
        <v>0</v>
      </c>
      <c r="H433">
        <v>32768</v>
      </c>
      <c r="I433">
        <v>53</v>
      </c>
      <c r="J433" t="s">
        <v>1</v>
      </c>
      <c r="K433" t="s">
        <v>2</v>
      </c>
      <c r="L433" s="8">
        <f>UnilabUsage[[#This Row],[Used-MB]]-F423</f>
        <v>64</v>
      </c>
      <c r="M433">
        <f>UnilabUsage[[#This Row],[Max]]-UnilabUsage[[#This Row],[Used-MB]]</f>
        <v>15548</v>
      </c>
      <c r="N433" s="5">
        <f>IF($L433&gt;0,UnilabUsage[[#This Row],[Free-of-Max]]/UnilabUsage[[#This Row],[Usage-Delta-MB]],UnilabUsage[[#This Row],[Free-of-Max]])</f>
        <v>242.9375</v>
      </c>
    </row>
    <row r="434" spans="1:14" x14ac:dyDescent="0.25">
      <c r="A434" s="3">
        <v>44543</v>
      </c>
      <c r="B434" t="s">
        <v>11</v>
      </c>
      <c r="C434">
        <v>1</v>
      </c>
      <c r="D434">
        <v>100</v>
      </c>
      <c r="E434">
        <v>99</v>
      </c>
      <c r="F434">
        <v>1</v>
      </c>
      <c r="G434">
        <v>99</v>
      </c>
      <c r="H434">
        <v>32768</v>
      </c>
      <c r="I434">
        <v>0</v>
      </c>
      <c r="J434" t="s">
        <v>1</v>
      </c>
      <c r="K434" t="s">
        <v>2</v>
      </c>
      <c r="L434" s="8">
        <f>UnilabUsage[[#This Row],[Used-MB]]-F424</f>
        <v>0</v>
      </c>
      <c r="M434">
        <f>UnilabUsage[[#This Row],[Max]]-UnilabUsage[[#This Row],[Used-MB]]</f>
        <v>32767</v>
      </c>
      <c r="N434" s="5">
        <f>IF($L434&gt;0,UnilabUsage[[#This Row],[Free-of-Max]]/UnilabUsage[[#This Row],[Usage-Delta-MB]],UnilabUsage[[#This Row],[Free-of-Max]])</f>
        <v>32767</v>
      </c>
    </row>
    <row r="435" spans="1:14" x14ac:dyDescent="0.25">
      <c r="A435" s="3">
        <v>44543</v>
      </c>
      <c r="B435" t="s">
        <v>6</v>
      </c>
      <c r="C435">
        <v>95</v>
      </c>
      <c r="D435">
        <v>6785</v>
      </c>
      <c r="E435">
        <v>331</v>
      </c>
      <c r="F435">
        <v>6454</v>
      </c>
      <c r="G435">
        <v>5</v>
      </c>
      <c r="H435">
        <v>32768</v>
      </c>
      <c r="I435">
        <v>20</v>
      </c>
      <c r="J435" t="s">
        <v>1</v>
      </c>
      <c r="K435" t="s">
        <v>2</v>
      </c>
      <c r="L435" s="8">
        <f>UnilabUsage[[#This Row],[Used-MB]]-F425</f>
        <v>1</v>
      </c>
      <c r="M435">
        <f>UnilabUsage[[#This Row],[Max]]-UnilabUsage[[#This Row],[Used-MB]]</f>
        <v>26314</v>
      </c>
      <c r="N435" s="5">
        <f>IF($L435&gt;0,UnilabUsage[[#This Row],[Free-of-Max]]/UnilabUsage[[#This Row],[Usage-Delta-MB]],UnilabUsage[[#This Row],[Free-of-Max]])</f>
        <v>26314</v>
      </c>
    </row>
    <row r="436" spans="1:14" x14ac:dyDescent="0.25">
      <c r="A436" s="3">
        <v>44543</v>
      </c>
      <c r="B436" t="s">
        <v>3</v>
      </c>
      <c r="C436">
        <v>96</v>
      </c>
      <c r="D436">
        <v>393216</v>
      </c>
      <c r="E436">
        <v>15527</v>
      </c>
      <c r="F436">
        <v>377689</v>
      </c>
      <c r="G436">
        <v>4</v>
      </c>
      <c r="H436">
        <v>393216</v>
      </c>
      <c r="I436">
        <v>96</v>
      </c>
      <c r="J436" t="s">
        <v>1</v>
      </c>
      <c r="K436" t="s">
        <v>2</v>
      </c>
      <c r="L436" s="8">
        <f>UnilabUsage[[#This Row],[Used-MB]]-F426</f>
        <v>610</v>
      </c>
      <c r="M436">
        <f>UnilabUsage[[#This Row],[Max]]-UnilabUsage[[#This Row],[Used-MB]]</f>
        <v>15527</v>
      </c>
      <c r="N436" s="5">
        <f>IF($L436&gt;0,UnilabUsage[[#This Row],[Free-of-Max]]/UnilabUsage[[#This Row],[Usage-Delta-MB]],UnilabUsage[[#This Row],[Free-of-Max]])</f>
        <v>25.454098360655738</v>
      </c>
    </row>
    <row r="437" spans="1:14" x14ac:dyDescent="0.25">
      <c r="A437" s="3">
        <v>44543</v>
      </c>
      <c r="B437" t="s">
        <v>5</v>
      </c>
      <c r="C437">
        <v>95</v>
      </c>
      <c r="D437">
        <v>18350</v>
      </c>
      <c r="E437">
        <v>905</v>
      </c>
      <c r="F437">
        <v>17445</v>
      </c>
      <c r="G437">
        <v>5</v>
      </c>
      <c r="H437">
        <v>32768</v>
      </c>
      <c r="I437">
        <v>53</v>
      </c>
      <c r="J437" t="s">
        <v>1</v>
      </c>
      <c r="K437" t="s">
        <v>2</v>
      </c>
      <c r="L437" s="8">
        <f>UnilabUsage[[#This Row],[Used-MB]]-F427</f>
        <v>67</v>
      </c>
      <c r="M437">
        <f>UnilabUsage[[#This Row],[Max]]-UnilabUsage[[#This Row],[Used-MB]]</f>
        <v>15323</v>
      </c>
      <c r="N437" s="5">
        <f>IF($L437&gt;0,UnilabUsage[[#This Row],[Free-of-Max]]/UnilabUsage[[#This Row],[Usage-Delta-MB]],UnilabUsage[[#This Row],[Free-of-Max]])</f>
        <v>228.70149253731344</v>
      </c>
    </row>
    <row r="438" spans="1:14" x14ac:dyDescent="0.25">
      <c r="A438" s="3">
        <v>44543</v>
      </c>
      <c r="B438" t="s">
        <v>8</v>
      </c>
      <c r="C438">
        <v>95</v>
      </c>
      <c r="D438">
        <v>262144</v>
      </c>
      <c r="E438">
        <v>12717</v>
      </c>
      <c r="F438">
        <v>249427</v>
      </c>
      <c r="G438">
        <v>5</v>
      </c>
      <c r="H438">
        <v>262144</v>
      </c>
      <c r="I438">
        <v>95</v>
      </c>
      <c r="J438" t="s">
        <v>1</v>
      </c>
      <c r="K438" t="s">
        <v>2</v>
      </c>
      <c r="L438" s="8">
        <f>UnilabUsage[[#This Row],[Used-MB]]-F428</f>
        <v>300</v>
      </c>
      <c r="M438">
        <f>UnilabUsage[[#This Row],[Max]]-UnilabUsage[[#This Row],[Used-MB]]</f>
        <v>12717</v>
      </c>
      <c r="N438" s="5">
        <f>IF($L438&gt;0,UnilabUsage[[#This Row],[Free-of-Max]]/UnilabUsage[[#This Row],[Usage-Delta-MB]],UnilabUsage[[#This Row],[Free-of-Max]])</f>
        <v>42.39</v>
      </c>
    </row>
    <row r="439" spans="1:14" x14ac:dyDescent="0.25">
      <c r="A439" s="3">
        <v>44543</v>
      </c>
      <c r="B439" t="s">
        <v>4</v>
      </c>
      <c r="C439">
        <v>98</v>
      </c>
      <c r="D439">
        <v>80853</v>
      </c>
      <c r="E439">
        <v>1842</v>
      </c>
      <c r="F439">
        <v>79011</v>
      </c>
      <c r="G439">
        <v>2</v>
      </c>
      <c r="H439">
        <v>98304</v>
      </c>
      <c r="I439">
        <v>80</v>
      </c>
      <c r="J439" t="s">
        <v>1</v>
      </c>
      <c r="K439" t="s">
        <v>2</v>
      </c>
      <c r="L439" s="8">
        <f>UnilabUsage[[#This Row],[Used-MB]]-F429</f>
        <v>192</v>
      </c>
      <c r="M439">
        <f>UnilabUsage[[#This Row],[Max]]-UnilabUsage[[#This Row],[Used-MB]]</f>
        <v>19293</v>
      </c>
      <c r="N439" s="5">
        <f>IF($L439&gt;0,UnilabUsage[[#This Row],[Free-of-Max]]/UnilabUsage[[#This Row],[Usage-Delta-MB]],UnilabUsage[[#This Row],[Free-of-Max]])</f>
        <v>100.484375</v>
      </c>
    </row>
    <row r="440" spans="1:14" x14ac:dyDescent="0.25">
      <c r="A440" s="3">
        <v>44543</v>
      </c>
      <c r="B440" t="s">
        <v>12</v>
      </c>
      <c r="C440">
        <v>0</v>
      </c>
      <c r="D440">
        <v>30720</v>
      </c>
      <c r="E440">
        <v>30678</v>
      </c>
      <c r="F440">
        <v>42</v>
      </c>
      <c r="G440">
        <v>100</v>
      </c>
      <c r="H440">
        <v>30720</v>
      </c>
      <c r="I440">
        <v>0</v>
      </c>
      <c r="J440" t="s">
        <v>1</v>
      </c>
      <c r="K440" t="s">
        <v>13</v>
      </c>
      <c r="L440" s="8">
        <f>UnilabUsage[[#This Row],[Used-MB]]-F430</f>
        <v>-27</v>
      </c>
      <c r="M440">
        <f>UnilabUsage[[#This Row],[Max]]-UnilabUsage[[#This Row],[Used-MB]]</f>
        <v>30678</v>
      </c>
      <c r="N440" s="5">
        <f>IF($L440&gt;0,UnilabUsage[[#This Row],[Free-of-Max]]/UnilabUsage[[#This Row],[Usage-Delta-MB]],UnilabUsage[[#This Row],[Free-of-Max]])</f>
        <v>30678</v>
      </c>
    </row>
    <row r="441" spans="1:14" x14ac:dyDescent="0.25">
      <c r="A441" s="3">
        <v>44543</v>
      </c>
      <c r="B441" t="s">
        <v>9</v>
      </c>
      <c r="C441">
        <v>1</v>
      </c>
      <c r="D441">
        <v>10440</v>
      </c>
      <c r="E441">
        <v>10334</v>
      </c>
      <c r="F441">
        <v>106</v>
      </c>
      <c r="G441">
        <v>99</v>
      </c>
      <c r="H441">
        <v>32768</v>
      </c>
      <c r="I441">
        <v>0</v>
      </c>
      <c r="J441" t="s">
        <v>1</v>
      </c>
      <c r="K441" t="s">
        <v>10</v>
      </c>
      <c r="L441" s="8">
        <f>UnilabUsage[[#This Row],[Used-MB]]-F431</f>
        <v>-125</v>
      </c>
      <c r="M441">
        <f>UnilabUsage[[#This Row],[Max]]-UnilabUsage[[#This Row],[Used-MB]]</f>
        <v>32662</v>
      </c>
      <c r="N441" s="5">
        <f>IF($L441&gt;0,UnilabUsage[[#This Row],[Free-of-Max]]/UnilabUsage[[#This Row],[Usage-Delta-MB]],UnilabUsage[[#This Row],[Free-of-Max]])</f>
        <v>32662</v>
      </c>
    </row>
    <row r="442" spans="1:14" x14ac:dyDescent="0.25">
      <c r="A442" s="3">
        <v>44551</v>
      </c>
      <c r="B442" t="s">
        <v>7</v>
      </c>
      <c r="C442">
        <v>95</v>
      </c>
      <c r="D442">
        <v>1470</v>
      </c>
      <c r="E442">
        <v>74</v>
      </c>
      <c r="F442">
        <v>1396</v>
      </c>
      <c r="G442">
        <v>5</v>
      </c>
      <c r="H442">
        <v>32768</v>
      </c>
      <c r="I442">
        <v>4</v>
      </c>
      <c r="J442" t="s">
        <v>1</v>
      </c>
      <c r="K442" t="s">
        <v>2</v>
      </c>
      <c r="L442" s="8">
        <f>UnilabUsage[[#This Row],[Used-MB]]-F432</f>
        <v>8</v>
      </c>
      <c r="M442">
        <f>UnilabUsage[[#This Row],[Max]]-UnilabUsage[[#This Row],[Used-MB]]</f>
        <v>31372</v>
      </c>
      <c r="N442" s="5">
        <f>IF($L442&gt;0,UnilabUsage[[#This Row],[Free-of-Max]]/UnilabUsage[[#This Row],[Usage-Delta-MB]],UnilabUsage[[#This Row],[Free-of-Max]])</f>
        <v>3921.5</v>
      </c>
    </row>
    <row r="443" spans="1:14" x14ac:dyDescent="0.25">
      <c r="A443" s="3">
        <v>44551</v>
      </c>
      <c r="B443" t="s">
        <v>0</v>
      </c>
      <c r="C443">
        <v>100</v>
      </c>
      <c r="D443">
        <v>17350</v>
      </c>
      <c r="E443">
        <v>66</v>
      </c>
      <c r="F443">
        <v>17284</v>
      </c>
      <c r="G443">
        <v>0</v>
      </c>
      <c r="H443">
        <v>32768</v>
      </c>
      <c r="I443">
        <v>53</v>
      </c>
      <c r="J443" t="s">
        <v>1</v>
      </c>
      <c r="K443" t="s">
        <v>2</v>
      </c>
      <c r="L443" s="8">
        <f>UnilabUsage[[#This Row],[Used-MB]]-F433</f>
        <v>64</v>
      </c>
      <c r="M443">
        <f>UnilabUsage[[#This Row],[Max]]-UnilabUsage[[#This Row],[Used-MB]]</f>
        <v>15484</v>
      </c>
      <c r="N443" s="5">
        <f>IF($L443&gt;0,UnilabUsage[[#This Row],[Free-of-Max]]/UnilabUsage[[#This Row],[Usage-Delta-MB]],UnilabUsage[[#This Row],[Free-of-Max]])</f>
        <v>241.9375</v>
      </c>
    </row>
    <row r="444" spans="1:14" x14ac:dyDescent="0.25">
      <c r="A444" s="3">
        <v>44551</v>
      </c>
      <c r="B444" t="s">
        <v>11</v>
      </c>
      <c r="C444">
        <v>1</v>
      </c>
      <c r="D444">
        <v>100</v>
      </c>
      <c r="E444">
        <v>99</v>
      </c>
      <c r="F444">
        <v>1</v>
      </c>
      <c r="G444">
        <v>99</v>
      </c>
      <c r="H444">
        <v>32768</v>
      </c>
      <c r="I444">
        <v>0</v>
      </c>
      <c r="J444" t="s">
        <v>1</v>
      </c>
      <c r="K444" t="s">
        <v>2</v>
      </c>
      <c r="L444" s="8">
        <f>UnilabUsage[[#This Row],[Used-MB]]-F434</f>
        <v>0</v>
      </c>
      <c r="M444">
        <f>UnilabUsage[[#This Row],[Max]]-UnilabUsage[[#This Row],[Used-MB]]</f>
        <v>32767</v>
      </c>
      <c r="N444" s="5">
        <f>IF($L444&gt;0,UnilabUsage[[#This Row],[Free-of-Max]]/UnilabUsage[[#This Row],[Usage-Delta-MB]],UnilabUsage[[#This Row],[Free-of-Max]])</f>
        <v>32767</v>
      </c>
    </row>
    <row r="445" spans="1:14" x14ac:dyDescent="0.25">
      <c r="A445" s="3">
        <v>44551</v>
      </c>
      <c r="B445" t="s">
        <v>6</v>
      </c>
      <c r="C445">
        <v>95</v>
      </c>
      <c r="D445">
        <v>6805</v>
      </c>
      <c r="E445">
        <v>326</v>
      </c>
      <c r="F445">
        <v>6479</v>
      </c>
      <c r="G445">
        <v>5</v>
      </c>
      <c r="H445">
        <v>32768</v>
      </c>
      <c r="I445">
        <v>20</v>
      </c>
      <c r="J445" t="s">
        <v>1</v>
      </c>
      <c r="K445" t="s">
        <v>2</v>
      </c>
      <c r="L445" s="8">
        <f>UnilabUsage[[#This Row],[Used-MB]]-F435</f>
        <v>25</v>
      </c>
      <c r="M445">
        <f>UnilabUsage[[#This Row],[Max]]-UnilabUsage[[#This Row],[Used-MB]]</f>
        <v>26289</v>
      </c>
      <c r="N445" s="5">
        <f>IF($L445&gt;0,UnilabUsage[[#This Row],[Free-of-Max]]/UnilabUsage[[#This Row],[Usage-Delta-MB]],UnilabUsage[[#This Row],[Free-of-Max]])</f>
        <v>1051.56</v>
      </c>
    </row>
    <row r="446" spans="1:14" x14ac:dyDescent="0.25">
      <c r="A446" s="3">
        <v>44551</v>
      </c>
      <c r="B446" t="s">
        <v>3</v>
      </c>
      <c r="C446">
        <v>96</v>
      </c>
      <c r="D446">
        <v>393216</v>
      </c>
      <c r="E446">
        <v>14799</v>
      </c>
      <c r="F446">
        <v>378417</v>
      </c>
      <c r="G446">
        <v>4</v>
      </c>
      <c r="H446">
        <v>393216</v>
      </c>
      <c r="I446">
        <v>96</v>
      </c>
      <c r="J446" t="s">
        <v>1</v>
      </c>
      <c r="K446" t="s">
        <v>2</v>
      </c>
      <c r="L446" s="8">
        <f>UnilabUsage[[#This Row],[Used-MB]]-F436</f>
        <v>728</v>
      </c>
      <c r="M446">
        <f>UnilabUsage[[#This Row],[Max]]-UnilabUsage[[#This Row],[Used-MB]]</f>
        <v>14799</v>
      </c>
      <c r="N446" s="5">
        <f>IF($L446&gt;0,UnilabUsage[[#This Row],[Free-of-Max]]/UnilabUsage[[#This Row],[Usage-Delta-MB]],UnilabUsage[[#This Row],[Free-of-Max]])</f>
        <v>20.328296703296704</v>
      </c>
    </row>
    <row r="447" spans="1:14" x14ac:dyDescent="0.25">
      <c r="A447" s="3">
        <v>44551</v>
      </c>
      <c r="B447" t="s">
        <v>5</v>
      </c>
      <c r="C447">
        <v>95</v>
      </c>
      <c r="D447">
        <v>18400</v>
      </c>
      <c r="E447">
        <v>882</v>
      </c>
      <c r="F447">
        <v>17518</v>
      </c>
      <c r="G447">
        <v>5</v>
      </c>
      <c r="H447">
        <v>32768</v>
      </c>
      <c r="I447">
        <v>53</v>
      </c>
      <c r="J447" t="s">
        <v>1</v>
      </c>
      <c r="K447" t="s">
        <v>2</v>
      </c>
      <c r="L447" s="8">
        <f>UnilabUsage[[#This Row],[Used-MB]]-F437</f>
        <v>73</v>
      </c>
      <c r="M447">
        <f>UnilabUsage[[#This Row],[Max]]-UnilabUsage[[#This Row],[Used-MB]]</f>
        <v>15250</v>
      </c>
      <c r="N447" s="5">
        <f>IF($L447&gt;0,UnilabUsage[[#This Row],[Free-of-Max]]/UnilabUsage[[#This Row],[Usage-Delta-MB]],UnilabUsage[[#This Row],[Free-of-Max]])</f>
        <v>208.9041095890411</v>
      </c>
    </row>
    <row r="448" spans="1:14" x14ac:dyDescent="0.25">
      <c r="A448" s="3">
        <v>44551</v>
      </c>
      <c r="B448" t="s">
        <v>8</v>
      </c>
      <c r="C448">
        <v>95</v>
      </c>
      <c r="D448">
        <v>262144</v>
      </c>
      <c r="E448">
        <v>12204</v>
      </c>
      <c r="F448">
        <v>249940</v>
      </c>
      <c r="G448">
        <v>5</v>
      </c>
      <c r="H448">
        <v>262144</v>
      </c>
      <c r="I448">
        <v>95</v>
      </c>
      <c r="J448" t="s">
        <v>1</v>
      </c>
      <c r="K448" t="s">
        <v>2</v>
      </c>
      <c r="L448" s="8">
        <f>UnilabUsage[[#This Row],[Used-MB]]-F438</f>
        <v>513</v>
      </c>
      <c r="M448">
        <f>UnilabUsage[[#This Row],[Max]]-UnilabUsage[[#This Row],[Used-MB]]</f>
        <v>12204</v>
      </c>
      <c r="N448" s="5">
        <f>IF($L448&gt;0,UnilabUsage[[#This Row],[Free-of-Max]]/UnilabUsage[[#This Row],[Usage-Delta-MB]],UnilabUsage[[#This Row],[Free-of-Max]])</f>
        <v>23.789473684210527</v>
      </c>
    </row>
    <row r="449" spans="1:14" x14ac:dyDescent="0.25">
      <c r="A449" s="3">
        <v>44551</v>
      </c>
      <c r="B449" t="s">
        <v>4</v>
      </c>
      <c r="C449">
        <v>98</v>
      </c>
      <c r="D449">
        <v>80853</v>
      </c>
      <c r="E449">
        <v>1778</v>
      </c>
      <c r="F449">
        <v>79075</v>
      </c>
      <c r="G449">
        <v>2</v>
      </c>
      <c r="H449">
        <v>98304</v>
      </c>
      <c r="I449">
        <v>80</v>
      </c>
      <c r="J449" t="s">
        <v>1</v>
      </c>
      <c r="K449" t="s">
        <v>2</v>
      </c>
      <c r="L449" s="8">
        <f>UnilabUsage[[#This Row],[Used-MB]]-F439</f>
        <v>64</v>
      </c>
      <c r="M449">
        <f>UnilabUsage[[#This Row],[Max]]-UnilabUsage[[#This Row],[Used-MB]]</f>
        <v>19229</v>
      </c>
      <c r="N449" s="5">
        <f>IF($L449&gt;0,UnilabUsage[[#This Row],[Free-of-Max]]/UnilabUsage[[#This Row],[Usage-Delta-MB]],UnilabUsage[[#This Row],[Free-of-Max]])</f>
        <v>300.453125</v>
      </c>
    </row>
    <row r="450" spans="1:14" x14ac:dyDescent="0.25">
      <c r="A450" s="3">
        <v>44551</v>
      </c>
      <c r="B450" t="s">
        <v>12</v>
      </c>
      <c r="C450">
        <v>0</v>
      </c>
      <c r="D450">
        <v>30720</v>
      </c>
      <c r="E450">
        <v>30609</v>
      </c>
      <c r="F450">
        <v>111</v>
      </c>
      <c r="G450">
        <v>100</v>
      </c>
      <c r="H450">
        <v>30720</v>
      </c>
      <c r="I450">
        <v>0</v>
      </c>
      <c r="J450" t="s">
        <v>1</v>
      </c>
      <c r="K450" t="s">
        <v>13</v>
      </c>
      <c r="L450" s="8">
        <f>UnilabUsage[[#This Row],[Used-MB]]-F440</f>
        <v>69</v>
      </c>
      <c r="M450">
        <f>UnilabUsage[[#This Row],[Max]]-UnilabUsage[[#This Row],[Used-MB]]</f>
        <v>30609</v>
      </c>
      <c r="N450" s="5">
        <f>IF($L450&gt;0,UnilabUsage[[#This Row],[Free-of-Max]]/UnilabUsage[[#This Row],[Usage-Delta-MB]],UnilabUsage[[#This Row],[Free-of-Max]])</f>
        <v>443.60869565217394</v>
      </c>
    </row>
    <row r="451" spans="1:14" x14ac:dyDescent="0.25">
      <c r="A451" s="3">
        <v>44551</v>
      </c>
      <c r="B451" t="s">
        <v>9</v>
      </c>
      <c r="C451">
        <v>2</v>
      </c>
      <c r="D451">
        <v>10440</v>
      </c>
      <c r="E451">
        <v>10283</v>
      </c>
      <c r="F451">
        <v>157</v>
      </c>
      <c r="G451">
        <v>98</v>
      </c>
      <c r="H451">
        <v>32768</v>
      </c>
      <c r="I451">
        <v>0</v>
      </c>
      <c r="J451" t="s">
        <v>1</v>
      </c>
      <c r="K451" t="s">
        <v>10</v>
      </c>
      <c r="L451" s="8">
        <f>UnilabUsage[[#This Row],[Used-MB]]-F441</f>
        <v>51</v>
      </c>
      <c r="M451">
        <f>UnilabUsage[[#This Row],[Max]]-UnilabUsage[[#This Row],[Used-MB]]</f>
        <v>32611</v>
      </c>
      <c r="N451" s="5">
        <f>IF($L451&gt;0,UnilabUsage[[#This Row],[Free-of-Max]]/UnilabUsage[[#This Row],[Usage-Delta-MB]],UnilabUsage[[#This Row],[Free-of-Max]])</f>
        <v>639.43137254901956</v>
      </c>
    </row>
    <row r="452" spans="1:14" x14ac:dyDescent="0.25">
      <c r="A452" s="3">
        <v>44565</v>
      </c>
      <c r="B452" t="s">
        <v>7</v>
      </c>
      <c r="C452">
        <v>95</v>
      </c>
      <c r="D452">
        <v>1470</v>
      </c>
      <c r="E452">
        <v>68</v>
      </c>
      <c r="F452">
        <v>1402</v>
      </c>
      <c r="G452">
        <v>5</v>
      </c>
      <c r="H452">
        <v>32768</v>
      </c>
      <c r="I452">
        <v>4</v>
      </c>
      <c r="J452" t="s">
        <v>1</v>
      </c>
      <c r="K452" t="s">
        <v>2</v>
      </c>
      <c r="L452" s="8">
        <f>UnilabUsage[[#This Row],[Used-MB]]-F442</f>
        <v>6</v>
      </c>
      <c r="M452">
        <f>UnilabUsage[[#This Row],[Max]]-UnilabUsage[[#This Row],[Used-MB]]</f>
        <v>31366</v>
      </c>
      <c r="N452" s="5">
        <f>IF($L452&gt;0,UnilabUsage[[#This Row],[Free-of-Max]]/UnilabUsage[[#This Row],[Usage-Delta-MB]],UnilabUsage[[#This Row],[Free-of-Max]])</f>
        <v>5227.666666666667</v>
      </c>
    </row>
    <row r="453" spans="1:14" x14ac:dyDescent="0.25">
      <c r="A453" s="3">
        <v>44565</v>
      </c>
      <c r="B453" t="s">
        <v>0</v>
      </c>
      <c r="C453">
        <v>100</v>
      </c>
      <c r="D453">
        <v>17450</v>
      </c>
      <c r="E453">
        <v>37</v>
      </c>
      <c r="F453">
        <v>17413</v>
      </c>
      <c r="G453">
        <v>0</v>
      </c>
      <c r="H453">
        <v>32768</v>
      </c>
      <c r="I453">
        <v>53</v>
      </c>
      <c r="J453" t="s">
        <v>1</v>
      </c>
      <c r="K453" t="s">
        <v>2</v>
      </c>
      <c r="L453" s="8">
        <f>UnilabUsage[[#This Row],[Used-MB]]-F443</f>
        <v>129</v>
      </c>
      <c r="M453">
        <f>UnilabUsage[[#This Row],[Max]]-UnilabUsage[[#This Row],[Used-MB]]</f>
        <v>15355</v>
      </c>
      <c r="N453" s="5">
        <f>IF($L453&gt;0,UnilabUsage[[#This Row],[Free-of-Max]]/UnilabUsage[[#This Row],[Usage-Delta-MB]],UnilabUsage[[#This Row],[Free-of-Max]])</f>
        <v>119.03100775193798</v>
      </c>
    </row>
    <row r="454" spans="1:14" x14ac:dyDescent="0.25">
      <c r="A454" s="3">
        <v>44565</v>
      </c>
      <c r="B454" t="s">
        <v>11</v>
      </c>
      <c r="C454">
        <v>1</v>
      </c>
      <c r="D454">
        <v>100</v>
      </c>
      <c r="E454">
        <v>99</v>
      </c>
      <c r="F454">
        <v>1</v>
      </c>
      <c r="G454">
        <v>99</v>
      </c>
      <c r="H454">
        <v>32768</v>
      </c>
      <c r="I454">
        <v>0</v>
      </c>
      <c r="J454" t="s">
        <v>1</v>
      </c>
      <c r="K454" t="s">
        <v>2</v>
      </c>
      <c r="L454" s="8">
        <f>UnilabUsage[[#This Row],[Used-MB]]-F444</f>
        <v>0</v>
      </c>
      <c r="M454">
        <f>UnilabUsage[[#This Row],[Max]]-UnilabUsage[[#This Row],[Used-MB]]</f>
        <v>32767</v>
      </c>
      <c r="N454" s="5">
        <f>IF($L454&gt;0,UnilabUsage[[#This Row],[Free-of-Max]]/UnilabUsage[[#This Row],[Usage-Delta-MB]],UnilabUsage[[#This Row],[Free-of-Max]])</f>
        <v>32767</v>
      </c>
    </row>
    <row r="455" spans="1:14" x14ac:dyDescent="0.25">
      <c r="A455" s="3">
        <v>44565</v>
      </c>
      <c r="B455" t="s">
        <v>6</v>
      </c>
      <c r="C455">
        <v>95</v>
      </c>
      <c r="D455">
        <v>6805</v>
      </c>
      <c r="E455">
        <v>326</v>
      </c>
      <c r="F455">
        <v>6479</v>
      </c>
      <c r="G455">
        <v>5</v>
      </c>
      <c r="H455">
        <v>32768</v>
      </c>
      <c r="I455">
        <v>20</v>
      </c>
      <c r="J455" t="s">
        <v>1</v>
      </c>
      <c r="K455" t="s">
        <v>2</v>
      </c>
      <c r="L455" s="8">
        <f>UnilabUsage[[#This Row],[Used-MB]]-F445</f>
        <v>0</v>
      </c>
      <c r="M455">
        <f>UnilabUsage[[#This Row],[Max]]-UnilabUsage[[#This Row],[Used-MB]]</f>
        <v>26289</v>
      </c>
      <c r="N455" s="5">
        <f>IF($L455&gt;0,UnilabUsage[[#This Row],[Free-of-Max]]/UnilabUsage[[#This Row],[Usage-Delta-MB]],UnilabUsage[[#This Row],[Free-of-Max]])</f>
        <v>26289</v>
      </c>
    </row>
    <row r="456" spans="1:14" x14ac:dyDescent="0.25">
      <c r="A456" s="3">
        <v>44565</v>
      </c>
      <c r="B456" t="s">
        <v>3</v>
      </c>
      <c r="C456">
        <v>96</v>
      </c>
      <c r="D456">
        <v>393216</v>
      </c>
      <c r="E456">
        <v>14054</v>
      </c>
      <c r="F456">
        <v>379162</v>
      </c>
      <c r="G456">
        <v>4</v>
      </c>
      <c r="H456">
        <v>393216</v>
      </c>
      <c r="I456">
        <v>96</v>
      </c>
      <c r="J456" t="s">
        <v>1</v>
      </c>
      <c r="K456" t="s">
        <v>2</v>
      </c>
      <c r="L456" s="8">
        <f>UnilabUsage[[#This Row],[Used-MB]]-F446</f>
        <v>745</v>
      </c>
      <c r="M456">
        <f>UnilabUsage[[#This Row],[Max]]-UnilabUsage[[#This Row],[Used-MB]]</f>
        <v>14054</v>
      </c>
      <c r="N456" s="5">
        <f>IF($L456&gt;0,UnilabUsage[[#This Row],[Free-of-Max]]/UnilabUsage[[#This Row],[Usage-Delta-MB]],UnilabUsage[[#This Row],[Free-of-Max]])</f>
        <v>18.864429530201342</v>
      </c>
    </row>
    <row r="457" spans="1:14" x14ac:dyDescent="0.25">
      <c r="A457" s="3">
        <v>44565</v>
      </c>
      <c r="B457" t="s">
        <v>5</v>
      </c>
      <c r="C457">
        <v>95</v>
      </c>
      <c r="D457">
        <v>18400</v>
      </c>
      <c r="E457">
        <v>882</v>
      </c>
      <c r="F457">
        <v>17518</v>
      </c>
      <c r="G457">
        <v>5</v>
      </c>
      <c r="H457">
        <v>32768</v>
      </c>
      <c r="I457">
        <v>53</v>
      </c>
      <c r="J457" t="s">
        <v>1</v>
      </c>
      <c r="K457" t="s">
        <v>2</v>
      </c>
      <c r="L457" s="8">
        <f>UnilabUsage[[#This Row],[Used-MB]]-F447</f>
        <v>0</v>
      </c>
      <c r="M457">
        <f>UnilabUsage[[#This Row],[Max]]-UnilabUsage[[#This Row],[Used-MB]]</f>
        <v>15250</v>
      </c>
      <c r="N457" s="5">
        <f>IF($L457&gt;0,UnilabUsage[[#This Row],[Free-of-Max]]/UnilabUsage[[#This Row],[Usage-Delta-MB]],UnilabUsage[[#This Row],[Free-of-Max]])</f>
        <v>15250</v>
      </c>
    </row>
    <row r="458" spans="1:14" x14ac:dyDescent="0.25">
      <c r="A458" s="3">
        <v>44565</v>
      </c>
      <c r="B458" t="s">
        <v>8</v>
      </c>
      <c r="C458">
        <v>96</v>
      </c>
      <c r="D458">
        <v>262144</v>
      </c>
      <c r="E458">
        <v>11527</v>
      </c>
      <c r="F458">
        <v>250616</v>
      </c>
      <c r="G458">
        <v>4</v>
      </c>
      <c r="H458">
        <v>262144</v>
      </c>
      <c r="I458">
        <v>96</v>
      </c>
      <c r="J458" t="s">
        <v>1</v>
      </c>
      <c r="K458" t="s">
        <v>2</v>
      </c>
      <c r="L458" s="8">
        <f>UnilabUsage[[#This Row],[Used-MB]]-F448</f>
        <v>676</v>
      </c>
      <c r="M458">
        <f>UnilabUsage[[#This Row],[Max]]-UnilabUsage[[#This Row],[Used-MB]]</f>
        <v>11528</v>
      </c>
      <c r="N458" s="5">
        <f>IF($L458&gt;0,UnilabUsage[[#This Row],[Free-of-Max]]/UnilabUsage[[#This Row],[Usage-Delta-MB]],UnilabUsage[[#This Row],[Free-of-Max]])</f>
        <v>17.053254437869821</v>
      </c>
    </row>
    <row r="459" spans="1:14" x14ac:dyDescent="0.25">
      <c r="A459" s="3">
        <v>44565</v>
      </c>
      <c r="B459" t="s">
        <v>4</v>
      </c>
      <c r="C459">
        <v>98</v>
      </c>
      <c r="D459">
        <v>80853</v>
      </c>
      <c r="E459">
        <v>1714</v>
      </c>
      <c r="F459">
        <v>79139</v>
      </c>
      <c r="G459">
        <v>2</v>
      </c>
      <c r="H459">
        <v>98304</v>
      </c>
      <c r="I459">
        <v>81</v>
      </c>
      <c r="J459" t="s">
        <v>1</v>
      </c>
      <c r="K459" t="s">
        <v>2</v>
      </c>
      <c r="L459" s="8">
        <f>UnilabUsage[[#This Row],[Used-MB]]-F449</f>
        <v>64</v>
      </c>
      <c r="M459">
        <f>UnilabUsage[[#This Row],[Max]]-UnilabUsage[[#This Row],[Used-MB]]</f>
        <v>19165</v>
      </c>
      <c r="N459" s="5">
        <f>IF($L459&gt;0,UnilabUsage[[#This Row],[Free-of-Max]]/UnilabUsage[[#This Row],[Usage-Delta-MB]],UnilabUsage[[#This Row],[Free-of-Max]])</f>
        <v>299.453125</v>
      </c>
    </row>
    <row r="460" spans="1:14" x14ac:dyDescent="0.25">
      <c r="A460" s="3">
        <v>44565</v>
      </c>
      <c r="B460" t="s">
        <v>12</v>
      </c>
      <c r="C460">
        <v>0</v>
      </c>
      <c r="D460">
        <v>30720</v>
      </c>
      <c r="E460">
        <v>30677</v>
      </c>
      <c r="F460">
        <v>43</v>
      </c>
      <c r="G460">
        <v>100</v>
      </c>
      <c r="H460">
        <v>30720</v>
      </c>
      <c r="I460">
        <v>0</v>
      </c>
      <c r="J460" t="s">
        <v>1</v>
      </c>
      <c r="K460" t="s">
        <v>13</v>
      </c>
      <c r="L460" s="8">
        <f>UnilabUsage[[#This Row],[Used-MB]]-F450</f>
        <v>-68</v>
      </c>
      <c r="M460">
        <f>UnilabUsage[[#This Row],[Max]]-UnilabUsage[[#This Row],[Used-MB]]</f>
        <v>30677</v>
      </c>
      <c r="N460" s="5">
        <f>IF($L460&gt;0,UnilabUsage[[#This Row],[Free-of-Max]]/UnilabUsage[[#This Row],[Usage-Delta-MB]],UnilabUsage[[#This Row],[Free-of-Max]])</f>
        <v>30677</v>
      </c>
    </row>
    <row r="461" spans="1:14" x14ac:dyDescent="0.25">
      <c r="A461" s="3">
        <v>44565</v>
      </c>
      <c r="B461" t="s">
        <v>9</v>
      </c>
      <c r="C461">
        <v>1</v>
      </c>
      <c r="D461">
        <v>10440</v>
      </c>
      <c r="E461">
        <v>10322</v>
      </c>
      <c r="F461">
        <v>118</v>
      </c>
      <c r="G461">
        <v>99</v>
      </c>
      <c r="H461">
        <v>32768</v>
      </c>
      <c r="I461">
        <v>0</v>
      </c>
      <c r="J461" t="s">
        <v>1</v>
      </c>
      <c r="K461" t="s">
        <v>10</v>
      </c>
      <c r="L461" s="8">
        <f>UnilabUsage[[#This Row],[Used-MB]]-F451</f>
        <v>-39</v>
      </c>
      <c r="M461">
        <f>UnilabUsage[[#This Row],[Max]]-UnilabUsage[[#This Row],[Used-MB]]</f>
        <v>32650</v>
      </c>
      <c r="N461" s="5">
        <f>IF($L461&gt;0,UnilabUsage[[#This Row],[Free-of-Max]]/UnilabUsage[[#This Row],[Usage-Delta-MB]],UnilabUsage[[#This Row],[Free-of-Max]])</f>
        <v>32650</v>
      </c>
    </row>
    <row r="462" spans="1:14" x14ac:dyDescent="0.25">
      <c r="A462" s="3">
        <v>44571</v>
      </c>
      <c r="B462" t="s">
        <v>7</v>
      </c>
      <c r="C462">
        <v>95</v>
      </c>
      <c r="D462">
        <v>1490</v>
      </c>
      <c r="E462">
        <v>71</v>
      </c>
      <c r="F462">
        <v>1419</v>
      </c>
      <c r="G462">
        <v>5</v>
      </c>
      <c r="H462">
        <v>32768</v>
      </c>
      <c r="I462">
        <v>4</v>
      </c>
      <c r="J462" t="s">
        <v>1</v>
      </c>
      <c r="K462" t="s">
        <v>2</v>
      </c>
      <c r="L462" s="8">
        <f>UnilabUsage[[#This Row],[Used-MB]]-F452</f>
        <v>17</v>
      </c>
      <c r="M462">
        <f>UnilabUsage[[#This Row],[Max]]-UnilabUsage[[#This Row],[Used-MB]]</f>
        <v>31349</v>
      </c>
      <c r="N462" s="5">
        <f>IF($L462&gt;0,UnilabUsage[[#This Row],[Free-of-Max]]/UnilabUsage[[#This Row],[Usage-Delta-MB]],UnilabUsage[[#This Row],[Free-of-Max]])</f>
        <v>1844.0588235294117</v>
      </c>
    </row>
    <row r="463" spans="1:14" x14ac:dyDescent="0.25">
      <c r="A463" s="3">
        <v>44571</v>
      </c>
      <c r="B463" t="s">
        <v>0</v>
      </c>
      <c r="C463">
        <v>100</v>
      </c>
      <c r="D463">
        <v>17550</v>
      </c>
      <c r="E463">
        <v>73</v>
      </c>
      <c r="F463">
        <v>17477</v>
      </c>
      <c r="G463">
        <v>0</v>
      </c>
      <c r="H463">
        <v>32768</v>
      </c>
      <c r="I463">
        <v>53</v>
      </c>
      <c r="J463" t="s">
        <v>1</v>
      </c>
      <c r="K463" t="s">
        <v>2</v>
      </c>
      <c r="L463" s="8">
        <f>UnilabUsage[[#This Row],[Used-MB]]-F453</f>
        <v>64</v>
      </c>
      <c r="M463">
        <f>UnilabUsage[[#This Row],[Max]]-UnilabUsage[[#This Row],[Used-MB]]</f>
        <v>15291</v>
      </c>
      <c r="N463" s="5">
        <f>IF($L463&gt;0,UnilabUsage[[#This Row],[Free-of-Max]]/UnilabUsage[[#This Row],[Usage-Delta-MB]],UnilabUsage[[#This Row],[Free-of-Max]])</f>
        <v>238.921875</v>
      </c>
    </row>
    <row r="464" spans="1:14" x14ac:dyDescent="0.25">
      <c r="A464" s="3">
        <v>44571</v>
      </c>
      <c r="B464" t="s">
        <v>11</v>
      </c>
      <c r="C464">
        <v>1</v>
      </c>
      <c r="D464">
        <v>100</v>
      </c>
      <c r="E464">
        <v>99</v>
      </c>
      <c r="F464">
        <v>1</v>
      </c>
      <c r="G464">
        <v>99</v>
      </c>
      <c r="H464">
        <v>32768</v>
      </c>
      <c r="I464">
        <v>0</v>
      </c>
      <c r="J464" t="s">
        <v>1</v>
      </c>
      <c r="K464" t="s">
        <v>2</v>
      </c>
      <c r="L464" s="8">
        <f>UnilabUsage[[#This Row],[Used-MB]]-F454</f>
        <v>0</v>
      </c>
      <c r="M464">
        <f>UnilabUsage[[#This Row],[Max]]-UnilabUsage[[#This Row],[Used-MB]]</f>
        <v>32767</v>
      </c>
      <c r="N464" s="5">
        <f>IF($L464&gt;0,UnilabUsage[[#This Row],[Free-of-Max]]/UnilabUsage[[#This Row],[Usage-Delta-MB]],UnilabUsage[[#This Row],[Free-of-Max]])</f>
        <v>32767</v>
      </c>
    </row>
    <row r="465" spans="1:14" x14ac:dyDescent="0.25">
      <c r="A465" s="3">
        <v>44571</v>
      </c>
      <c r="B465" t="s">
        <v>6</v>
      </c>
      <c r="C465">
        <v>95</v>
      </c>
      <c r="D465">
        <v>6815</v>
      </c>
      <c r="E465">
        <v>328</v>
      </c>
      <c r="F465">
        <v>6487</v>
      </c>
      <c r="G465">
        <v>5</v>
      </c>
      <c r="H465">
        <v>32768</v>
      </c>
      <c r="I465">
        <v>20</v>
      </c>
      <c r="J465" t="s">
        <v>1</v>
      </c>
      <c r="K465" t="s">
        <v>2</v>
      </c>
      <c r="L465" s="8">
        <f>UnilabUsage[[#This Row],[Used-MB]]-F455</f>
        <v>8</v>
      </c>
      <c r="M465">
        <f>UnilabUsage[[#This Row],[Max]]-UnilabUsage[[#This Row],[Used-MB]]</f>
        <v>26281</v>
      </c>
      <c r="N465" s="5">
        <f>IF($L465&gt;0,UnilabUsage[[#This Row],[Free-of-Max]]/UnilabUsage[[#This Row],[Usage-Delta-MB]],UnilabUsage[[#This Row],[Free-of-Max]])</f>
        <v>3285.125</v>
      </c>
    </row>
    <row r="466" spans="1:14" x14ac:dyDescent="0.25">
      <c r="A466" s="3">
        <v>44571</v>
      </c>
      <c r="B466" t="s">
        <v>3</v>
      </c>
      <c r="C466">
        <v>97</v>
      </c>
      <c r="D466">
        <v>393216</v>
      </c>
      <c r="E466">
        <v>13710</v>
      </c>
      <c r="F466">
        <v>379506</v>
      </c>
      <c r="G466">
        <v>3</v>
      </c>
      <c r="H466">
        <v>393216</v>
      </c>
      <c r="I466">
        <v>97</v>
      </c>
      <c r="J466" t="s">
        <v>1</v>
      </c>
      <c r="K466" t="s">
        <v>2</v>
      </c>
      <c r="L466" s="8">
        <f>UnilabUsage[[#This Row],[Used-MB]]-F456</f>
        <v>344</v>
      </c>
      <c r="M466">
        <f>UnilabUsage[[#This Row],[Max]]-UnilabUsage[[#This Row],[Used-MB]]</f>
        <v>13710</v>
      </c>
      <c r="N466" s="5">
        <f>IF($L466&gt;0,UnilabUsage[[#This Row],[Free-of-Max]]/UnilabUsage[[#This Row],[Usage-Delta-MB]],UnilabUsage[[#This Row],[Free-of-Max]])</f>
        <v>39.854651162790695</v>
      </c>
    </row>
    <row r="467" spans="1:14" x14ac:dyDescent="0.25">
      <c r="A467" s="3">
        <v>44571</v>
      </c>
      <c r="B467" t="s">
        <v>5</v>
      </c>
      <c r="C467">
        <v>95</v>
      </c>
      <c r="D467">
        <v>18450</v>
      </c>
      <c r="E467">
        <v>924</v>
      </c>
      <c r="F467">
        <v>17526</v>
      </c>
      <c r="G467">
        <v>5</v>
      </c>
      <c r="H467">
        <v>32768</v>
      </c>
      <c r="I467">
        <v>53</v>
      </c>
      <c r="J467" t="s">
        <v>1</v>
      </c>
      <c r="K467" t="s">
        <v>2</v>
      </c>
      <c r="L467" s="8">
        <f>UnilabUsage[[#This Row],[Used-MB]]-F457</f>
        <v>8</v>
      </c>
      <c r="M467">
        <f>UnilabUsage[[#This Row],[Max]]-UnilabUsage[[#This Row],[Used-MB]]</f>
        <v>15242</v>
      </c>
      <c r="N467" s="5">
        <f>IF($L467&gt;0,UnilabUsage[[#This Row],[Free-of-Max]]/UnilabUsage[[#This Row],[Usage-Delta-MB]],UnilabUsage[[#This Row],[Free-of-Max]])</f>
        <v>1905.25</v>
      </c>
    </row>
    <row r="468" spans="1:14" x14ac:dyDescent="0.25">
      <c r="A468" s="3">
        <v>44571</v>
      </c>
      <c r="B468" t="s">
        <v>8</v>
      </c>
      <c r="C468">
        <v>96</v>
      </c>
      <c r="D468">
        <v>262144</v>
      </c>
      <c r="E468">
        <v>11159</v>
      </c>
      <c r="F468">
        <v>250985</v>
      </c>
      <c r="G468">
        <v>4</v>
      </c>
      <c r="H468">
        <v>262144</v>
      </c>
      <c r="I468">
        <v>96</v>
      </c>
      <c r="J468" t="s">
        <v>1</v>
      </c>
      <c r="K468" t="s">
        <v>2</v>
      </c>
      <c r="L468" s="8">
        <f>UnilabUsage[[#This Row],[Used-MB]]-F458</f>
        <v>369</v>
      </c>
      <c r="M468">
        <f>UnilabUsage[[#This Row],[Max]]-UnilabUsage[[#This Row],[Used-MB]]</f>
        <v>11159</v>
      </c>
      <c r="N468" s="5">
        <f>IF($L468&gt;0,UnilabUsage[[#This Row],[Free-of-Max]]/UnilabUsage[[#This Row],[Usage-Delta-MB]],UnilabUsage[[#This Row],[Free-of-Max]])</f>
        <v>30.241192411924118</v>
      </c>
    </row>
    <row r="469" spans="1:14" x14ac:dyDescent="0.25">
      <c r="A469" s="3">
        <v>44571</v>
      </c>
      <c r="B469" t="s">
        <v>4</v>
      </c>
      <c r="C469">
        <v>98</v>
      </c>
      <c r="D469">
        <v>80853</v>
      </c>
      <c r="E469">
        <v>1649</v>
      </c>
      <c r="F469">
        <v>79204</v>
      </c>
      <c r="G469">
        <v>2</v>
      </c>
      <c r="H469">
        <v>98304</v>
      </c>
      <c r="I469">
        <v>81</v>
      </c>
      <c r="J469" t="s">
        <v>1</v>
      </c>
      <c r="K469" t="s">
        <v>2</v>
      </c>
      <c r="L469" s="8">
        <f>UnilabUsage[[#This Row],[Used-MB]]-F459</f>
        <v>65</v>
      </c>
      <c r="M469">
        <f>UnilabUsage[[#This Row],[Max]]-UnilabUsage[[#This Row],[Used-MB]]</f>
        <v>19100</v>
      </c>
      <c r="N469" s="5">
        <f>IF($L469&gt;0,UnilabUsage[[#This Row],[Free-of-Max]]/UnilabUsage[[#This Row],[Usage-Delta-MB]],UnilabUsage[[#This Row],[Free-of-Max]])</f>
        <v>293.84615384615387</v>
      </c>
    </row>
    <row r="470" spans="1:14" x14ac:dyDescent="0.25">
      <c r="A470" s="3">
        <v>44571</v>
      </c>
      <c r="B470" t="s">
        <v>12</v>
      </c>
      <c r="C470">
        <v>0</v>
      </c>
      <c r="D470">
        <v>30720</v>
      </c>
      <c r="E470">
        <v>30655</v>
      </c>
      <c r="F470">
        <v>65</v>
      </c>
      <c r="G470">
        <v>100</v>
      </c>
      <c r="H470">
        <v>30720</v>
      </c>
      <c r="I470">
        <v>0</v>
      </c>
      <c r="J470" t="s">
        <v>1</v>
      </c>
      <c r="K470" t="s">
        <v>13</v>
      </c>
      <c r="L470" s="8">
        <f>UnilabUsage[[#This Row],[Used-MB]]-F460</f>
        <v>22</v>
      </c>
      <c r="M470">
        <f>UnilabUsage[[#This Row],[Max]]-UnilabUsage[[#This Row],[Used-MB]]</f>
        <v>30655</v>
      </c>
      <c r="N470" s="5">
        <f>IF($L470&gt;0,UnilabUsage[[#This Row],[Free-of-Max]]/UnilabUsage[[#This Row],[Usage-Delta-MB]],UnilabUsage[[#This Row],[Free-of-Max]])</f>
        <v>1393.409090909091</v>
      </c>
    </row>
    <row r="471" spans="1:14" x14ac:dyDescent="0.25">
      <c r="A471" s="3">
        <v>44571</v>
      </c>
      <c r="B471" t="s">
        <v>9</v>
      </c>
      <c r="C471">
        <v>1</v>
      </c>
      <c r="D471">
        <v>10440</v>
      </c>
      <c r="E471">
        <v>10311</v>
      </c>
      <c r="F471">
        <v>129</v>
      </c>
      <c r="G471">
        <v>99</v>
      </c>
      <c r="H471">
        <v>32768</v>
      </c>
      <c r="I471">
        <v>0</v>
      </c>
      <c r="J471" t="s">
        <v>1</v>
      </c>
      <c r="K471" t="s">
        <v>10</v>
      </c>
      <c r="L471" s="8">
        <f>UnilabUsage[[#This Row],[Used-MB]]-F461</f>
        <v>11</v>
      </c>
      <c r="M471">
        <f>UnilabUsage[[#This Row],[Max]]-UnilabUsage[[#This Row],[Used-MB]]</f>
        <v>32639</v>
      </c>
      <c r="N471" s="5">
        <f>IF($L471&gt;0,UnilabUsage[[#This Row],[Free-of-Max]]/UnilabUsage[[#This Row],[Usage-Delta-MB]],UnilabUsage[[#This Row],[Free-of-Max]])</f>
        <v>2967.181818181818</v>
      </c>
    </row>
    <row r="472" spans="1:14" x14ac:dyDescent="0.25">
      <c r="A472" s="3">
        <v>44578</v>
      </c>
      <c r="B472" t="s">
        <v>7</v>
      </c>
      <c r="C472">
        <v>96</v>
      </c>
      <c r="D472">
        <v>1490</v>
      </c>
      <c r="E472">
        <v>63</v>
      </c>
      <c r="F472">
        <v>1427</v>
      </c>
      <c r="G472">
        <v>4</v>
      </c>
      <c r="H472">
        <v>32768</v>
      </c>
      <c r="I472">
        <v>4</v>
      </c>
      <c r="J472" t="s">
        <v>1</v>
      </c>
      <c r="K472" t="s">
        <v>2</v>
      </c>
      <c r="L472" s="8">
        <f>UnilabUsage[[#This Row],[Used-MB]]-F462</f>
        <v>8</v>
      </c>
      <c r="M472">
        <f>UnilabUsage[[#This Row],[Max]]-UnilabUsage[[#This Row],[Used-MB]]</f>
        <v>31341</v>
      </c>
      <c r="N472" s="5">
        <f>IF($L472&gt;0,UnilabUsage[[#This Row],[Free-of-Max]]/UnilabUsage[[#This Row],[Usage-Delta-MB]],UnilabUsage[[#This Row],[Free-of-Max]])</f>
        <v>3917.625</v>
      </c>
    </row>
    <row r="473" spans="1:14" x14ac:dyDescent="0.25">
      <c r="A473" s="3">
        <v>44578</v>
      </c>
      <c r="B473" t="s">
        <v>0</v>
      </c>
      <c r="C473">
        <v>100</v>
      </c>
      <c r="D473">
        <v>17550</v>
      </c>
      <c r="E473">
        <v>9</v>
      </c>
      <c r="F473">
        <v>17541</v>
      </c>
      <c r="G473">
        <v>0</v>
      </c>
      <c r="H473">
        <v>32768</v>
      </c>
      <c r="I473">
        <v>54</v>
      </c>
      <c r="J473" t="s">
        <v>1</v>
      </c>
      <c r="K473" t="s">
        <v>2</v>
      </c>
      <c r="L473" s="8">
        <f>UnilabUsage[[#This Row],[Used-MB]]-F463</f>
        <v>64</v>
      </c>
      <c r="M473">
        <f>UnilabUsage[[#This Row],[Max]]-UnilabUsage[[#This Row],[Used-MB]]</f>
        <v>15227</v>
      </c>
      <c r="N473" s="5">
        <f>IF($L473&gt;0,UnilabUsage[[#This Row],[Free-of-Max]]/UnilabUsage[[#This Row],[Usage-Delta-MB]],UnilabUsage[[#This Row],[Free-of-Max]])</f>
        <v>237.921875</v>
      </c>
    </row>
    <row r="474" spans="1:14" x14ac:dyDescent="0.25">
      <c r="A474" s="3">
        <v>44578</v>
      </c>
      <c r="B474" t="s">
        <v>11</v>
      </c>
      <c r="C474">
        <v>1</v>
      </c>
      <c r="D474">
        <v>100</v>
      </c>
      <c r="E474">
        <v>99</v>
      </c>
      <c r="F474">
        <v>1</v>
      </c>
      <c r="G474">
        <v>99</v>
      </c>
      <c r="H474">
        <v>32768</v>
      </c>
      <c r="I474">
        <v>0</v>
      </c>
      <c r="J474" t="s">
        <v>1</v>
      </c>
      <c r="K474" t="s">
        <v>2</v>
      </c>
      <c r="L474" s="8">
        <f>UnilabUsage[[#This Row],[Used-MB]]-F464</f>
        <v>0</v>
      </c>
      <c r="M474">
        <f>UnilabUsage[[#This Row],[Max]]-UnilabUsage[[#This Row],[Used-MB]]</f>
        <v>32767</v>
      </c>
      <c r="N474" s="5">
        <f>IF($L474&gt;0,UnilabUsage[[#This Row],[Free-of-Max]]/UnilabUsage[[#This Row],[Usage-Delta-MB]],UnilabUsage[[#This Row],[Free-of-Max]])</f>
        <v>32767</v>
      </c>
    </row>
    <row r="475" spans="1:14" x14ac:dyDescent="0.25">
      <c r="A475" s="3">
        <v>44578</v>
      </c>
      <c r="B475" t="s">
        <v>6</v>
      </c>
      <c r="C475">
        <v>95</v>
      </c>
      <c r="D475">
        <v>6825</v>
      </c>
      <c r="E475">
        <v>329</v>
      </c>
      <c r="F475">
        <v>6496</v>
      </c>
      <c r="G475">
        <v>5</v>
      </c>
      <c r="H475">
        <v>32768</v>
      </c>
      <c r="I475">
        <v>20</v>
      </c>
      <c r="J475" t="s">
        <v>1</v>
      </c>
      <c r="K475" t="s">
        <v>2</v>
      </c>
      <c r="L475" s="8">
        <f>UnilabUsage[[#This Row],[Used-MB]]-F465</f>
        <v>9</v>
      </c>
      <c r="M475">
        <f>UnilabUsage[[#This Row],[Max]]-UnilabUsage[[#This Row],[Used-MB]]</f>
        <v>26272</v>
      </c>
      <c r="N475" s="5">
        <f>IF($L475&gt;0,UnilabUsage[[#This Row],[Free-of-Max]]/UnilabUsage[[#This Row],[Usage-Delta-MB]],UnilabUsage[[#This Row],[Free-of-Max]])</f>
        <v>2919.1111111111113</v>
      </c>
    </row>
    <row r="476" spans="1:14" x14ac:dyDescent="0.25">
      <c r="A476" s="3">
        <v>44578</v>
      </c>
      <c r="B476" t="s">
        <v>3</v>
      </c>
      <c r="C476">
        <v>96</v>
      </c>
      <c r="D476">
        <v>393216</v>
      </c>
      <c r="E476">
        <v>14742</v>
      </c>
      <c r="F476">
        <v>378474</v>
      </c>
      <c r="G476">
        <v>4</v>
      </c>
      <c r="H476">
        <v>393216</v>
      </c>
      <c r="I476">
        <v>96</v>
      </c>
      <c r="J476" t="s">
        <v>1</v>
      </c>
      <c r="K476" t="s">
        <v>2</v>
      </c>
      <c r="L476" s="8">
        <f>UnilabUsage[[#This Row],[Used-MB]]-F466</f>
        <v>-1032</v>
      </c>
      <c r="M476">
        <f>UnilabUsage[[#This Row],[Max]]-UnilabUsage[[#This Row],[Used-MB]]</f>
        <v>14742</v>
      </c>
      <c r="N476" s="5">
        <f>IF($L476&gt;0,UnilabUsage[[#This Row],[Free-of-Max]]/UnilabUsage[[#This Row],[Usage-Delta-MB]],UnilabUsage[[#This Row],[Free-of-Max]])</f>
        <v>14742</v>
      </c>
    </row>
    <row r="477" spans="1:14" x14ac:dyDescent="0.25">
      <c r="A477" s="3">
        <v>44578</v>
      </c>
      <c r="B477" t="s">
        <v>5</v>
      </c>
      <c r="C477">
        <v>95</v>
      </c>
      <c r="D477">
        <v>18500</v>
      </c>
      <c r="E477">
        <v>885</v>
      </c>
      <c r="F477">
        <v>17615</v>
      </c>
      <c r="G477">
        <v>5</v>
      </c>
      <c r="H477">
        <v>32768</v>
      </c>
      <c r="I477">
        <v>54</v>
      </c>
      <c r="J477" t="s">
        <v>1</v>
      </c>
      <c r="K477" t="s">
        <v>2</v>
      </c>
      <c r="L477" s="8">
        <f>UnilabUsage[[#This Row],[Used-MB]]-F467</f>
        <v>89</v>
      </c>
      <c r="M477">
        <f>UnilabUsage[[#This Row],[Max]]-UnilabUsage[[#This Row],[Used-MB]]</f>
        <v>15153</v>
      </c>
      <c r="N477" s="5">
        <f>IF($L477&gt;0,UnilabUsage[[#This Row],[Free-of-Max]]/UnilabUsage[[#This Row],[Usage-Delta-MB]],UnilabUsage[[#This Row],[Free-of-Max]])</f>
        <v>170.25842696629215</v>
      </c>
    </row>
    <row r="478" spans="1:14" x14ac:dyDescent="0.25">
      <c r="A478" s="3">
        <v>44578</v>
      </c>
      <c r="B478" t="s">
        <v>8</v>
      </c>
      <c r="C478">
        <v>96</v>
      </c>
      <c r="D478">
        <v>262144</v>
      </c>
      <c r="E478">
        <v>10703</v>
      </c>
      <c r="F478">
        <v>251441</v>
      </c>
      <c r="G478">
        <v>4</v>
      </c>
      <c r="H478">
        <v>262144</v>
      </c>
      <c r="I478">
        <v>96</v>
      </c>
      <c r="J478" t="s">
        <v>1</v>
      </c>
      <c r="K478" t="s">
        <v>2</v>
      </c>
      <c r="L478" s="8">
        <f>UnilabUsage[[#This Row],[Used-MB]]-F468</f>
        <v>456</v>
      </c>
      <c r="M478">
        <f>UnilabUsage[[#This Row],[Max]]-UnilabUsage[[#This Row],[Used-MB]]</f>
        <v>10703</v>
      </c>
      <c r="N478" s="5">
        <f>IF($L478&gt;0,UnilabUsage[[#This Row],[Free-of-Max]]/UnilabUsage[[#This Row],[Usage-Delta-MB]],UnilabUsage[[#This Row],[Free-of-Max]])</f>
        <v>23.471491228070175</v>
      </c>
    </row>
    <row r="479" spans="1:14" x14ac:dyDescent="0.25">
      <c r="A479" s="3">
        <v>44578</v>
      </c>
      <c r="B479" t="s">
        <v>4</v>
      </c>
      <c r="C479">
        <v>98</v>
      </c>
      <c r="D479">
        <v>80853</v>
      </c>
      <c r="E479">
        <v>1521</v>
      </c>
      <c r="F479">
        <v>79332</v>
      </c>
      <c r="G479">
        <v>2</v>
      </c>
      <c r="H479">
        <v>98304</v>
      </c>
      <c r="I479">
        <v>81</v>
      </c>
      <c r="J479" t="s">
        <v>1</v>
      </c>
      <c r="K479" t="s">
        <v>2</v>
      </c>
      <c r="L479" s="8">
        <f>UnilabUsage[[#This Row],[Used-MB]]-F469</f>
        <v>128</v>
      </c>
      <c r="M479">
        <f>UnilabUsage[[#This Row],[Max]]-UnilabUsage[[#This Row],[Used-MB]]</f>
        <v>18972</v>
      </c>
      <c r="N479" s="5">
        <f>IF($L479&gt;0,UnilabUsage[[#This Row],[Free-of-Max]]/UnilabUsage[[#This Row],[Usage-Delta-MB]],UnilabUsage[[#This Row],[Free-of-Max]])</f>
        <v>148.21875</v>
      </c>
    </row>
    <row r="480" spans="1:14" x14ac:dyDescent="0.25">
      <c r="A480" s="3">
        <v>44578</v>
      </c>
      <c r="B480" t="s">
        <v>12</v>
      </c>
      <c r="C480">
        <v>0</v>
      </c>
      <c r="D480">
        <v>30720</v>
      </c>
      <c r="E480">
        <v>30593</v>
      </c>
      <c r="F480">
        <v>127</v>
      </c>
      <c r="G480">
        <v>100</v>
      </c>
      <c r="H480">
        <v>30720</v>
      </c>
      <c r="I480">
        <v>0</v>
      </c>
      <c r="J480" t="s">
        <v>1</v>
      </c>
      <c r="K480" t="s">
        <v>13</v>
      </c>
      <c r="L480" s="8">
        <f>UnilabUsage[[#This Row],[Used-MB]]-F470</f>
        <v>62</v>
      </c>
      <c r="M480">
        <f>UnilabUsage[[#This Row],[Max]]-UnilabUsage[[#This Row],[Used-MB]]</f>
        <v>30593</v>
      </c>
      <c r="N480" s="5">
        <f>IF($L480&gt;0,UnilabUsage[[#This Row],[Free-of-Max]]/UnilabUsage[[#This Row],[Usage-Delta-MB]],UnilabUsage[[#This Row],[Free-of-Max]])</f>
        <v>493.43548387096774</v>
      </c>
    </row>
    <row r="481" spans="1:14" x14ac:dyDescent="0.25">
      <c r="A481" s="3">
        <v>44578</v>
      </c>
      <c r="B481" t="s">
        <v>9</v>
      </c>
      <c r="C481">
        <v>2</v>
      </c>
      <c r="D481">
        <v>10440</v>
      </c>
      <c r="E481">
        <v>10199</v>
      </c>
      <c r="F481">
        <v>241</v>
      </c>
      <c r="G481">
        <v>98</v>
      </c>
      <c r="H481">
        <v>32768</v>
      </c>
      <c r="I481">
        <v>1</v>
      </c>
      <c r="J481" t="s">
        <v>1</v>
      </c>
      <c r="K481" t="s">
        <v>10</v>
      </c>
      <c r="L481" s="8">
        <f>UnilabUsage[[#This Row],[Used-MB]]-F471</f>
        <v>112</v>
      </c>
      <c r="M481">
        <f>UnilabUsage[[#This Row],[Max]]-UnilabUsage[[#This Row],[Used-MB]]</f>
        <v>32527</v>
      </c>
      <c r="N481" s="5">
        <f>IF($L481&gt;0,UnilabUsage[[#This Row],[Free-of-Max]]/UnilabUsage[[#This Row],[Usage-Delta-MB]],UnilabUsage[[#This Row],[Free-of-Max]])</f>
        <v>290.41964285714283</v>
      </c>
    </row>
    <row r="482" spans="1:14" x14ac:dyDescent="0.25">
      <c r="A482" s="3">
        <v>44585</v>
      </c>
      <c r="B482" t="s">
        <v>7</v>
      </c>
      <c r="C482">
        <v>96</v>
      </c>
      <c r="D482">
        <v>1490</v>
      </c>
      <c r="E482">
        <v>63</v>
      </c>
      <c r="F482">
        <v>1427</v>
      </c>
      <c r="G482">
        <v>4</v>
      </c>
      <c r="H482">
        <v>32768</v>
      </c>
      <c r="I482">
        <v>4</v>
      </c>
      <c r="J482" t="s">
        <v>1</v>
      </c>
      <c r="K482" t="s">
        <v>2</v>
      </c>
      <c r="L482" s="8">
        <f>UnilabUsage[[#This Row],[Used-MB]]-F472</f>
        <v>0</v>
      </c>
      <c r="M482">
        <f>UnilabUsage[[#This Row],[Max]]-UnilabUsage[[#This Row],[Used-MB]]</f>
        <v>31341</v>
      </c>
      <c r="N482" s="5">
        <f>IF($L482&gt;0,UnilabUsage[[#This Row],[Free-of-Max]]/UnilabUsage[[#This Row],[Usage-Delta-MB]],UnilabUsage[[#This Row],[Free-of-Max]])</f>
        <v>31341</v>
      </c>
    </row>
    <row r="483" spans="1:14" x14ac:dyDescent="0.25">
      <c r="A483" s="3">
        <v>44585</v>
      </c>
      <c r="B483" t="s">
        <v>0</v>
      </c>
      <c r="C483">
        <v>100</v>
      </c>
      <c r="D483">
        <v>17650</v>
      </c>
      <c r="E483">
        <v>45</v>
      </c>
      <c r="F483">
        <v>17605</v>
      </c>
      <c r="G483">
        <v>0</v>
      </c>
      <c r="H483">
        <v>32768</v>
      </c>
      <c r="I483">
        <v>54</v>
      </c>
      <c r="J483" t="s">
        <v>1</v>
      </c>
      <c r="K483" t="s">
        <v>2</v>
      </c>
      <c r="L483" s="8">
        <f>UnilabUsage[[#This Row],[Used-MB]]-F473</f>
        <v>64</v>
      </c>
      <c r="M483">
        <f>UnilabUsage[[#This Row],[Max]]-UnilabUsage[[#This Row],[Used-MB]]</f>
        <v>15163</v>
      </c>
      <c r="N483" s="5">
        <f>IF($L483&gt;0,UnilabUsage[[#This Row],[Free-of-Max]]/UnilabUsage[[#This Row],[Usage-Delta-MB]],UnilabUsage[[#This Row],[Free-of-Max]])</f>
        <v>236.921875</v>
      </c>
    </row>
    <row r="484" spans="1:14" x14ac:dyDescent="0.25">
      <c r="A484" s="3">
        <v>44585</v>
      </c>
      <c r="B484" t="s">
        <v>11</v>
      </c>
      <c r="C484">
        <v>1</v>
      </c>
      <c r="D484">
        <v>100</v>
      </c>
      <c r="E484">
        <v>99</v>
      </c>
      <c r="F484">
        <v>1</v>
      </c>
      <c r="G484">
        <v>99</v>
      </c>
      <c r="H484">
        <v>32768</v>
      </c>
      <c r="I484">
        <v>0</v>
      </c>
      <c r="J484" t="s">
        <v>1</v>
      </c>
      <c r="K484" t="s">
        <v>2</v>
      </c>
      <c r="L484" s="8">
        <f>UnilabUsage[[#This Row],[Used-MB]]-F474</f>
        <v>0</v>
      </c>
      <c r="M484">
        <f>UnilabUsage[[#This Row],[Max]]-UnilabUsage[[#This Row],[Used-MB]]</f>
        <v>32767</v>
      </c>
      <c r="N484" s="5">
        <f>IF($L484&gt;0,UnilabUsage[[#This Row],[Free-of-Max]]/UnilabUsage[[#This Row],[Usage-Delta-MB]],UnilabUsage[[#This Row],[Free-of-Max]])</f>
        <v>32767</v>
      </c>
    </row>
    <row r="485" spans="1:14" x14ac:dyDescent="0.25">
      <c r="A485" s="3">
        <v>44585</v>
      </c>
      <c r="B485" t="s">
        <v>6</v>
      </c>
      <c r="C485">
        <v>89</v>
      </c>
      <c r="D485">
        <v>7215</v>
      </c>
      <c r="E485">
        <v>763</v>
      </c>
      <c r="F485">
        <v>6452</v>
      </c>
      <c r="G485">
        <v>11</v>
      </c>
      <c r="H485">
        <v>32768</v>
      </c>
      <c r="I485">
        <v>20</v>
      </c>
      <c r="J485" t="s">
        <v>1</v>
      </c>
      <c r="K485" t="s">
        <v>2</v>
      </c>
      <c r="L485" s="8">
        <f>UnilabUsage[[#This Row],[Used-MB]]-F475</f>
        <v>-44</v>
      </c>
      <c r="M485">
        <f>UnilabUsage[[#This Row],[Max]]-UnilabUsage[[#This Row],[Used-MB]]</f>
        <v>26316</v>
      </c>
      <c r="N485" s="5">
        <f>IF($L485&gt;0,UnilabUsage[[#This Row],[Free-of-Max]]/UnilabUsage[[#This Row],[Usage-Delta-MB]],UnilabUsage[[#This Row],[Free-of-Max]])</f>
        <v>26316</v>
      </c>
    </row>
    <row r="486" spans="1:14" x14ac:dyDescent="0.25">
      <c r="A486" s="3">
        <v>44585</v>
      </c>
      <c r="B486" t="s">
        <v>3</v>
      </c>
      <c r="C486">
        <v>96</v>
      </c>
      <c r="D486">
        <v>413248</v>
      </c>
      <c r="E486">
        <v>15601</v>
      </c>
      <c r="F486">
        <v>397647</v>
      </c>
      <c r="G486">
        <v>4</v>
      </c>
      <c r="H486">
        <v>425984</v>
      </c>
      <c r="I486">
        <v>93</v>
      </c>
      <c r="J486" t="s">
        <v>1</v>
      </c>
      <c r="K486" t="s">
        <v>2</v>
      </c>
      <c r="L486" s="8">
        <f>UnilabUsage[[#This Row],[Used-MB]]-F476</f>
        <v>19173</v>
      </c>
      <c r="M486">
        <f>UnilabUsage[[#This Row],[Max]]-UnilabUsage[[#This Row],[Used-MB]]</f>
        <v>28337</v>
      </c>
      <c r="N486" s="5">
        <f>IF($L486&gt;0,UnilabUsage[[#This Row],[Free-of-Max]]/UnilabUsage[[#This Row],[Usage-Delta-MB]],UnilabUsage[[#This Row],[Free-of-Max]])</f>
        <v>1.477963803265008</v>
      </c>
    </row>
    <row r="487" spans="1:14" x14ac:dyDescent="0.25">
      <c r="A487" s="3">
        <v>44585</v>
      </c>
      <c r="B487" t="s">
        <v>5</v>
      </c>
      <c r="C487">
        <v>95</v>
      </c>
      <c r="D487">
        <v>18600</v>
      </c>
      <c r="E487">
        <v>994</v>
      </c>
      <c r="F487">
        <v>17606</v>
      </c>
      <c r="G487">
        <v>5</v>
      </c>
      <c r="H487">
        <v>32768</v>
      </c>
      <c r="I487">
        <v>54</v>
      </c>
      <c r="J487" t="s">
        <v>1</v>
      </c>
      <c r="K487" t="s">
        <v>2</v>
      </c>
      <c r="L487" s="8">
        <f>UnilabUsage[[#This Row],[Used-MB]]-F477</f>
        <v>-9</v>
      </c>
      <c r="M487">
        <f>UnilabUsage[[#This Row],[Max]]-UnilabUsage[[#This Row],[Used-MB]]</f>
        <v>15162</v>
      </c>
      <c r="N487" s="5">
        <f>IF($L487&gt;0,UnilabUsage[[#This Row],[Free-of-Max]]/UnilabUsage[[#This Row],[Usage-Delta-MB]],UnilabUsage[[#This Row],[Free-of-Max]])</f>
        <v>15162</v>
      </c>
    </row>
    <row r="488" spans="1:14" x14ac:dyDescent="0.25">
      <c r="A488" s="3">
        <v>44585</v>
      </c>
      <c r="B488" t="s">
        <v>8</v>
      </c>
      <c r="C488">
        <v>96</v>
      </c>
      <c r="D488">
        <v>262144</v>
      </c>
      <c r="E488">
        <v>9466</v>
      </c>
      <c r="F488">
        <v>252678</v>
      </c>
      <c r="G488">
        <v>4</v>
      </c>
      <c r="H488">
        <v>262144</v>
      </c>
      <c r="I488">
        <v>96</v>
      </c>
      <c r="J488" t="s">
        <v>1</v>
      </c>
      <c r="K488" t="s">
        <v>2</v>
      </c>
      <c r="L488" s="8">
        <f>UnilabUsage[[#This Row],[Used-MB]]-F478</f>
        <v>1237</v>
      </c>
      <c r="M488">
        <f>UnilabUsage[[#This Row],[Max]]-UnilabUsage[[#This Row],[Used-MB]]</f>
        <v>9466</v>
      </c>
      <c r="N488" s="5">
        <f>IF($L488&gt;0,UnilabUsage[[#This Row],[Free-of-Max]]/UnilabUsage[[#This Row],[Usage-Delta-MB]],UnilabUsage[[#This Row],[Free-of-Max]])</f>
        <v>7.6523848019401779</v>
      </c>
    </row>
    <row r="489" spans="1:14" x14ac:dyDescent="0.25">
      <c r="A489" s="3">
        <v>44585</v>
      </c>
      <c r="B489" t="s">
        <v>4</v>
      </c>
      <c r="C489">
        <v>98</v>
      </c>
      <c r="D489">
        <v>80853</v>
      </c>
      <c r="E489">
        <v>1265</v>
      </c>
      <c r="F489">
        <v>79588</v>
      </c>
      <c r="G489">
        <v>2</v>
      </c>
      <c r="H489">
        <v>98304</v>
      </c>
      <c r="I489">
        <v>81</v>
      </c>
      <c r="J489" t="s">
        <v>1</v>
      </c>
      <c r="K489" t="s">
        <v>2</v>
      </c>
      <c r="L489" s="8">
        <f>UnilabUsage[[#This Row],[Used-MB]]-F479</f>
        <v>256</v>
      </c>
      <c r="M489">
        <f>UnilabUsage[[#This Row],[Max]]-UnilabUsage[[#This Row],[Used-MB]]</f>
        <v>18716</v>
      </c>
      <c r="N489" s="5">
        <f>IF($L489&gt;0,UnilabUsage[[#This Row],[Free-of-Max]]/UnilabUsage[[#This Row],[Usage-Delta-MB]],UnilabUsage[[#This Row],[Free-of-Max]])</f>
        <v>73.109375</v>
      </c>
    </row>
    <row r="490" spans="1:14" x14ac:dyDescent="0.25">
      <c r="A490" s="3">
        <v>44585</v>
      </c>
      <c r="B490" t="s">
        <v>12</v>
      </c>
      <c r="C490">
        <v>2</v>
      </c>
      <c r="D490">
        <v>30720</v>
      </c>
      <c r="E490">
        <v>30014</v>
      </c>
      <c r="F490">
        <v>706</v>
      </c>
      <c r="G490">
        <v>98</v>
      </c>
      <c r="H490">
        <v>30720</v>
      </c>
      <c r="I490">
        <v>2</v>
      </c>
      <c r="J490" t="s">
        <v>1</v>
      </c>
      <c r="K490" t="s">
        <v>13</v>
      </c>
      <c r="L490" s="8">
        <f>UnilabUsage[[#This Row],[Used-MB]]-F480</f>
        <v>579</v>
      </c>
      <c r="M490">
        <f>UnilabUsage[[#This Row],[Max]]-UnilabUsage[[#This Row],[Used-MB]]</f>
        <v>30014</v>
      </c>
      <c r="N490" s="5">
        <f>IF($L490&gt;0,UnilabUsage[[#This Row],[Free-of-Max]]/UnilabUsage[[#This Row],[Usage-Delta-MB]],UnilabUsage[[#This Row],[Free-of-Max]])</f>
        <v>51.837651122625218</v>
      </c>
    </row>
    <row r="491" spans="1:14" x14ac:dyDescent="0.25">
      <c r="A491" s="3">
        <v>44585</v>
      </c>
      <c r="B491" t="s">
        <v>9</v>
      </c>
      <c r="C491">
        <v>2</v>
      </c>
      <c r="D491">
        <v>10440</v>
      </c>
      <c r="E491">
        <v>10234</v>
      </c>
      <c r="F491">
        <v>206</v>
      </c>
      <c r="G491">
        <v>98</v>
      </c>
      <c r="H491">
        <v>32768</v>
      </c>
      <c r="I491">
        <v>1</v>
      </c>
      <c r="J491" t="s">
        <v>1</v>
      </c>
      <c r="K491" t="s">
        <v>10</v>
      </c>
      <c r="L491" s="8">
        <f>UnilabUsage[[#This Row],[Used-MB]]-F481</f>
        <v>-35</v>
      </c>
      <c r="M491">
        <f>UnilabUsage[[#This Row],[Max]]-UnilabUsage[[#This Row],[Used-MB]]</f>
        <v>32562</v>
      </c>
      <c r="N491" s="5">
        <f>IF($L491&gt;0,UnilabUsage[[#This Row],[Free-of-Max]]/UnilabUsage[[#This Row],[Usage-Delta-MB]],UnilabUsage[[#This Row],[Free-of-Max]])</f>
        <v>32562</v>
      </c>
    </row>
    <row r="492" spans="1:14" x14ac:dyDescent="0.25">
      <c r="A492" s="3">
        <v>44592</v>
      </c>
      <c r="B492" t="s">
        <v>7</v>
      </c>
      <c r="C492">
        <v>96</v>
      </c>
      <c r="D492">
        <v>1510</v>
      </c>
      <c r="E492">
        <v>67</v>
      </c>
      <c r="F492">
        <v>1443</v>
      </c>
      <c r="G492">
        <v>4</v>
      </c>
      <c r="H492">
        <v>32768</v>
      </c>
      <c r="I492">
        <v>4</v>
      </c>
      <c r="J492" t="s">
        <v>1</v>
      </c>
      <c r="K492" t="s">
        <v>2</v>
      </c>
      <c r="L492" s="8">
        <f>UnilabUsage[[#This Row],[Used-MB]]-F482</f>
        <v>16</v>
      </c>
      <c r="M492">
        <f>UnilabUsage[[#This Row],[Max]]-UnilabUsage[[#This Row],[Used-MB]]</f>
        <v>31325</v>
      </c>
      <c r="N492" s="5">
        <f>IF($L492&gt;0,UnilabUsage[[#This Row],[Free-of-Max]]/UnilabUsage[[#This Row],[Usage-Delta-MB]],UnilabUsage[[#This Row],[Free-of-Max]])</f>
        <v>1957.8125</v>
      </c>
    </row>
    <row r="493" spans="1:14" x14ac:dyDescent="0.25">
      <c r="A493" s="3">
        <v>44592</v>
      </c>
      <c r="B493" t="s">
        <v>0</v>
      </c>
      <c r="C493">
        <v>100</v>
      </c>
      <c r="D493">
        <v>17750</v>
      </c>
      <c r="E493">
        <v>81</v>
      </c>
      <c r="F493">
        <v>17669</v>
      </c>
      <c r="G493">
        <v>0</v>
      </c>
      <c r="H493">
        <v>32768</v>
      </c>
      <c r="I493">
        <v>54</v>
      </c>
      <c r="J493" t="s">
        <v>1</v>
      </c>
      <c r="K493" t="s">
        <v>2</v>
      </c>
      <c r="L493" s="8">
        <f>UnilabUsage[[#This Row],[Used-MB]]-F483</f>
        <v>64</v>
      </c>
      <c r="M493">
        <f>UnilabUsage[[#This Row],[Max]]-UnilabUsage[[#This Row],[Used-MB]]</f>
        <v>15099</v>
      </c>
      <c r="N493" s="5">
        <f>IF($L493&gt;0,UnilabUsage[[#This Row],[Free-of-Max]]/UnilabUsage[[#This Row],[Usage-Delta-MB]],UnilabUsage[[#This Row],[Free-of-Max]])</f>
        <v>235.921875</v>
      </c>
    </row>
    <row r="494" spans="1:14" x14ac:dyDescent="0.25">
      <c r="A494" s="3">
        <v>44592</v>
      </c>
      <c r="B494" t="s">
        <v>11</v>
      </c>
      <c r="C494">
        <v>1</v>
      </c>
      <c r="D494">
        <v>100</v>
      </c>
      <c r="E494">
        <v>99</v>
      </c>
      <c r="F494">
        <v>1</v>
      </c>
      <c r="G494">
        <v>99</v>
      </c>
      <c r="H494">
        <v>32768</v>
      </c>
      <c r="I494">
        <v>0</v>
      </c>
      <c r="J494" t="s">
        <v>1</v>
      </c>
      <c r="K494" t="s">
        <v>2</v>
      </c>
      <c r="L494" s="8">
        <f>UnilabUsage[[#This Row],[Used-MB]]-F484</f>
        <v>0</v>
      </c>
      <c r="M494">
        <f>UnilabUsage[[#This Row],[Max]]-UnilabUsage[[#This Row],[Used-MB]]</f>
        <v>32767</v>
      </c>
      <c r="N494" s="5">
        <f>IF($L494&gt;0,UnilabUsage[[#This Row],[Free-of-Max]]/UnilabUsage[[#This Row],[Usage-Delta-MB]],UnilabUsage[[#This Row],[Free-of-Max]])</f>
        <v>32767</v>
      </c>
    </row>
    <row r="495" spans="1:14" x14ac:dyDescent="0.25">
      <c r="A495" s="3">
        <v>44592</v>
      </c>
      <c r="B495" t="s">
        <v>6</v>
      </c>
      <c r="C495">
        <v>89</v>
      </c>
      <c r="D495">
        <v>7215</v>
      </c>
      <c r="E495">
        <v>761</v>
      </c>
      <c r="F495">
        <v>6454</v>
      </c>
      <c r="G495">
        <v>11</v>
      </c>
      <c r="H495">
        <v>32768</v>
      </c>
      <c r="I495">
        <v>20</v>
      </c>
      <c r="J495" t="s">
        <v>1</v>
      </c>
      <c r="K495" t="s">
        <v>2</v>
      </c>
      <c r="L495" s="8">
        <f>UnilabUsage[[#This Row],[Used-MB]]-F485</f>
        <v>2</v>
      </c>
      <c r="M495">
        <f>UnilabUsage[[#This Row],[Max]]-UnilabUsage[[#This Row],[Used-MB]]</f>
        <v>26314</v>
      </c>
      <c r="N495" s="5">
        <f>IF($L495&gt;0,UnilabUsage[[#This Row],[Free-of-Max]]/UnilabUsage[[#This Row],[Usage-Delta-MB]],UnilabUsage[[#This Row],[Free-of-Max]])</f>
        <v>13157</v>
      </c>
    </row>
    <row r="496" spans="1:14" x14ac:dyDescent="0.25">
      <c r="A496" s="3">
        <v>44592</v>
      </c>
      <c r="B496" t="s">
        <v>3</v>
      </c>
      <c r="C496">
        <v>96</v>
      </c>
      <c r="D496">
        <v>413248</v>
      </c>
      <c r="E496">
        <v>15611</v>
      </c>
      <c r="F496">
        <v>397637</v>
      </c>
      <c r="G496">
        <v>4</v>
      </c>
      <c r="H496">
        <v>425984</v>
      </c>
      <c r="I496">
        <v>93</v>
      </c>
      <c r="J496" t="s">
        <v>1</v>
      </c>
      <c r="K496" t="s">
        <v>2</v>
      </c>
      <c r="L496" s="8">
        <f>UnilabUsage[[#This Row],[Used-MB]]-F486</f>
        <v>-10</v>
      </c>
      <c r="M496">
        <f>UnilabUsage[[#This Row],[Max]]-UnilabUsage[[#This Row],[Used-MB]]</f>
        <v>28347</v>
      </c>
      <c r="N496" s="5">
        <f>IF($L496&gt;0,UnilabUsage[[#This Row],[Free-of-Max]]/UnilabUsage[[#This Row],[Usage-Delta-MB]],UnilabUsage[[#This Row],[Free-of-Max]])</f>
        <v>28347</v>
      </c>
    </row>
    <row r="497" spans="1:14" x14ac:dyDescent="0.25">
      <c r="A497" s="3">
        <v>44592</v>
      </c>
      <c r="B497" t="s">
        <v>5</v>
      </c>
      <c r="C497">
        <v>95</v>
      </c>
      <c r="D497">
        <v>18600</v>
      </c>
      <c r="E497">
        <v>991</v>
      </c>
      <c r="F497">
        <v>17609</v>
      </c>
      <c r="G497">
        <v>5</v>
      </c>
      <c r="H497">
        <v>32768</v>
      </c>
      <c r="I497">
        <v>54</v>
      </c>
      <c r="J497" t="s">
        <v>1</v>
      </c>
      <c r="K497" t="s">
        <v>2</v>
      </c>
      <c r="L497" s="8">
        <f>UnilabUsage[[#This Row],[Used-MB]]-F487</f>
        <v>3</v>
      </c>
      <c r="M497">
        <f>UnilabUsage[[#This Row],[Max]]-UnilabUsage[[#This Row],[Used-MB]]</f>
        <v>15159</v>
      </c>
      <c r="N497" s="5">
        <f>IF($L497&gt;0,UnilabUsage[[#This Row],[Free-of-Max]]/UnilabUsage[[#This Row],[Usage-Delta-MB]],UnilabUsage[[#This Row],[Free-of-Max]])</f>
        <v>5053</v>
      </c>
    </row>
    <row r="498" spans="1:14" x14ac:dyDescent="0.25">
      <c r="A498" s="3">
        <v>44592</v>
      </c>
      <c r="B498" t="s">
        <v>8</v>
      </c>
      <c r="C498">
        <v>97</v>
      </c>
      <c r="D498">
        <v>262144</v>
      </c>
      <c r="E498">
        <v>8824</v>
      </c>
      <c r="F498">
        <v>253320</v>
      </c>
      <c r="G498">
        <v>3</v>
      </c>
      <c r="H498">
        <v>262144</v>
      </c>
      <c r="I498">
        <v>97</v>
      </c>
      <c r="J498" t="s">
        <v>1</v>
      </c>
      <c r="K498" t="s">
        <v>2</v>
      </c>
      <c r="L498" s="8">
        <f>UnilabUsage[[#This Row],[Used-MB]]-F488</f>
        <v>642</v>
      </c>
      <c r="M498">
        <f>UnilabUsage[[#This Row],[Max]]-UnilabUsage[[#This Row],[Used-MB]]</f>
        <v>8824</v>
      </c>
      <c r="N498" s="5">
        <f>IF($L498&gt;0,UnilabUsage[[#This Row],[Free-of-Max]]/UnilabUsage[[#This Row],[Usage-Delta-MB]],UnilabUsage[[#This Row],[Free-of-Max]])</f>
        <v>13.744548286604362</v>
      </c>
    </row>
    <row r="499" spans="1:14" x14ac:dyDescent="0.25">
      <c r="A499" s="3">
        <v>44592</v>
      </c>
      <c r="B499" t="s">
        <v>4</v>
      </c>
      <c r="C499">
        <v>99</v>
      </c>
      <c r="D499">
        <v>80853</v>
      </c>
      <c r="E499">
        <v>1137</v>
      </c>
      <c r="F499">
        <v>79716</v>
      </c>
      <c r="G499">
        <v>1</v>
      </c>
      <c r="H499">
        <v>98304</v>
      </c>
      <c r="I499">
        <v>81</v>
      </c>
      <c r="J499" t="s">
        <v>1</v>
      </c>
      <c r="K499" t="s">
        <v>2</v>
      </c>
      <c r="L499" s="8">
        <f>UnilabUsage[[#This Row],[Used-MB]]-F489</f>
        <v>128</v>
      </c>
      <c r="M499">
        <f>UnilabUsage[[#This Row],[Max]]-UnilabUsage[[#This Row],[Used-MB]]</f>
        <v>18588</v>
      </c>
      <c r="N499" s="5">
        <f>IF($L499&gt;0,UnilabUsage[[#This Row],[Free-of-Max]]/UnilabUsage[[#This Row],[Usage-Delta-MB]],UnilabUsage[[#This Row],[Free-of-Max]])</f>
        <v>145.21875</v>
      </c>
    </row>
    <row r="500" spans="1:14" x14ac:dyDescent="0.25">
      <c r="A500" s="3">
        <v>44592</v>
      </c>
      <c r="B500" t="s">
        <v>12</v>
      </c>
      <c r="C500">
        <v>0</v>
      </c>
      <c r="D500">
        <v>30720</v>
      </c>
      <c r="E500">
        <v>30665</v>
      </c>
      <c r="F500">
        <v>55</v>
      </c>
      <c r="G500">
        <v>100</v>
      </c>
      <c r="H500">
        <v>30720</v>
      </c>
      <c r="I500">
        <v>0</v>
      </c>
      <c r="J500" t="s">
        <v>1</v>
      </c>
      <c r="K500" t="s">
        <v>13</v>
      </c>
      <c r="L500" s="8">
        <f>UnilabUsage[[#This Row],[Used-MB]]-F490</f>
        <v>-651</v>
      </c>
      <c r="M500">
        <f>UnilabUsage[[#This Row],[Max]]-UnilabUsage[[#This Row],[Used-MB]]</f>
        <v>30665</v>
      </c>
      <c r="N500" s="5">
        <f>IF($L500&gt;0,UnilabUsage[[#This Row],[Free-of-Max]]/UnilabUsage[[#This Row],[Usage-Delta-MB]],UnilabUsage[[#This Row],[Free-of-Max]])</f>
        <v>30665</v>
      </c>
    </row>
    <row r="501" spans="1:14" x14ac:dyDescent="0.25">
      <c r="A501" s="3">
        <v>44592</v>
      </c>
      <c r="B501" t="s">
        <v>9</v>
      </c>
      <c r="C501">
        <v>2</v>
      </c>
      <c r="D501">
        <v>10440</v>
      </c>
      <c r="E501">
        <v>10250</v>
      </c>
      <c r="F501">
        <v>190</v>
      </c>
      <c r="G501">
        <v>98</v>
      </c>
      <c r="H501">
        <v>32768</v>
      </c>
      <c r="I501">
        <v>1</v>
      </c>
      <c r="J501" t="s">
        <v>1</v>
      </c>
      <c r="K501" t="s">
        <v>10</v>
      </c>
      <c r="L501" s="8">
        <f>UnilabUsage[[#This Row],[Used-MB]]-F491</f>
        <v>-16</v>
      </c>
      <c r="M501">
        <f>UnilabUsage[[#This Row],[Max]]-UnilabUsage[[#This Row],[Used-MB]]</f>
        <v>32578</v>
      </c>
      <c r="N501" s="5">
        <f>IF($L501&gt;0,UnilabUsage[[#This Row],[Free-of-Max]]/UnilabUsage[[#This Row],[Usage-Delta-MB]],UnilabUsage[[#This Row],[Free-of-Max]])</f>
        <v>32578</v>
      </c>
    </row>
    <row r="502" spans="1:14" x14ac:dyDescent="0.25">
      <c r="A502" s="3">
        <v>44599</v>
      </c>
      <c r="B502" t="s">
        <v>7</v>
      </c>
      <c r="C502">
        <v>95</v>
      </c>
      <c r="D502">
        <v>1530</v>
      </c>
      <c r="E502">
        <v>78</v>
      </c>
      <c r="F502">
        <v>1452</v>
      </c>
      <c r="G502">
        <v>5</v>
      </c>
      <c r="H502">
        <v>32768</v>
      </c>
      <c r="I502">
        <v>4</v>
      </c>
      <c r="J502" t="s">
        <v>1</v>
      </c>
      <c r="K502" t="s">
        <v>2</v>
      </c>
      <c r="L502" s="8">
        <f>UnilabUsage[[#This Row],[Used-MB]]-F492</f>
        <v>9</v>
      </c>
      <c r="M502">
        <f>UnilabUsage[[#This Row],[Max]]-UnilabUsage[[#This Row],[Used-MB]]</f>
        <v>31316</v>
      </c>
      <c r="N502" s="5">
        <f>IF($L502&gt;0,UnilabUsage[[#This Row],[Free-of-Max]]/UnilabUsage[[#This Row],[Usage-Delta-MB]],UnilabUsage[[#This Row],[Free-of-Max]])</f>
        <v>3479.5555555555557</v>
      </c>
    </row>
    <row r="503" spans="1:14" x14ac:dyDescent="0.25">
      <c r="A503" s="3">
        <v>44599</v>
      </c>
      <c r="B503" t="s">
        <v>0</v>
      </c>
      <c r="C503">
        <v>100</v>
      </c>
      <c r="D503">
        <v>17750</v>
      </c>
      <c r="E503">
        <v>17</v>
      </c>
      <c r="F503">
        <v>17733</v>
      </c>
      <c r="G503">
        <v>0</v>
      </c>
      <c r="H503">
        <v>32768</v>
      </c>
      <c r="I503">
        <v>54</v>
      </c>
      <c r="J503" t="s">
        <v>1</v>
      </c>
      <c r="K503" t="s">
        <v>2</v>
      </c>
      <c r="L503" s="8">
        <f>UnilabUsage[[#This Row],[Used-MB]]-F493</f>
        <v>64</v>
      </c>
      <c r="M503">
        <f>UnilabUsage[[#This Row],[Max]]-UnilabUsage[[#This Row],[Used-MB]]</f>
        <v>15035</v>
      </c>
      <c r="N503" s="5">
        <f>IF($L503&gt;0,UnilabUsage[[#This Row],[Free-of-Max]]/UnilabUsage[[#This Row],[Usage-Delta-MB]],UnilabUsage[[#This Row],[Free-of-Max]])</f>
        <v>234.921875</v>
      </c>
    </row>
    <row r="504" spans="1:14" x14ac:dyDescent="0.25">
      <c r="A504" s="3">
        <v>44599</v>
      </c>
      <c r="B504" t="s">
        <v>11</v>
      </c>
      <c r="C504">
        <v>1</v>
      </c>
      <c r="D504">
        <v>100</v>
      </c>
      <c r="E504">
        <v>99</v>
      </c>
      <c r="F504">
        <v>1</v>
      </c>
      <c r="G504">
        <v>99</v>
      </c>
      <c r="H504">
        <v>32768</v>
      </c>
      <c r="I504">
        <v>0</v>
      </c>
      <c r="J504" t="s">
        <v>1</v>
      </c>
      <c r="K504" t="s">
        <v>2</v>
      </c>
      <c r="L504" s="8">
        <f>UnilabUsage[[#This Row],[Used-MB]]-F494</f>
        <v>0</v>
      </c>
      <c r="M504">
        <f>UnilabUsage[[#This Row],[Max]]-UnilabUsage[[#This Row],[Used-MB]]</f>
        <v>32767</v>
      </c>
      <c r="N504" s="5">
        <f>IF($L504&gt;0,UnilabUsage[[#This Row],[Free-of-Max]]/UnilabUsage[[#This Row],[Usage-Delta-MB]],UnilabUsage[[#This Row],[Free-of-Max]])</f>
        <v>32767</v>
      </c>
    </row>
    <row r="505" spans="1:14" x14ac:dyDescent="0.25">
      <c r="A505" s="3">
        <v>44599</v>
      </c>
      <c r="B505" t="s">
        <v>6</v>
      </c>
      <c r="C505">
        <v>89</v>
      </c>
      <c r="D505">
        <v>7215</v>
      </c>
      <c r="E505">
        <v>761</v>
      </c>
      <c r="F505">
        <v>6454</v>
      </c>
      <c r="G505">
        <v>11</v>
      </c>
      <c r="H505">
        <v>32768</v>
      </c>
      <c r="I505">
        <v>20</v>
      </c>
      <c r="J505" t="s">
        <v>1</v>
      </c>
      <c r="K505" t="s">
        <v>2</v>
      </c>
      <c r="L505" s="8">
        <f>UnilabUsage[[#This Row],[Used-MB]]-F495</f>
        <v>0</v>
      </c>
      <c r="M505">
        <f>UnilabUsage[[#This Row],[Max]]-UnilabUsage[[#This Row],[Used-MB]]</f>
        <v>26314</v>
      </c>
      <c r="N505" s="5">
        <f>IF($L505&gt;0,UnilabUsage[[#This Row],[Free-of-Max]]/UnilabUsage[[#This Row],[Usage-Delta-MB]],UnilabUsage[[#This Row],[Free-of-Max]])</f>
        <v>26314</v>
      </c>
    </row>
    <row r="506" spans="1:14" x14ac:dyDescent="0.25">
      <c r="A506" s="3">
        <v>44599</v>
      </c>
      <c r="B506" t="s">
        <v>3</v>
      </c>
      <c r="C506">
        <v>96</v>
      </c>
      <c r="D506">
        <v>413248</v>
      </c>
      <c r="E506">
        <v>15020</v>
      </c>
      <c r="F506">
        <v>398228</v>
      </c>
      <c r="G506">
        <v>4</v>
      </c>
      <c r="H506">
        <v>425984</v>
      </c>
      <c r="I506">
        <v>93</v>
      </c>
      <c r="J506" t="s">
        <v>1</v>
      </c>
      <c r="K506" t="s">
        <v>2</v>
      </c>
      <c r="L506" s="8">
        <f>UnilabUsage[[#This Row],[Used-MB]]-F496</f>
        <v>591</v>
      </c>
      <c r="M506">
        <f>UnilabUsage[[#This Row],[Max]]-UnilabUsage[[#This Row],[Used-MB]]</f>
        <v>27756</v>
      </c>
      <c r="N506" s="5">
        <f>IF($L506&gt;0,UnilabUsage[[#This Row],[Free-of-Max]]/UnilabUsage[[#This Row],[Usage-Delta-MB]],UnilabUsage[[#This Row],[Free-of-Max]])</f>
        <v>46.964467005076145</v>
      </c>
    </row>
    <row r="507" spans="1:14" x14ac:dyDescent="0.25">
      <c r="A507" s="3">
        <v>44599</v>
      </c>
      <c r="B507" t="s">
        <v>5</v>
      </c>
      <c r="C507">
        <v>95</v>
      </c>
      <c r="D507">
        <v>18600</v>
      </c>
      <c r="E507">
        <v>976</v>
      </c>
      <c r="F507">
        <v>17624</v>
      </c>
      <c r="G507">
        <v>5</v>
      </c>
      <c r="H507">
        <v>32768</v>
      </c>
      <c r="I507">
        <v>54</v>
      </c>
      <c r="J507" t="s">
        <v>1</v>
      </c>
      <c r="K507" t="s">
        <v>2</v>
      </c>
      <c r="L507" s="8">
        <f>UnilabUsage[[#This Row],[Used-MB]]-F497</f>
        <v>15</v>
      </c>
      <c r="M507">
        <f>UnilabUsage[[#This Row],[Max]]-UnilabUsage[[#This Row],[Used-MB]]</f>
        <v>15144</v>
      </c>
      <c r="N507" s="5">
        <f>IF($L507&gt;0,UnilabUsage[[#This Row],[Free-of-Max]]/UnilabUsage[[#This Row],[Usage-Delta-MB]],UnilabUsage[[#This Row],[Free-of-Max]])</f>
        <v>1009.6</v>
      </c>
    </row>
    <row r="508" spans="1:14" x14ac:dyDescent="0.25">
      <c r="A508" s="3">
        <v>44599</v>
      </c>
      <c r="B508" t="s">
        <v>8</v>
      </c>
      <c r="C508">
        <v>86</v>
      </c>
      <c r="D508">
        <v>294912</v>
      </c>
      <c r="E508">
        <v>41262</v>
      </c>
      <c r="F508">
        <v>253650</v>
      </c>
      <c r="G508">
        <v>14</v>
      </c>
      <c r="H508">
        <v>294912</v>
      </c>
      <c r="I508">
        <v>86</v>
      </c>
      <c r="J508" t="s">
        <v>1</v>
      </c>
      <c r="K508" t="s">
        <v>2</v>
      </c>
      <c r="L508" s="8">
        <f>UnilabUsage[[#This Row],[Used-MB]]-F498</f>
        <v>330</v>
      </c>
      <c r="M508">
        <f>UnilabUsage[[#This Row],[Max]]-UnilabUsage[[#This Row],[Used-MB]]</f>
        <v>41262</v>
      </c>
      <c r="N508" s="5">
        <f>IF($L508&gt;0,UnilabUsage[[#This Row],[Free-of-Max]]/UnilabUsage[[#This Row],[Usage-Delta-MB]],UnilabUsage[[#This Row],[Free-of-Max]])</f>
        <v>125.03636363636363</v>
      </c>
    </row>
    <row r="509" spans="1:14" x14ac:dyDescent="0.25">
      <c r="A509" s="3">
        <v>44599</v>
      </c>
      <c r="B509" t="s">
        <v>4</v>
      </c>
      <c r="C509">
        <v>95</v>
      </c>
      <c r="D509">
        <v>83925</v>
      </c>
      <c r="E509">
        <v>4081</v>
      </c>
      <c r="F509">
        <v>79844</v>
      </c>
      <c r="G509">
        <v>5</v>
      </c>
      <c r="H509">
        <v>98304</v>
      </c>
      <c r="I509">
        <v>81</v>
      </c>
      <c r="J509" t="s">
        <v>1</v>
      </c>
      <c r="K509" t="s">
        <v>2</v>
      </c>
      <c r="L509" s="8">
        <f>UnilabUsage[[#This Row],[Used-MB]]-F499</f>
        <v>128</v>
      </c>
      <c r="M509">
        <f>UnilabUsage[[#This Row],[Max]]-UnilabUsage[[#This Row],[Used-MB]]</f>
        <v>18460</v>
      </c>
      <c r="N509" s="5">
        <f>IF($L509&gt;0,UnilabUsage[[#This Row],[Free-of-Max]]/UnilabUsage[[#This Row],[Usage-Delta-MB]],UnilabUsage[[#This Row],[Free-of-Max]])</f>
        <v>144.21875</v>
      </c>
    </row>
    <row r="510" spans="1:14" x14ac:dyDescent="0.25">
      <c r="A510" s="3">
        <v>44599</v>
      </c>
      <c r="B510" t="s">
        <v>12</v>
      </c>
      <c r="C510">
        <v>0</v>
      </c>
      <c r="D510">
        <v>30720</v>
      </c>
      <c r="E510">
        <v>30673</v>
      </c>
      <c r="F510">
        <v>47</v>
      </c>
      <c r="G510">
        <v>100</v>
      </c>
      <c r="H510">
        <v>30720</v>
      </c>
      <c r="I510">
        <v>0</v>
      </c>
      <c r="J510" t="s">
        <v>1</v>
      </c>
      <c r="K510" t="s">
        <v>13</v>
      </c>
      <c r="L510" s="8">
        <f>UnilabUsage[[#This Row],[Used-MB]]-F500</f>
        <v>-8</v>
      </c>
      <c r="M510">
        <f>UnilabUsage[[#This Row],[Max]]-UnilabUsage[[#This Row],[Used-MB]]</f>
        <v>30673</v>
      </c>
      <c r="N510" s="5">
        <f>IF($L510&gt;0,UnilabUsage[[#This Row],[Free-of-Max]]/UnilabUsage[[#This Row],[Usage-Delta-MB]],UnilabUsage[[#This Row],[Free-of-Max]])</f>
        <v>30673</v>
      </c>
    </row>
    <row r="511" spans="1:14" x14ac:dyDescent="0.25">
      <c r="A511" s="3">
        <v>44599</v>
      </c>
      <c r="B511" t="s">
        <v>9</v>
      </c>
      <c r="C511">
        <v>2</v>
      </c>
      <c r="D511">
        <v>10440</v>
      </c>
      <c r="E511">
        <v>10263</v>
      </c>
      <c r="F511">
        <v>177</v>
      </c>
      <c r="G511">
        <v>98</v>
      </c>
      <c r="H511">
        <v>32768</v>
      </c>
      <c r="I511">
        <v>1</v>
      </c>
      <c r="J511" t="s">
        <v>1</v>
      </c>
      <c r="K511" t="s">
        <v>10</v>
      </c>
      <c r="L511" s="8">
        <f>UnilabUsage[[#This Row],[Used-MB]]-F501</f>
        <v>-13</v>
      </c>
      <c r="M511">
        <f>UnilabUsage[[#This Row],[Max]]-UnilabUsage[[#This Row],[Used-MB]]</f>
        <v>32591</v>
      </c>
      <c r="N511" s="5">
        <f>IF($L511&gt;0,UnilabUsage[[#This Row],[Free-of-Max]]/UnilabUsage[[#This Row],[Usage-Delta-MB]],UnilabUsage[[#This Row],[Free-of-Max]])</f>
        <v>32591</v>
      </c>
    </row>
    <row r="512" spans="1:14" x14ac:dyDescent="0.25">
      <c r="A512" s="3">
        <v>44606</v>
      </c>
      <c r="B512" t="s">
        <v>7</v>
      </c>
      <c r="C512">
        <v>95</v>
      </c>
      <c r="D512">
        <v>1530</v>
      </c>
      <c r="E512">
        <v>78</v>
      </c>
      <c r="F512">
        <v>1452</v>
      </c>
      <c r="G512">
        <v>5</v>
      </c>
      <c r="H512">
        <v>32768</v>
      </c>
      <c r="I512">
        <v>4</v>
      </c>
      <c r="J512" t="s">
        <v>1</v>
      </c>
      <c r="K512" t="s">
        <v>2</v>
      </c>
      <c r="L512" s="8">
        <f>UnilabUsage[[#This Row],[Used-MB]]-F502</f>
        <v>0</v>
      </c>
      <c r="M512">
        <f>UnilabUsage[[#This Row],[Max]]-UnilabUsage[[#This Row],[Used-MB]]</f>
        <v>31316</v>
      </c>
      <c r="N512" s="5">
        <f>IF($L512&gt;0,UnilabUsage[[#This Row],[Free-of-Max]]/UnilabUsage[[#This Row],[Usage-Delta-MB]],UnilabUsage[[#This Row],[Free-of-Max]])</f>
        <v>31316</v>
      </c>
    </row>
    <row r="513" spans="1:14" x14ac:dyDescent="0.25">
      <c r="A513" s="3">
        <v>44606</v>
      </c>
      <c r="B513" t="s">
        <v>0</v>
      </c>
      <c r="C513">
        <v>100</v>
      </c>
      <c r="D513">
        <v>17850</v>
      </c>
      <c r="E513">
        <v>53</v>
      </c>
      <c r="F513">
        <v>17797</v>
      </c>
      <c r="G513">
        <v>0</v>
      </c>
      <c r="H513">
        <v>32768</v>
      </c>
      <c r="I513">
        <v>54</v>
      </c>
      <c r="J513" t="s">
        <v>1</v>
      </c>
      <c r="K513" t="s">
        <v>2</v>
      </c>
      <c r="L513" s="8">
        <f>UnilabUsage[[#This Row],[Used-MB]]-F503</f>
        <v>64</v>
      </c>
      <c r="M513">
        <f>UnilabUsage[[#This Row],[Max]]-UnilabUsage[[#This Row],[Used-MB]]</f>
        <v>14971</v>
      </c>
      <c r="N513" s="5">
        <f>IF($L513&gt;0,UnilabUsage[[#This Row],[Free-of-Max]]/UnilabUsage[[#This Row],[Usage-Delta-MB]],UnilabUsage[[#This Row],[Free-of-Max]])</f>
        <v>233.921875</v>
      </c>
    </row>
    <row r="514" spans="1:14" x14ac:dyDescent="0.25">
      <c r="A514" s="3">
        <v>44606</v>
      </c>
      <c r="B514" t="s">
        <v>11</v>
      </c>
      <c r="C514">
        <v>1</v>
      </c>
      <c r="D514">
        <v>100</v>
      </c>
      <c r="E514">
        <v>99</v>
      </c>
      <c r="F514">
        <v>1</v>
      </c>
      <c r="G514">
        <v>99</v>
      </c>
      <c r="H514">
        <v>32768</v>
      </c>
      <c r="I514">
        <v>0</v>
      </c>
      <c r="J514" t="s">
        <v>1</v>
      </c>
      <c r="K514" t="s">
        <v>2</v>
      </c>
      <c r="L514" s="8">
        <f>UnilabUsage[[#This Row],[Used-MB]]-F504</f>
        <v>0</v>
      </c>
      <c r="M514">
        <f>UnilabUsage[[#This Row],[Max]]-UnilabUsage[[#This Row],[Used-MB]]</f>
        <v>32767</v>
      </c>
      <c r="N514" s="5">
        <f>IF($L514&gt;0,UnilabUsage[[#This Row],[Free-of-Max]]/UnilabUsage[[#This Row],[Usage-Delta-MB]],UnilabUsage[[#This Row],[Free-of-Max]])</f>
        <v>32767</v>
      </c>
    </row>
    <row r="515" spans="1:14" x14ac:dyDescent="0.25">
      <c r="A515" s="3">
        <v>44606</v>
      </c>
      <c r="B515" t="s">
        <v>6</v>
      </c>
      <c r="C515">
        <v>89</v>
      </c>
      <c r="D515">
        <v>7215</v>
      </c>
      <c r="E515">
        <v>761</v>
      </c>
      <c r="F515">
        <v>6454</v>
      </c>
      <c r="G515">
        <v>11</v>
      </c>
      <c r="H515">
        <v>32768</v>
      </c>
      <c r="I515">
        <v>20</v>
      </c>
      <c r="J515" t="s">
        <v>1</v>
      </c>
      <c r="K515" t="s">
        <v>2</v>
      </c>
      <c r="L515" s="8">
        <f>UnilabUsage[[#This Row],[Used-MB]]-F505</f>
        <v>0</v>
      </c>
      <c r="M515">
        <f>UnilabUsage[[#This Row],[Max]]-UnilabUsage[[#This Row],[Used-MB]]</f>
        <v>26314</v>
      </c>
      <c r="N515" s="5">
        <f>IF($L515&gt;0,UnilabUsage[[#This Row],[Free-of-Max]]/UnilabUsage[[#This Row],[Usage-Delta-MB]],UnilabUsage[[#This Row],[Free-of-Max]])</f>
        <v>26314</v>
      </c>
    </row>
    <row r="516" spans="1:14" x14ac:dyDescent="0.25">
      <c r="A516" s="3">
        <v>44606</v>
      </c>
      <c r="B516" t="s">
        <v>3</v>
      </c>
      <c r="C516">
        <v>97</v>
      </c>
      <c r="D516">
        <v>413248</v>
      </c>
      <c r="E516">
        <v>14179</v>
      </c>
      <c r="F516">
        <v>399069</v>
      </c>
      <c r="G516">
        <v>3</v>
      </c>
      <c r="H516">
        <v>425984</v>
      </c>
      <c r="I516">
        <v>94</v>
      </c>
      <c r="J516" t="s">
        <v>1</v>
      </c>
      <c r="K516" t="s">
        <v>2</v>
      </c>
      <c r="L516" s="8">
        <f>UnilabUsage[[#This Row],[Used-MB]]-F506</f>
        <v>841</v>
      </c>
      <c r="M516">
        <f>UnilabUsage[[#This Row],[Max]]-UnilabUsage[[#This Row],[Used-MB]]</f>
        <v>26915</v>
      </c>
      <c r="N516" s="5">
        <f>IF($L516&gt;0,UnilabUsage[[#This Row],[Free-of-Max]]/UnilabUsage[[#This Row],[Usage-Delta-MB]],UnilabUsage[[#This Row],[Free-of-Max]])</f>
        <v>32.003567181926279</v>
      </c>
    </row>
    <row r="517" spans="1:14" x14ac:dyDescent="0.25">
      <c r="A517" s="3">
        <v>44606</v>
      </c>
      <c r="B517" t="s">
        <v>5</v>
      </c>
      <c r="C517">
        <v>95</v>
      </c>
      <c r="D517">
        <v>18650</v>
      </c>
      <c r="E517">
        <v>898</v>
      </c>
      <c r="F517">
        <v>17752</v>
      </c>
      <c r="G517">
        <v>5</v>
      </c>
      <c r="H517">
        <v>32768</v>
      </c>
      <c r="I517">
        <v>54</v>
      </c>
      <c r="J517" t="s">
        <v>1</v>
      </c>
      <c r="K517" t="s">
        <v>2</v>
      </c>
      <c r="L517" s="8">
        <f>UnilabUsage[[#This Row],[Used-MB]]-F507</f>
        <v>128</v>
      </c>
      <c r="M517">
        <f>UnilabUsage[[#This Row],[Max]]-UnilabUsage[[#This Row],[Used-MB]]</f>
        <v>15016</v>
      </c>
      <c r="N517" s="5">
        <f>IF($L517&gt;0,UnilabUsage[[#This Row],[Free-of-Max]]/UnilabUsage[[#This Row],[Usage-Delta-MB]],UnilabUsage[[#This Row],[Free-of-Max]])</f>
        <v>117.3125</v>
      </c>
    </row>
    <row r="518" spans="1:14" x14ac:dyDescent="0.25">
      <c r="A518" s="3">
        <v>44606</v>
      </c>
      <c r="B518" t="s">
        <v>8</v>
      </c>
      <c r="C518">
        <v>86</v>
      </c>
      <c r="D518">
        <v>294912</v>
      </c>
      <c r="E518">
        <v>40834</v>
      </c>
      <c r="F518">
        <v>254077</v>
      </c>
      <c r="G518">
        <v>14</v>
      </c>
      <c r="H518">
        <v>294912</v>
      </c>
      <c r="I518">
        <v>86</v>
      </c>
      <c r="J518" t="s">
        <v>1</v>
      </c>
      <c r="K518" t="s">
        <v>2</v>
      </c>
      <c r="L518" s="8">
        <f>UnilabUsage[[#This Row],[Used-MB]]-F508</f>
        <v>427</v>
      </c>
      <c r="M518">
        <f>UnilabUsage[[#This Row],[Max]]-UnilabUsage[[#This Row],[Used-MB]]</f>
        <v>40835</v>
      </c>
      <c r="N518" s="5">
        <f>IF($L518&gt;0,UnilabUsage[[#This Row],[Free-of-Max]]/UnilabUsage[[#This Row],[Usage-Delta-MB]],UnilabUsage[[#This Row],[Free-of-Max]])</f>
        <v>95.632318501170957</v>
      </c>
    </row>
    <row r="519" spans="1:14" x14ac:dyDescent="0.25">
      <c r="A519" s="3">
        <v>44606</v>
      </c>
      <c r="B519" t="s">
        <v>4</v>
      </c>
      <c r="C519">
        <v>95</v>
      </c>
      <c r="D519">
        <v>83925</v>
      </c>
      <c r="E519">
        <v>4081</v>
      </c>
      <c r="F519">
        <v>79844</v>
      </c>
      <c r="G519">
        <v>5</v>
      </c>
      <c r="H519">
        <v>98304</v>
      </c>
      <c r="I519">
        <v>81</v>
      </c>
      <c r="J519" t="s">
        <v>1</v>
      </c>
      <c r="K519" t="s">
        <v>2</v>
      </c>
      <c r="L519" s="8">
        <f>UnilabUsage[[#This Row],[Used-MB]]-F509</f>
        <v>0</v>
      </c>
      <c r="M519">
        <f>UnilabUsage[[#This Row],[Max]]-UnilabUsage[[#This Row],[Used-MB]]</f>
        <v>18460</v>
      </c>
      <c r="N519" s="5">
        <f>IF($L519&gt;0,UnilabUsage[[#This Row],[Free-of-Max]]/UnilabUsage[[#This Row],[Usage-Delta-MB]],UnilabUsage[[#This Row],[Free-of-Max]])</f>
        <v>18460</v>
      </c>
    </row>
    <row r="520" spans="1:14" x14ac:dyDescent="0.25">
      <c r="A520" s="3">
        <v>44606</v>
      </c>
      <c r="B520" t="s">
        <v>12</v>
      </c>
      <c r="C520">
        <v>0</v>
      </c>
      <c r="D520">
        <v>30720</v>
      </c>
      <c r="E520">
        <v>30663</v>
      </c>
      <c r="F520">
        <v>57</v>
      </c>
      <c r="G520">
        <v>100</v>
      </c>
      <c r="H520">
        <v>30720</v>
      </c>
      <c r="I520">
        <v>0</v>
      </c>
      <c r="J520" t="s">
        <v>1</v>
      </c>
      <c r="K520" t="s">
        <v>13</v>
      </c>
      <c r="L520" s="8">
        <f>UnilabUsage[[#This Row],[Used-MB]]-F510</f>
        <v>10</v>
      </c>
      <c r="M520">
        <f>UnilabUsage[[#This Row],[Max]]-UnilabUsage[[#This Row],[Used-MB]]</f>
        <v>30663</v>
      </c>
      <c r="N520" s="5">
        <f>IF($L520&gt;0,UnilabUsage[[#This Row],[Free-of-Max]]/UnilabUsage[[#This Row],[Usage-Delta-MB]],UnilabUsage[[#This Row],[Free-of-Max]])</f>
        <v>3066.3</v>
      </c>
    </row>
    <row r="521" spans="1:14" x14ac:dyDescent="0.25">
      <c r="A521" s="3">
        <v>44606</v>
      </c>
      <c r="B521" t="s">
        <v>9</v>
      </c>
      <c r="C521">
        <v>1</v>
      </c>
      <c r="D521">
        <v>10440</v>
      </c>
      <c r="E521">
        <v>10338</v>
      </c>
      <c r="F521">
        <v>103</v>
      </c>
      <c r="G521">
        <v>99</v>
      </c>
      <c r="H521">
        <v>32768</v>
      </c>
      <c r="I521">
        <v>0</v>
      </c>
      <c r="J521" t="s">
        <v>1</v>
      </c>
      <c r="K521" t="s">
        <v>10</v>
      </c>
      <c r="L521" s="8">
        <f>UnilabUsage[[#This Row],[Used-MB]]-F511</f>
        <v>-74</v>
      </c>
      <c r="M521">
        <f>UnilabUsage[[#This Row],[Max]]-UnilabUsage[[#This Row],[Used-MB]]</f>
        <v>32665</v>
      </c>
      <c r="N521" s="5">
        <f>IF($L521&gt;0,UnilabUsage[[#This Row],[Free-of-Max]]/UnilabUsage[[#This Row],[Usage-Delta-MB]],UnilabUsage[[#This Row],[Free-of-Max]])</f>
        <v>32665</v>
      </c>
    </row>
    <row r="522" spans="1:14" x14ac:dyDescent="0.25">
      <c r="A522" s="3">
        <v>44613</v>
      </c>
      <c r="B522" t="s">
        <v>7</v>
      </c>
      <c r="C522">
        <v>95</v>
      </c>
      <c r="D522">
        <v>1550</v>
      </c>
      <c r="E522">
        <v>82</v>
      </c>
      <c r="F522">
        <v>1468</v>
      </c>
      <c r="G522">
        <v>5</v>
      </c>
      <c r="H522">
        <v>32768</v>
      </c>
      <c r="I522">
        <v>4</v>
      </c>
      <c r="J522" t="s">
        <v>1</v>
      </c>
      <c r="K522" t="s">
        <v>2</v>
      </c>
      <c r="L522" s="8">
        <f>UnilabUsage[[#This Row],[Used-MB]]-F512</f>
        <v>16</v>
      </c>
      <c r="M522">
        <f>UnilabUsage[[#This Row],[Max]]-UnilabUsage[[#This Row],[Used-MB]]</f>
        <v>31300</v>
      </c>
      <c r="N522" s="5">
        <f>IF($L522&gt;0,UnilabUsage[[#This Row],[Free-of-Max]]/UnilabUsage[[#This Row],[Usage-Delta-MB]],UnilabUsage[[#This Row],[Free-of-Max]])</f>
        <v>1956.25</v>
      </c>
    </row>
    <row r="523" spans="1:14" x14ac:dyDescent="0.25">
      <c r="A523" s="3">
        <v>44613</v>
      </c>
      <c r="B523" t="s">
        <v>0</v>
      </c>
      <c r="C523">
        <v>100</v>
      </c>
      <c r="D523">
        <v>17950</v>
      </c>
      <c r="E523">
        <v>89</v>
      </c>
      <c r="F523">
        <v>17861</v>
      </c>
      <c r="G523">
        <v>0</v>
      </c>
      <c r="H523">
        <v>32768</v>
      </c>
      <c r="I523">
        <v>55</v>
      </c>
      <c r="J523" t="s">
        <v>1</v>
      </c>
      <c r="K523" t="s">
        <v>2</v>
      </c>
      <c r="L523" s="8">
        <f>UnilabUsage[[#This Row],[Used-MB]]-F513</f>
        <v>64</v>
      </c>
      <c r="M523">
        <f>UnilabUsage[[#This Row],[Max]]-UnilabUsage[[#This Row],[Used-MB]]</f>
        <v>14907</v>
      </c>
      <c r="N523" s="5">
        <f>IF($L523&gt;0,UnilabUsage[[#This Row],[Free-of-Max]]/UnilabUsage[[#This Row],[Usage-Delta-MB]],UnilabUsage[[#This Row],[Free-of-Max]])</f>
        <v>232.921875</v>
      </c>
    </row>
    <row r="524" spans="1:14" x14ac:dyDescent="0.25">
      <c r="A524" s="3">
        <v>44613</v>
      </c>
      <c r="B524" t="s">
        <v>11</v>
      </c>
      <c r="C524">
        <v>1</v>
      </c>
      <c r="D524">
        <v>100</v>
      </c>
      <c r="E524">
        <v>99</v>
      </c>
      <c r="F524">
        <v>1</v>
      </c>
      <c r="G524">
        <v>99</v>
      </c>
      <c r="H524">
        <v>32768</v>
      </c>
      <c r="I524">
        <v>0</v>
      </c>
      <c r="J524" t="s">
        <v>1</v>
      </c>
      <c r="K524" t="s">
        <v>2</v>
      </c>
      <c r="L524" s="8">
        <f>UnilabUsage[[#This Row],[Used-MB]]-F514</f>
        <v>0</v>
      </c>
      <c r="M524">
        <f>UnilabUsage[[#This Row],[Max]]-UnilabUsage[[#This Row],[Used-MB]]</f>
        <v>32767</v>
      </c>
      <c r="N524" s="5">
        <f>IF($L524&gt;0,UnilabUsage[[#This Row],[Free-of-Max]]/UnilabUsage[[#This Row],[Usage-Delta-MB]],UnilabUsage[[#This Row],[Free-of-Max]])</f>
        <v>32767</v>
      </c>
    </row>
    <row r="525" spans="1:14" x14ac:dyDescent="0.25">
      <c r="A525" s="3">
        <v>44613</v>
      </c>
      <c r="B525" t="s">
        <v>6</v>
      </c>
      <c r="C525">
        <v>90</v>
      </c>
      <c r="D525">
        <v>7215</v>
      </c>
      <c r="E525">
        <v>751</v>
      </c>
      <c r="F525">
        <v>6464</v>
      </c>
      <c r="G525">
        <v>10</v>
      </c>
      <c r="H525">
        <v>32768</v>
      </c>
      <c r="I525">
        <v>20</v>
      </c>
      <c r="J525" t="s">
        <v>1</v>
      </c>
      <c r="K525" t="s">
        <v>2</v>
      </c>
      <c r="L525" s="8">
        <f>UnilabUsage[[#This Row],[Used-MB]]-F515</f>
        <v>10</v>
      </c>
      <c r="M525">
        <f>UnilabUsage[[#This Row],[Max]]-UnilabUsage[[#This Row],[Used-MB]]</f>
        <v>26304</v>
      </c>
      <c r="N525" s="5">
        <f>IF($L525&gt;0,UnilabUsage[[#This Row],[Free-of-Max]]/UnilabUsage[[#This Row],[Usage-Delta-MB]],UnilabUsage[[#This Row],[Free-of-Max]])</f>
        <v>2630.4</v>
      </c>
    </row>
    <row r="526" spans="1:14" x14ac:dyDescent="0.25">
      <c r="A526" s="3">
        <v>44613</v>
      </c>
      <c r="B526" t="s">
        <v>3</v>
      </c>
      <c r="C526">
        <v>97</v>
      </c>
      <c r="D526">
        <v>413248</v>
      </c>
      <c r="E526">
        <v>13824</v>
      </c>
      <c r="F526">
        <v>399424</v>
      </c>
      <c r="G526">
        <v>3</v>
      </c>
      <c r="H526">
        <v>425984</v>
      </c>
      <c r="I526">
        <v>94</v>
      </c>
      <c r="J526" t="s">
        <v>1</v>
      </c>
      <c r="K526" t="s">
        <v>2</v>
      </c>
      <c r="L526" s="8">
        <f>UnilabUsage[[#This Row],[Used-MB]]-F516</f>
        <v>355</v>
      </c>
      <c r="M526">
        <f>UnilabUsage[[#This Row],[Max]]-UnilabUsage[[#This Row],[Used-MB]]</f>
        <v>26560</v>
      </c>
      <c r="N526" s="5">
        <f>IF($L526&gt;0,UnilabUsage[[#This Row],[Free-of-Max]]/UnilabUsage[[#This Row],[Usage-Delta-MB]],UnilabUsage[[#This Row],[Free-of-Max]])</f>
        <v>74.816901408450704</v>
      </c>
    </row>
    <row r="527" spans="1:14" x14ac:dyDescent="0.25">
      <c r="A527" s="3">
        <v>44613</v>
      </c>
      <c r="B527" t="s">
        <v>5</v>
      </c>
      <c r="C527">
        <v>95</v>
      </c>
      <c r="D527">
        <v>18650</v>
      </c>
      <c r="E527">
        <v>897</v>
      </c>
      <c r="F527">
        <v>17753</v>
      </c>
      <c r="G527">
        <v>5</v>
      </c>
      <c r="H527">
        <v>32768</v>
      </c>
      <c r="I527">
        <v>54</v>
      </c>
      <c r="J527" t="s">
        <v>1</v>
      </c>
      <c r="K527" t="s">
        <v>2</v>
      </c>
      <c r="L527" s="8">
        <f>UnilabUsage[[#This Row],[Used-MB]]-F517</f>
        <v>1</v>
      </c>
      <c r="M527">
        <f>UnilabUsage[[#This Row],[Max]]-UnilabUsage[[#This Row],[Used-MB]]</f>
        <v>15015</v>
      </c>
      <c r="N527" s="5">
        <f>IF($L527&gt;0,UnilabUsage[[#This Row],[Free-of-Max]]/UnilabUsage[[#This Row],[Usage-Delta-MB]],UnilabUsage[[#This Row],[Free-of-Max]])</f>
        <v>15015</v>
      </c>
    </row>
    <row r="528" spans="1:14" x14ac:dyDescent="0.25">
      <c r="A528" s="3">
        <v>44613</v>
      </c>
      <c r="B528" t="s">
        <v>8</v>
      </c>
      <c r="C528">
        <v>86</v>
      </c>
      <c r="D528">
        <v>294912</v>
      </c>
      <c r="E528">
        <v>40343</v>
      </c>
      <c r="F528">
        <v>254569</v>
      </c>
      <c r="G528">
        <v>14</v>
      </c>
      <c r="H528">
        <v>294912</v>
      </c>
      <c r="I528">
        <v>86</v>
      </c>
      <c r="J528" t="s">
        <v>1</v>
      </c>
      <c r="K528" t="s">
        <v>2</v>
      </c>
      <c r="L528" s="8">
        <f>UnilabUsage[[#This Row],[Used-MB]]-F518</f>
        <v>492</v>
      </c>
      <c r="M528">
        <f>UnilabUsage[[#This Row],[Max]]-UnilabUsage[[#This Row],[Used-MB]]</f>
        <v>40343</v>
      </c>
      <c r="N528" s="5">
        <f>IF($L528&gt;0,UnilabUsage[[#This Row],[Free-of-Max]]/UnilabUsage[[#This Row],[Usage-Delta-MB]],UnilabUsage[[#This Row],[Free-of-Max]])</f>
        <v>81.997967479674799</v>
      </c>
    </row>
    <row r="529" spans="1:14" x14ac:dyDescent="0.25">
      <c r="A529" s="3">
        <v>44613</v>
      </c>
      <c r="B529" t="s">
        <v>4</v>
      </c>
      <c r="C529">
        <v>95</v>
      </c>
      <c r="D529">
        <v>83925</v>
      </c>
      <c r="E529">
        <v>4017</v>
      </c>
      <c r="F529">
        <v>79908</v>
      </c>
      <c r="G529">
        <v>5</v>
      </c>
      <c r="H529">
        <v>98304</v>
      </c>
      <c r="I529">
        <v>81</v>
      </c>
      <c r="J529" t="s">
        <v>1</v>
      </c>
      <c r="K529" t="s">
        <v>2</v>
      </c>
      <c r="L529" s="8">
        <f>UnilabUsage[[#This Row],[Used-MB]]-F519</f>
        <v>64</v>
      </c>
      <c r="M529">
        <f>UnilabUsage[[#This Row],[Max]]-UnilabUsage[[#This Row],[Used-MB]]</f>
        <v>18396</v>
      </c>
      <c r="N529" s="5">
        <f>IF($L529&gt;0,UnilabUsage[[#This Row],[Free-of-Max]]/UnilabUsage[[#This Row],[Usage-Delta-MB]],UnilabUsage[[#This Row],[Free-of-Max]])</f>
        <v>287.4375</v>
      </c>
    </row>
    <row r="530" spans="1:14" x14ac:dyDescent="0.25">
      <c r="A530" s="3">
        <v>44613</v>
      </c>
      <c r="B530" t="s">
        <v>12</v>
      </c>
      <c r="C530">
        <v>0</v>
      </c>
      <c r="D530">
        <v>30720</v>
      </c>
      <c r="E530">
        <v>30653</v>
      </c>
      <c r="F530">
        <v>67</v>
      </c>
      <c r="G530">
        <v>100</v>
      </c>
      <c r="H530">
        <v>30720</v>
      </c>
      <c r="I530">
        <v>0</v>
      </c>
      <c r="J530" t="s">
        <v>1</v>
      </c>
      <c r="K530" t="s">
        <v>13</v>
      </c>
      <c r="L530" s="8">
        <f>UnilabUsage[[#This Row],[Used-MB]]-F520</f>
        <v>10</v>
      </c>
      <c r="M530">
        <f>UnilabUsage[[#This Row],[Max]]-UnilabUsage[[#This Row],[Used-MB]]</f>
        <v>30653</v>
      </c>
      <c r="N530" s="5">
        <f>IF($L530&gt;0,UnilabUsage[[#This Row],[Free-of-Max]]/UnilabUsage[[#This Row],[Usage-Delta-MB]],UnilabUsage[[#This Row],[Free-of-Max]])</f>
        <v>3065.3</v>
      </c>
    </row>
    <row r="531" spans="1:14" x14ac:dyDescent="0.25">
      <c r="A531" s="3">
        <v>44613</v>
      </c>
      <c r="B531" t="s">
        <v>9</v>
      </c>
      <c r="C531">
        <v>1</v>
      </c>
      <c r="D531">
        <v>10440</v>
      </c>
      <c r="E531">
        <v>10318</v>
      </c>
      <c r="F531">
        <v>122</v>
      </c>
      <c r="G531">
        <v>99</v>
      </c>
      <c r="H531">
        <v>32768</v>
      </c>
      <c r="I531">
        <v>0</v>
      </c>
      <c r="J531" t="s">
        <v>1</v>
      </c>
      <c r="K531" t="s">
        <v>10</v>
      </c>
      <c r="L531" s="8">
        <f>UnilabUsage[[#This Row],[Used-MB]]-F521</f>
        <v>19</v>
      </c>
      <c r="M531">
        <f>UnilabUsage[[#This Row],[Max]]-UnilabUsage[[#This Row],[Used-MB]]</f>
        <v>32646</v>
      </c>
      <c r="N531" s="5">
        <f>IF($L531&gt;0,UnilabUsage[[#This Row],[Free-of-Max]]/UnilabUsage[[#This Row],[Usage-Delta-MB]],UnilabUsage[[#This Row],[Free-of-Max]])</f>
        <v>1718.2105263157894</v>
      </c>
    </row>
    <row r="532" spans="1:14" x14ac:dyDescent="0.25">
      <c r="A532" s="3">
        <v>44620</v>
      </c>
      <c r="B532" t="s">
        <v>7</v>
      </c>
      <c r="C532">
        <v>95</v>
      </c>
      <c r="D532">
        <v>1550</v>
      </c>
      <c r="E532">
        <v>74</v>
      </c>
      <c r="F532">
        <v>1476</v>
      </c>
      <c r="G532">
        <v>5</v>
      </c>
      <c r="H532">
        <v>32768</v>
      </c>
      <c r="I532">
        <v>5</v>
      </c>
      <c r="J532" t="s">
        <v>1</v>
      </c>
      <c r="K532" t="s">
        <v>2</v>
      </c>
      <c r="L532" s="8">
        <f>UnilabUsage[[#This Row],[Used-MB]]-F522</f>
        <v>8</v>
      </c>
      <c r="M532">
        <f>UnilabUsage[[#This Row],[Max]]-UnilabUsage[[#This Row],[Used-MB]]</f>
        <v>31292</v>
      </c>
      <c r="N532" s="5">
        <f>IF($L532&gt;0,UnilabUsage[[#This Row],[Free-of-Max]]/UnilabUsage[[#This Row],[Usage-Delta-MB]],UnilabUsage[[#This Row],[Free-of-Max]])</f>
        <v>3911.5</v>
      </c>
    </row>
    <row r="533" spans="1:14" x14ac:dyDescent="0.25">
      <c r="A533" s="3">
        <v>44620</v>
      </c>
      <c r="B533" t="s">
        <v>0</v>
      </c>
      <c r="C533">
        <v>100</v>
      </c>
      <c r="D533">
        <v>17950</v>
      </c>
      <c r="E533">
        <v>89</v>
      </c>
      <c r="F533">
        <v>17861</v>
      </c>
      <c r="G533">
        <v>0</v>
      </c>
      <c r="H533">
        <v>32768</v>
      </c>
      <c r="I533">
        <v>55</v>
      </c>
      <c r="J533" t="s">
        <v>1</v>
      </c>
      <c r="K533" t="s">
        <v>2</v>
      </c>
      <c r="L533" s="8">
        <f>UnilabUsage[[#This Row],[Used-MB]]-F523</f>
        <v>0</v>
      </c>
      <c r="M533">
        <f>UnilabUsage[[#This Row],[Max]]-UnilabUsage[[#This Row],[Used-MB]]</f>
        <v>14907</v>
      </c>
      <c r="N533" s="5">
        <f>IF($L533&gt;0,UnilabUsage[[#This Row],[Free-of-Max]]/UnilabUsage[[#This Row],[Usage-Delta-MB]],UnilabUsage[[#This Row],[Free-of-Max]])</f>
        <v>14907</v>
      </c>
    </row>
    <row r="534" spans="1:14" x14ac:dyDescent="0.25">
      <c r="A534" s="3">
        <v>44620</v>
      </c>
      <c r="B534" t="s">
        <v>11</v>
      </c>
      <c r="C534">
        <v>1</v>
      </c>
      <c r="D534">
        <v>100</v>
      </c>
      <c r="E534">
        <v>99</v>
      </c>
      <c r="F534">
        <v>1</v>
      </c>
      <c r="G534">
        <v>99</v>
      </c>
      <c r="H534">
        <v>32768</v>
      </c>
      <c r="I534">
        <v>0</v>
      </c>
      <c r="J534" t="s">
        <v>1</v>
      </c>
      <c r="K534" t="s">
        <v>2</v>
      </c>
      <c r="L534" s="8">
        <f>UnilabUsage[[#This Row],[Used-MB]]-F524</f>
        <v>0</v>
      </c>
      <c r="M534">
        <f>UnilabUsage[[#This Row],[Max]]-UnilabUsage[[#This Row],[Used-MB]]</f>
        <v>32767</v>
      </c>
      <c r="N534" s="5">
        <f>IF($L534&gt;0,UnilabUsage[[#This Row],[Free-of-Max]]/UnilabUsage[[#This Row],[Usage-Delta-MB]],UnilabUsage[[#This Row],[Free-of-Max]])</f>
        <v>32767</v>
      </c>
    </row>
    <row r="535" spans="1:14" x14ac:dyDescent="0.25">
      <c r="A535" s="3">
        <v>44620</v>
      </c>
      <c r="B535" t="s">
        <v>6</v>
      </c>
      <c r="C535">
        <v>90</v>
      </c>
      <c r="D535">
        <v>7215</v>
      </c>
      <c r="E535">
        <v>751</v>
      </c>
      <c r="F535">
        <v>6464</v>
      </c>
      <c r="G535">
        <v>10</v>
      </c>
      <c r="H535">
        <v>32768</v>
      </c>
      <c r="I535">
        <v>20</v>
      </c>
      <c r="J535" t="s">
        <v>1</v>
      </c>
      <c r="K535" t="s">
        <v>2</v>
      </c>
      <c r="L535" s="8">
        <f>UnilabUsage[[#This Row],[Used-MB]]-F525</f>
        <v>0</v>
      </c>
      <c r="M535">
        <f>UnilabUsage[[#This Row],[Max]]-UnilabUsage[[#This Row],[Used-MB]]</f>
        <v>26304</v>
      </c>
      <c r="N535" s="5">
        <f>IF($L535&gt;0,UnilabUsage[[#This Row],[Free-of-Max]]/UnilabUsage[[#This Row],[Usage-Delta-MB]],UnilabUsage[[#This Row],[Free-of-Max]])</f>
        <v>26304</v>
      </c>
    </row>
    <row r="536" spans="1:14" x14ac:dyDescent="0.25">
      <c r="A536" s="3">
        <v>44620</v>
      </c>
      <c r="B536" t="s">
        <v>3</v>
      </c>
      <c r="C536">
        <v>97</v>
      </c>
      <c r="D536">
        <v>413248</v>
      </c>
      <c r="E536">
        <v>13131</v>
      </c>
      <c r="F536">
        <v>400116</v>
      </c>
      <c r="G536">
        <v>3</v>
      </c>
      <c r="H536">
        <v>425984</v>
      </c>
      <c r="I536">
        <v>94</v>
      </c>
      <c r="J536" t="s">
        <v>1</v>
      </c>
      <c r="K536" t="s">
        <v>2</v>
      </c>
      <c r="L536" s="8">
        <f>UnilabUsage[[#This Row],[Used-MB]]-F526</f>
        <v>692</v>
      </c>
      <c r="M536">
        <f>UnilabUsage[[#This Row],[Max]]-UnilabUsage[[#This Row],[Used-MB]]</f>
        <v>25868</v>
      </c>
      <c r="N536" s="5">
        <f>IF($L536&gt;0,UnilabUsage[[#This Row],[Free-of-Max]]/UnilabUsage[[#This Row],[Usage-Delta-MB]],UnilabUsage[[#This Row],[Free-of-Max]])</f>
        <v>37.381502890173408</v>
      </c>
    </row>
    <row r="537" spans="1:14" x14ac:dyDescent="0.25">
      <c r="A537" s="3">
        <v>44620</v>
      </c>
      <c r="B537" t="s">
        <v>5</v>
      </c>
      <c r="C537">
        <v>95</v>
      </c>
      <c r="D537">
        <v>18650</v>
      </c>
      <c r="E537">
        <v>888</v>
      </c>
      <c r="F537">
        <v>17762</v>
      </c>
      <c r="G537">
        <v>5</v>
      </c>
      <c r="H537">
        <v>32768</v>
      </c>
      <c r="I537">
        <v>54</v>
      </c>
      <c r="J537" t="s">
        <v>1</v>
      </c>
      <c r="K537" t="s">
        <v>2</v>
      </c>
      <c r="L537" s="8">
        <f>UnilabUsage[[#This Row],[Used-MB]]-F527</f>
        <v>9</v>
      </c>
      <c r="M537">
        <f>UnilabUsage[[#This Row],[Max]]-UnilabUsage[[#This Row],[Used-MB]]</f>
        <v>15006</v>
      </c>
      <c r="N537" s="5">
        <f>IF($L537&gt;0,UnilabUsage[[#This Row],[Free-of-Max]]/UnilabUsage[[#This Row],[Usage-Delta-MB]],UnilabUsage[[#This Row],[Free-of-Max]])</f>
        <v>1667.3333333333333</v>
      </c>
    </row>
    <row r="538" spans="1:14" x14ac:dyDescent="0.25">
      <c r="A538" s="3">
        <v>44620</v>
      </c>
      <c r="B538" t="s">
        <v>8</v>
      </c>
      <c r="C538">
        <v>87</v>
      </c>
      <c r="D538">
        <v>294912</v>
      </c>
      <c r="E538">
        <v>39780</v>
      </c>
      <c r="F538">
        <v>255132</v>
      </c>
      <c r="G538">
        <v>13</v>
      </c>
      <c r="H538">
        <v>294912</v>
      </c>
      <c r="I538">
        <v>87</v>
      </c>
      <c r="J538" t="s">
        <v>1</v>
      </c>
      <c r="K538" t="s">
        <v>2</v>
      </c>
      <c r="L538" s="8">
        <f>UnilabUsage[[#This Row],[Used-MB]]-F528</f>
        <v>563</v>
      </c>
      <c r="M538">
        <f>UnilabUsage[[#This Row],[Max]]-UnilabUsage[[#This Row],[Used-MB]]</f>
        <v>39780</v>
      </c>
      <c r="N538" s="5">
        <f>IF($L538&gt;0,UnilabUsage[[#This Row],[Free-of-Max]]/UnilabUsage[[#This Row],[Usage-Delta-MB]],UnilabUsage[[#This Row],[Free-of-Max]])</f>
        <v>70.65719360568383</v>
      </c>
    </row>
    <row r="539" spans="1:14" x14ac:dyDescent="0.25">
      <c r="A539" s="3">
        <v>44620</v>
      </c>
      <c r="B539" t="s">
        <v>4</v>
      </c>
      <c r="C539">
        <v>95</v>
      </c>
      <c r="D539">
        <v>83925</v>
      </c>
      <c r="E539">
        <v>3889</v>
      </c>
      <c r="F539">
        <v>80036</v>
      </c>
      <c r="G539">
        <v>5</v>
      </c>
      <c r="H539">
        <v>98304</v>
      </c>
      <c r="I539">
        <v>81</v>
      </c>
      <c r="J539" t="s">
        <v>1</v>
      </c>
      <c r="K539" t="s">
        <v>2</v>
      </c>
      <c r="L539" s="8">
        <f>UnilabUsage[[#This Row],[Used-MB]]-F529</f>
        <v>128</v>
      </c>
      <c r="M539">
        <f>UnilabUsage[[#This Row],[Max]]-UnilabUsage[[#This Row],[Used-MB]]</f>
        <v>18268</v>
      </c>
      <c r="N539" s="5">
        <f>IF($L539&gt;0,UnilabUsage[[#This Row],[Free-of-Max]]/UnilabUsage[[#This Row],[Usage-Delta-MB]],UnilabUsage[[#This Row],[Free-of-Max]])</f>
        <v>142.71875</v>
      </c>
    </row>
    <row r="540" spans="1:14" x14ac:dyDescent="0.25">
      <c r="A540" s="3">
        <v>44620</v>
      </c>
      <c r="B540" t="s">
        <v>12</v>
      </c>
      <c r="C540">
        <v>0</v>
      </c>
      <c r="D540">
        <v>30720</v>
      </c>
      <c r="E540">
        <v>30627</v>
      </c>
      <c r="F540">
        <v>93</v>
      </c>
      <c r="G540">
        <v>100</v>
      </c>
      <c r="H540">
        <v>30720</v>
      </c>
      <c r="I540">
        <v>0</v>
      </c>
      <c r="J540" t="s">
        <v>1</v>
      </c>
      <c r="K540" t="s">
        <v>13</v>
      </c>
      <c r="L540" s="8">
        <f>UnilabUsage[[#This Row],[Used-MB]]-F530</f>
        <v>26</v>
      </c>
      <c r="M540">
        <f>UnilabUsage[[#This Row],[Max]]-UnilabUsage[[#This Row],[Used-MB]]</f>
        <v>30627</v>
      </c>
      <c r="N540" s="5">
        <f>IF($L540&gt;0,UnilabUsage[[#This Row],[Free-of-Max]]/UnilabUsage[[#This Row],[Usage-Delta-MB]],UnilabUsage[[#This Row],[Free-of-Max]])</f>
        <v>1177.9615384615386</v>
      </c>
    </row>
    <row r="541" spans="1:14" x14ac:dyDescent="0.25">
      <c r="A541" s="3">
        <v>44620</v>
      </c>
      <c r="B541" t="s">
        <v>9</v>
      </c>
      <c r="C541">
        <v>2</v>
      </c>
      <c r="D541">
        <v>10440</v>
      </c>
      <c r="E541">
        <v>10283</v>
      </c>
      <c r="F541">
        <v>157</v>
      </c>
      <c r="G541">
        <v>98</v>
      </c>
      <c r="H541">
        <v>32768</v>
      </c>
      <c r="I541">
        <v>0</v>
      </c>
      <c r="J541" t="s">
        <v>1</v>
      </c>
      <c r="K541" t="s">
        <v>10</v>
      </c>
      <c r="L541" s="8">
        <f>UnilabUsage[[#This Row],[Used-MB]]-F531</f>
        <v>35</v>
      </c>
      <c r="M541">
        <f>UnilabUsage[[#This Row],[Max]]-UnilabUsage[[#This Row],[Used-MB]]</f>
        <v>32611</v>
      </c>
      <c r="N541" s="5">
        <f>IF($L541&gt;0,UnilabUsage[[#This Row],[Free-of-Max]]/UnilabUsage[[#This Row],[Usage-Delta-MB]],UnilabUsage[[#This Row],[Free-of-Max]])</f>
        <v>931.74285714285713</v>
      </c>
    </row>
    <row r="542" spans="1:14" x14ac:dyDescent="0.25">
      <c r="A542" s="3">
        <v>44630</v>
      </c>
      <c r="B542" t="s">
        <v>7</v>
      </c>
      <c r="C542">
        <v>95</v>
      </c>
      <c r="D542">
        <v>1570</v>
      </c>
      <c r="E542">
        <v>85</v>
      </c>
      <c r="F542">
        <v>1485</v>
      </c>
      <c r="G542">
        <v>5</v>
      </c>
      <c r="H542">
        <v>32768</v>
      </c>
      <c r="I542">
        <v>5</v>
      </c>
      <c r="J542" t="s">
        <v>1</v>
      </c>
      <c r="K542" t="s">
        <v>2</v>
      </c>
      <c r="L542" s="8">
        <f>UnilabUsage[[#This Row],[Used-MB]]-F532</f>
        <v>9</v>
      </c>
      <c r="M542">
        <f>UnilabUsage[[#This Row],[Max]]-UnilabUsage[[#This Row],[Used-MB]]</f>
        <v>31283</v>
      </c>
      <c r="N542" s="5">
        <f>IF($L542&gt;0,UnilabUsage[[#This Row],[Free-of-Max]]/UnilabUsage[[#This Row],[Usage-Delta-MB]],UnilabUsage[[#This Row],[Free-of-Max]])</f>
        <v>3475.8888888888887</v>
      </c>
    </row>
    <row r="543" spans="1:14" x14ac:dyDescent="0.25">
      <c r="A543" s="3">
        <v>44630</v>
      </c>
      <c r="B543" t="s">
        <v>0</v>
      </c>
      <c r="C543">
        <v>100</v>
      </c>
      <c r="D543">
        <v>18050</v>
      </c>
      <c r="E543">
        <v>61</v>
      </c>
      <c r="F543">
        <v>17989</v>
      </c>
      <c r="G543">
        <v>0</v>
      </c>
      <c r="H543">
        <v>32768</v>
      </c>
      <c r="I543">
        <v>55</v>
      </c>
      <c r="J543" t="s">
        <v>1</v>
      </c>
      <c r="K543" t="s">
        <v>2</v>
      </c>
      <c r="L543" s="8">
        <f>UnilabUsage[[#This Row],[Used-MB]]-F533</f>
        <v>128</v>
      </c>
      <c r="M543">
        <f>UnilabUsage[[#This Row],[Max]]-UnilabUsage[[#This Row],[Used-MB]]</f>
        <v>14779</v>
      </c>
      <c r="N543" s="5">
        <f>IF($L543&gt;0,UnilabUsage[[#This Row],[Free-of-Max]]/UnilabUsage[[#This Row],[Usage-Delta-MB]],UnilabUsage[[#This Row],[Free-of-Max]])</f>
        <v>115.4609375</v>
      </c>
    </row>
    <row r="544" spans="1:14" x14ac:dyDescent="0.25">
      <c r="A544" s="3">
        <v>44630</v>
      </c>
      <c r="B544" t="s">
        <v>11</v>
      </c>
      <c r="C544">
        <v>1</v>
      </c>
      <c r="D544">
        <v>100</v>
      </c>
      <c r="E544">
        <v>99</v>
      </c>
      <c r="F544">
        <v>1</v>
      </c>
      <c r="G544">
        <v>99</v>
      </c>
      <c r="H544">
        <v>32768</v>
      </c>
      <c r="I544">
        <v>0</v>
      </c>
      <c r="J544" t="s">
        <v>1</v>
      </c>
      <c r="K544" t="s">
        <v>2</v>
      </c>
      <c r="L544" s="8">
        <f>UnilabUsage[[#This Row],[Used-MB]]-F534</f>
        <v>0</v>
      </c>
      <c r="M544">
        <f>UnilabUsage[[#This Row],[Max]]-UnilabUsage[[#This Row],[Used-MB]]</f>
        <v>32767</v>
      </c>
      <c r="N544" s="5">
        <f>IF($L544&gt;0,UnilabUsage[[#This Row],[Free-of-Max]]/UnilabUsage[[#This Row],[Usage-Delta-MB]],UnilabUsage[[#This Row],[Free-of-Max]])</f>
        <v>32767</v>
      </c>
    </row>
    <row r="545" spans="1:14" x14ac:dyDescent="0.25">
      <c r="A545" s="3">
        <v>44630</v>
      </c>
      <c r="B545" t="s">
        <v>6</v>
      </c>
      <c r="C545">
        <v>90</v>
      </c>
      <c r="D545">
        <v>7215</v>
      </c>
      <c r="E545">
        <v>750</v>
      </c>
      <c r="F545">
        <v>6465</v>
      </c>
      <c r="G545">
        <v>10</v>
      </c>
      <c r="H545">
        <v>32768</v>
      </c>
      <c r="I545">
        <v>20</v>
      </c>
      <c r="J545" t="s">
        <v>1</v>
      </c>
      <c r="K545" t="s">
        <v>2</v>
      </c>
      <c r="L545" s="8">
        <f>UnilabUsage[[#This Row],[Used-MB]]-F535</f>
        <v>1</v>
      </c>
      <c r="M545">
        <f>UnilabUsage[[#This Row],[Max]]-UnilabUsage[[#This Row],[Used-MB]]</f>
        <v>26303</v>
      </c>
      <c r="N545" s="5">
        <f>IF($L545&gt;0,UnilabUsage[[#This Row],[Free-of-Max]]/UnilabUsage[[#This Row],[Usage-Delta-MB]],UnilabUsage[[#This Row],[Free-of-Max]])</f>
        <v>26303</v>
      </c>
    </row>
    <row r="546" spans="1:14" x14ac:dyDescent="0.25">
      <c r="A546" s="3">
        <v>44630</v>
      </c>
      <c r="B546" t="s">
        <v>3</v>
      </c>
      <c r="C546">
        <v>97</v>
      </c>
      <c r="D546">
        <v>413248</v>
      </c>
      <c r="E546">
        <v>12458</v>
      </c>
      <c r="F546">
        <v>400790</v>
      </c>
      <c r="G546">
        <v>3</v>
      </c>
      <c r="H546">
        <v>425984</v>
      </c>
      <c r="I546">
        <v>94</v>
      </c>
      <c r="J546" t="s">
        <v>1</v>
      </c>
      <c r="K546" t="s">
        <v>2</v>
      </c>
      <c r="L546" s="8">
        <f>UnilabUsage[[#This Row],[Used-MB]]-F536</f>
        <v>674</v>
      </c>
      <c r="M546">
        <f>UnilabUsage[[#This Row],[Max]]-UnilabUsage[[#This Row],[Used-MB]]</f>
        <v>25194</v>
      </c>
      <c r="N546" s="5">
        <f>IF($L546&gt;0,UnilabUsage[[#This Row],[Free-of-Max]]/UnilabUsage[[#This Row],[Usage-Delta-MB]],UnilabUsage[[#This Row],[Free-of-Max]])</f>
        <v>37.379821958456972</v>
      </c>
    </row>
    <row r="547" spans="1:14" x14ac:dyDescent="0.25">
      <c r="A547" s="3">
        <v>44630</v>
      </c>
      <c r="B547" t="s">
        <v>5</v>
      </c>
      <c r="C547">
        <v>95</v>
      </c>
      <c r="D547">
        <v>18750</v>
      </c>
      <c r="E547">
        <v>906</v>
      </c>
      <c r="F547">
        <v>17844</v>
      </c>
      <c r="G547">
        <v>5</v>
      </c>
      <c r="H547">
        <v>32768</v>
      </c>
      <c r="I547">
        <v>54</v>
      </c>
      <c r="J547" t="s">
        <v>1</v>
      </c>
      <c r="K547" t="s">
        <v>2</v>
      </c>
      <c r="L547" s="8">
        <f>UnilabUsage[[#This Row],[Used-MB]]-F537</f>
        <v>82</v>
      </c>
      <c r="M547">
        <f>UnilabUsage[[#This Row],[Max]]-UnilabUsage[[#This Row],[Used-MB]]</f>
        <v>14924</v>
      </c>
      <c r="N547" s="5">
        <f>IF($L547&gt;0,UnilabUsage[[#This Row],[Free-of-Max]]/UnilabUsage[[#This Row],[Usage-Delta-MB]],UnilabUsage[[#This Row],[Free-of-Max]])</f>
        <v>182</v>
      </c>
    </row>
    <row r="548" spans="1:14" x14ac:dyDescent="0.25">
      <c r="A548" s="3">
        <v>44630</v>
      </c>
      <c r="B548" t="s">
        <v>8</v>
      </c>
      <c r="C548">
        <v>87</v>
      </c>
      <c r="D548">
        <v>294912</v>
      </c>
      <c r="E548">
        <v>39078</v>
      </c>
      <c r="F548">
        <v>255834</v>
      </c>
      <c r="G548">
        <v>13</v>
      </c>
      <c r="H548">
        <v>294912</v>
      </c>
      <c r="I548">
        <v>87</v>
      </c>
      <c r="J548" t="s">
        <v>1</v>
      </c>
      <c r="K548" t="s">
        <v>2</v>
      </c>
      <c r="L548" s="8">
        <f>UnilabUsage[[#This Row],[Used-MB]]-F538</f>
        <v>702</v>
      </c>
      <c r="M548">
        <f>UnilabUsage[[#This Row],[Max]]-UnilabUsage[[#This Row],[Used-MB]]</f>
        <v>39078</v>
      </c>
      <c r="N548" s="5">
        <f>IF($L548&gt;0,UnilabUsage[[#This Row],[Free-of-Max]]/UnilabUsage[[#This Row],[Usage-Delta-MB]],UnilabUsage[[#This Row],[Free-of-Max]])</f>
        <v>55.666666666666664</v>
      </c>
    </row>
    <row r="549" spans="1:14" x14ac:dyDescent="0.25">
      <c r="A549" s="3">
        <v>44630</v>
      </c>
      <c r="B549" t="s">
        <v>4</v>
      </c>
      <c r="C549">
        <v>95</v>
      </c>
      <c r="D549">
        <v>83925</v>
      </c>
      <c r="E549">
        <v>3825</v>
      </c>
      <c r="F549">
        <v>80100</v>
      </c>
      <c r="G549">
        <v>5</v>
      </c>
      <c r="H549">
        <v>98304</v>
      </c>
      <c r="I549">
        <v>81</v>
      </c>
      <c r="J549" t="s">
        <v>1</v>
      </c>
      <c r="K549" t="s">
        <v>2</v>
      </c>
      <c r="L549" s="8">
        <f>UnilabUsage[[#This Row],[Used-MB]]-F539</f>
        <v>64</v>
      </c>
      <c r="M549">
        <f>UnilabUsage[[#This Row],[Max]]-UnilabUsage[[#This Row],[Used-MB]]</f>
        <v>18204</v>
      </c>
      <c r="N549" s="5">
        <f>IF($L549&gt;0,UnilabUsage[[#This Row],[Free-of-Max]]/UnilabUsage[[#This Row],[Usage-Delta-MB]],UnilabUsage[[#This Row],[Free-of-Max]])</f>
        <v>284.4375</v>
      </c>
    </row>
    <row r="550" spans="1:14" x14ac:dyDescent="0.25">
      <c r="A550" s="3">
        <v>44630</v>
      </c>
      <c r="B550" t="s">
        <v>12</v>
      </c>
      <c r="C550">
        <v>0</v>
      </c>
      <c r="D550">
        <v>30720</v>
      </c>
      <c r="E550">
        <v>30655</v>
      </c>
      <c r="F550">
        <v>65</v>
      </c>
      <c r="G550">
        <v>100</v>
      </c>
      <c r="H550">
        <v>30720</v>
      </c>
      <c r="I550">
        <v>0</v>
      </c>
      <c r="J550" t="s">
        <v>1</v>
      </c>
      <c r="K550" t="s">
        <v>13</v>
      </c>
      <c r="L550" s="8">
        <f>UnilabUsage[[#This Row],[Used-MB]]-F540</f>
        <v>-28</v>
      </c>
      <c r="M550">
        <f>UnilabUsage[[#This Row],[Max]]-UnilabUsage[[#This Row],[Used-MB]]</f>
        <v>30655</v>
      </c>
      <c r="N550" s="5">
        <f>IF($L550&gt;0,UnilabUsage[[#This Row],[Free-of-Max]]/UnilabUsage[[#This Row],[Usage-Delta-MB]],UnilabUsage[[#This Row],[Free-of-Max]])</f>
        <v>30655</v>
      </c>
    </row>
    <row r="551" spans="1:14" x14ac:dyDescent="0.25">
      <c r="A551" s="3">
        <v>44630</v>
      </c>
      <c r="B551" t="s">
        <v>9</v>
      </c>
      <c r="C551">
        <v>3</v>
      </c>
      <c r="D551">
        <v>10440</v>
      </c>
      <c r="E551">
        <v>10108</v>
      </c>
      <c r="F551">
        <v>332</v>
      </c>
      <c r="G551">
        <v>97</v>
      </c>
      <c r="H551">
        <v>32768</v>
      </c>
      <c r="I551">
        <v>1</v>
      </c>
      <c r="J551" t="s">
        <v>1</v>
      </c>
      <c r="K551" t="s">
        <v>10</v>
      </c>
      <c r="L551" s="8">
        <f>UnilabUsage[[#This Row],[Used-MB]]-F541</f>
        <v>175</v>
      </c>
      <c r="M551">
        <f>UnilabUsage[[#This Row],[Max]]-UnilabUsage[[#This Row],[Used-MB]]</f>
        <v>32436</v>
      </c>
      <c r="N551" s="5">
        <f>IF($L551&gt;0,UnilabUsage[[#This Row],[Free-of-Max]]/UnilabUsage[[#This Row],[Usage-Delta-MB]],UnilabUsage[[#This Row],[Free-of-Max]])</f>
        <v>185.34857142857143</v>
      </c>
    </row>
    <row r="552" spans="1:14" x14ac:dyDescent="0.25">
      <c r="A552" s="3">
        <v>44634</v>
      </c>
      <c r="B552" t="s">
        <v>7</v>
      </c>
      <c r="C552">
        <v>95</v>
      </c>
      <c r="D552">
        <v>1570</v>
      </c>
      <c r="E552">
        <v>85</v>
      </c>
      <c r="F552">
        <v>1485</v>
      </c>
      <c r="G552">
        <v>5</v>
      </c>
      <c r="H552">
        <v>32768</v>
      </c>
      <c r="I552">
        <v>5</v>
      </c>
      <c r="J552" t="s">
        <v>1</v>
      </c>
      <c r="K552" t="s">
        <v>2</v>
      </c>
      <c r="L552" s="8">
        <f>UnilabUsage[[#This Row],[Used-MB]]-F542</f>
        <v>0</v>
      </c>
      <c r="M552">
        <f>UnilabUsage[[#This Row],[Max]]-UnilabUsage[[#This Row],[Used-MB]]</f>
        <v>31283</v>
      </c>
      <c r="N552" s="5">
        <f>IF($L552&gt;0,UnilabUsage[[#This Row],[Free-of-Max]]/UnilabUsage[[#This Row],[Usage-Delta-MB]],UnilabUsage[[#This Row],[Free-of-Max]])</f>
        <v>31283</v>
      </c>
    </row>
    <row r="553" spans="1:14" x14ac:dyDescent="0.25">
      <c r="A553" s="3">
        <v>44634</v>
      </c>
      <c r="B553" t="s">
        <v>0</v>
      </c>
      <c r="C553">
        <v>100</v>
      </c>
      <c r="D553">
        <v>18050</v>
      </c>
      <c r="E553">
        <v>61</v>
      </c>
      <c r="F553">
        <v>17989</v>
      </c>
      <c r="G553">
        <v>0</v>
      </c>
      <c r="H553">
        <v>32768</v>
      </c>
      <c r="I553">
        <v>55</v>
      </c>
      <c r="J553" t="s">
        <v>1</v>
      </c>
      <c r="K553" t="s">
        <v>2</v>
      </c>
      <c r="L553" s="8">
        <f>UnilabUsage[[#This Row],[Used-MB]]-F543</f>
        <v>0</v>
      </c>
      <c r="M553">
        <f>UnilabUsage[[#This Row],[Max]]-UnilabUsage[[#This Row],[Used-MB]]</f>
        <v>14779</v>
      </c>
      <c r="N553" s="5">
        <f>IF($L553&gt;0,UnilabUsage[[#This Row],[Free-of-Max]]/UnilabUsage[[#This Row],[Usage-Delta-MB]],UnilabUsage[[#This Row],[Free-of-Max]])</f>
        <v>14779</v>
      </c>
    </row>
    <row r="554" spans="1:14" x14ac:dyDescent="0.25">
      <c r="A554" s="3">
        <v>44634</v>
      </c>
      <c r="B554" t="s">
        <v>11</v>
      </c>
      <c r="C554">
        <v>1</v>
      </c>
      <c r="D554">
        <v>100</v>
      </c>
      <c r="E554">
        <v>99</v>
      </c>
      <c r="F554">
        <v>1</v>
      </c>
      <c r="G554">
        <v>99</v>
      </c>
      <c r="H554">
        <v>32768</v>
      </c>
      <c r="I554">
        <v>0</v>
      </c>
      <c r="J554" t="s">
        <v>1</v>
      </c>
      <c r="K554" t="s">
        <v>2</v>
      </c>
      <c r="L554" s="8">
        <f>UnilabUsage[[#This Row],[Used-MB]]-F544</f>
        <v>0</v>
      </c>
      <c r="M554">
        <f>UnilabUsage[[#This Row],[Max]]-UnilabUsage[[#This Row],[Used-MB]]</f>
        <v>32767</v>
      </c>
      <c r="N554" s="5">
        <f>IF($L554&gt;0,UnilabUsage[[#This Row],[Free-of-Max]]/UnilabUsage[[#This Row],[Usage-Delta-MB]],UnilabUsage[[#This Row],[Free-of-Max]])</f>
        <v>32767</v>
      </c>
    </row>
    <row r="555" spans="1:14" x14ac:dyDescent="0.25">
      <c r="A555" s="3">
        <v>44634</v>
      </c>
      <c r="B555" t="s">
        <v>6</v>
      </c>
      <c r="C555">
        <v>90</v>
      </c>
      <c r="D555">
        <v>7215</v>
      </c>
      <c r="E555">
        <v>750</v>
      </c>
      <c r="F555">
        <v>6465</v>
      </c>
      <c r="G555">
        <v>10</v>
      </c>
      <c r="H555">
        <v>32768</v>
      </c>
      <c r="I555">
        <v>20</v>
      </c>
      <c r="J555" t="s">
        <v>1</v>
      </c>
      <c r="K555" t="s">
        <v>2</v>
      </c>
      <c r="L555" s="8">
        <f>UnilabUsage[[#This Row],[Used-MB]]-F545</f>
        <v>0</v>
      </c>
      <c r="M555">
        <f>UnilabUsage[[#This Row],[Max]]-UnilabUsage[[#This Row],[Used-MB]]</f>
        <v>26303</v>
      </c>
      <c r="N555" s="5">
        <f>IF($L555&gt;0,UnilabUsage[[#This Row],[Free-of-Max]]/UnilabUsage[[#This Row],[Usage-Delta-MB]],UnilabUsage[[#This Row],[Free-of-Max]])</f>
        <v>26303</v>
      </c>
    </row>
    <row r="556" spans="1:14" x14ac:dyDescent="0.25">
      <c r="A556" s="3">
        <v>44634</v>
      </c>
      <c r="B556" t="s">
        <v>3</v>
      </c>
      <c r="C556">
        <v>97</v>
      </c>
      <c r="D556">
        <v>413248</v>
      </c>
      <c r="E556">
        <v>12130</v>
      </c>
      <c r="F556">
        <v>401118</v>
      </c>
      <c r="G556">
        <v>3</v>
      </c>
      <c r="H556">
        <v>425984</v>
      </c>
      <c r="I556">
        <v>94</v>
      </c>
      <c r="J556" t="s">
        <v>1</v>
      </c>
      <c r="K556" t="s">
        <v>2</v>
      </c>
      <c r="L556" s="8">
        <f>UnilabUsage[[#This Row],[Used-MB]]-F546</f>
        <v>328</v>
      </c>
      <c r="M556">
        <f>UnilabUsage[[#This Row],[Max]]-UnilabUsage[[#This Row],[Used-MB]]</f>
        <v>24866</v>
      </c>
      <c r="N556" s="5">
        <f>IF($L556&gt;0,UnilabUsage[[#This Row],[Free-of-Max]]/UnilabUsage[[#This Row],[Usage-Delta-MB]],UnilabUsage[[#This Row],[Free-of-Max]])</f>
        <v>75.810975609756099</v>
      </c>
    </row>
    <row r="557" spans="1:14" x14ac:dyDescent="0.25">
      <c r="A557" s="3">
        <v>44634</v>
      </c>
      <c r="B557" t="s">
        <v>5</v>
      </c>
      <c r="C557">
        <v>95</v>
      </c>
      <c r="D557">
        <v>18900</v>
      </c>
      <c r="E557">
        <v>928</v>
      </c>
      <c r="F557">
        <v>17972</v>
      </c>
      <c r="G557">
        <v>5</v>
      </c>
      <c r="H557">
        <v>32768</v>
      </c>
      <c r="I557">
        <v>55</v>
      </c>
      <c r="J557" t="s">
        <v>1</v>
      </c>
      <c r="K557" t="s">
        <v>2</v>
      </c>
      <c r="L557" s="8">
        <f>UnilabUsage[[#This Row],[Used-MB]]-F547</f>
        <v>128</v>
      </c>
      <c r="M557">
        <f>UnilabUsage[[#This Row],[Max]]-UnilabUsage[[#This Row],[Used-MB]]</f>
        <v>14796</v>
      </c>
      <c r="N557" s="5">
        <f>IF($L557&gt;0,UnilabUsage[[#This Row],[Free-of-Max]]/UnilabUsage[[#This Row],[Usage-Delta-MB]],UnilabUsage[[#This Row],[Free-of-Max]])</f>
        <v>115.59375</v>
      </c>
    </row>
    <row r="558" spans="1:14" x14ac:dyDescent="0.25">
      <c r="A558" s="3">
        <v>44634</v>
      </c>
      <c r="B558" t="s">
        <v>8</v>
      </c>
      <c r="C558">
        <v>87</v>
      </c>
      <c r="D558">
        <v>294912</v>
      </c>
      <c r="E558">
        <v>38925</v>
      </c>
      <c r="F558">
        <v>255987</v>
      </c>
      <c r="G558">
        <v>13</v>
      </c>
      <c r="H558">
        <v>294912</v>
      </c>
      <c r="I558">
        <v>87</v>
      </c>
      <c r="J558" t="s">
        <v>1</v>
      </c>
      <c r="K558" t="s">
        <v>2</v>
      </c>
      <c r="L558" s="8">
        <f>UnilabUsage[[#This Row],[Used-MB]]-F548</f>
        <v>153</v>
      </c>
      <c r="M558">
        <f>UnilabUsage[[#This Row],[Max]]-UnilabUsage[[#This Row],[Used-MB]]</f>
        <v>38925</v>
      </c>
      <c r="N558" s="5">
        <f>IF($L558&gt;0,UnilabUsage[[#This Row],[Free-of-Max]]/UnilabUsage[[#This Row],[Usage-Delta-MB]],UnilabUsage[[#This Row],[Free-of-Max]])</f>
        <v>254.41176470588235</v>
      </c>
    </row>
    <row r="559" spans="1:14" x14ac:dyDescent="0.25">
      <c r="A559" s="3">
        <v>44634</v>
      </c>
      <c r="B559" t="s">
        <v>4</v>
      </c>
      <c r="C559">
        <v>96</v>
      </c>
      <c r="D559">
        <v>83925</v>
      </c>
      <c r="E559">
        <v>3760</v>
      </c>
      <c r="F559">
        <v>80165</v>
      </c>
      <c r="G559">
        <v>4</v>
      </c>
      <c r="H559">
        <v>98304</v>
      </c>
      <c r="I559">
        <v>82</v>
      </c>
      <c r="J559" t="s">
        <v>1</v>
      </c>
      <c r="K559" t="s">
        <v>2</v>
      </c>
      <c r="L559" s="8">
        <f>UnilabUsage[[#This Row],[Used-MB]]-F549</f>
        <v>65</v>
      </c>
      <c r="M559">
        <f>UnilabUsage[[#This Row],[Max]]-UnilabUsage[[#This Row],[Used-MB]]</f>
        <v>18139</v>
      </c>
      <c r="N559" s="5">
        <f>IF($L559&gt;0,UnilabUsage[[#This Row],[Free-of-Max]]/UnilabUsage[[#This Row],[Usage-Delta-MB]],UnilabUsage[[#This Row],[Free-of-Max]])</f>
        <v>279.06153846153848</v>
      </c>
    </row>
    <row r="560" spans="1:14" x14ac:dyDescent="0.25">
      <c r="A560" s="3">
        <v>44634</v>
      </c>
      <c r="B560" t="s">
        <v>12</v>
      </c>
      <c r="C560">
        <v>0</v>
      </c>
      <c r="D560">
        <v>30720</v>
      </c>
      <c r="E560">
        <v>30630</v>
      </c>
      <c r="F560">
        <v>90</v>
      </c>
      <c r="G560">
        <v>100</v>
      </c>
      <c r="H560">
        <v>30720</v>
      </c>
      <c r="I560">
        <v>0</v>
      </c>
      <c r="J560" t="s">
        <v>1</v>
      </c>
      <c r="K560" t="s">
        <v>13</v>
      </c>
      <c r="L560" s="8">
        <f>UnilabUsage[[#This Row],[Used-MB]]-F550</f>
        <v>25</v>
      </c>
      <c r="M560">
        <f>UnilabUsage[[#This Row],[Max]]-UnilabUsage[[#This Row],[Used-MB]]</f>
        <v>30630</v>
      </c>
      <c r="N560" s="5">
        <f>IF($L560&gt;0,UnilabUsage[[#This Row],[Free-of-Max]]/UnilabUsage[[#This Row],[Usage-Delta-MB]],UnilabUsage[[#This Row],[Free-of-Max]])</f>
        <v>1225.2</v>
      </c>
    </row>
    <row r="561" spans="1:14" x14ac:dyDescent="0.25">
      <c r="A561" s="3">
        <v>44634</v>
      </c>
      <c r="B561" t="s">
        <v>9</v>
      </c>
      <c r="C561">
        <v>1</v>
      </c>
      <c r="D561">
        <v>10440</v>
      </c>
      <c r="E561">
        <v>10292</v>
      </c>
      <c r="F561">
        <v>148</v>
      </c>
      <c r="G561">
        <v>99</v>
      </c>
      <c r="H561">
        <v>32768</v>
      </c>
      <c r="I561">
        <v>0</v>
      </c>
      <c r="J561" t="s">
        <v>1</v>
      </c>
      <c r="K561" t="s">
        <v>10</v>
      </c>
      <c r="L561" s="8">
        <f>UnilabUsage[[#This Row],[Used-MB]]-F551</f>
        <v>-184</v>
      </c>
      <c r="M561">
        <f>UnilabUsage[[#This Row],[Max]]-UnilabUsage[[#This Row],[Used-MB]]</f>
        <v>32620</v>
      </c>
      <c r="N561" s="5">
        <f>IF($L561&gt;0,UnilabUsage[[#This Row],[Free-of-Max]]/UnilabUsage[[#This Row],[Usage-Delta-MB]],UnilabUsage[[#This Row],[Free-of-Max]])</f>
        <v>32620</v>
      </c>
    </row>
    <row r="562" spans="1:14" x14ac:dyDescent="0.25">
      <c r="A562" s="3">
        <v>44641</v>
      </c>
      <c r="B562" t="s">
        <v>7</v>
      </c>
      <c r="C562">
        <v>96</v>
      </c>
      <c r="D562">
        <v>1570</v>
      </c>
      <c r="E562">
        <v>69</v>
      </c>
      <c r="F562">
        <v>1501</v>
      </c>
      <c r="G562">
        <v>4</v>
      </c>
      <c r="H562">
        <v>32768</v>
      </c>
      <c r="I562">
        <v>5</v>
      </c>
      <c r="J562" t="s">
        <v>1</v>
      </c>
      <c r="K562" t="s">
        <v>2</v>
      </c>
      <c r="L562" s="8">
        <f>UnilabUsage[[#This Row],[Used-MB]]-F552</f>
        <v>16</v>
      </c>
      <c r="M562">
        <f>UnilabUsage[[#This Row],[Max]]-UnilabUsage[[#This Row],[Used-MB]]</f>
        <v>31267</v>
      </c>
      <c r="N562" s="5">
        <f>IF($L562&gt;0,UnilabUsage[[#This Row],[Free-of-Max]]/UnilabUsage[[#This Row],[Usage-Delta-MB]],UnilabUsage[[#This Row],[Free-of-Max]])</f>
        <v>1954.1875</v>
      </c>
    </row>
    <row r="563" spans="1:14" x14ac:dyDescent="0.25">
      <c r="A563" s="3">
        <v>44641</v>
      </c>
      <c r="B563" t="s">
        <v>0</v>
      </c>
      <c r="C563">
        <v>99</v>
      </c>
      <c r="D563">
        <v>18150</v>
      </c>
      <c r="E563">
        <v>95</v>
      </c>
      <c r="F563">
        <v>18055</v>
      </c>
      <c r="G563">
        <v>1</v>
      </c>
      <c r="H563">
        <v>32768</v>
      </c>
      <c r="I563">
        <v>55</v>
      </c>
      <c r="J563" t="s">
        <v>1</v>
      </c>
      <c r="K563" t="s">
        <v>2</v>
      </c>
      <c r="L563" s="8">
        <f>UnilabUsage[[#This Row],[Used-MB]]-F553</f>
        <v>66</v>
      </c>
      <c r="M563">
        <f>UnilabUsage[[#This Row],[Max]]-UnilabUsage[[#This Row],[Used-MB]]</f>
        <v>14713</v>
      </c>
      <c r="N563" s="5">
        <f>IF($L563&gt;0,UnilabUsage[[#This Row],[Free-of-Max]]/UnilabUsage[[#This Row],[Usage-Delta-MB]],UnilabUsage[[#This Row],[Free-of-Max]])</f>
        <v>222.92424242424244</v>
      </c>
    </row>
    <row r="564" spans="1:14" x14ac:dyDescent="0.25">
      <c r="A564" s="3">
        <v>44641</v>
      </c>
      <c r="B564" t="s">
        <v>11</v>
      </c>
      <c r="C564">
        <v>1</v>
      </c>
      <c r="D564">
        <v>100</v>
      </c>
      <c r="E564">
        <v>99</v>
      </c>
      <c r="F564">
        <v>1</v>
      </c>
      <c r="G564">
        <v>99</v>
      </c>
      <c r="H564">
        <v>32768</v>
      </c>
      <c r="I564">
        <v>0</v>
      </c>
      <c r="J564" t="s">
        <v>1</v>
      </c>
      <c r="K564" t="s">
        <v>2</v>
      </c>
      <c r="L564" s="8">
        <f>UnilabUsage[[#This Row],[Used-MB]]-F554</f>
        <v>0</v>
      </c>
      <c r="M564">
        <f>UnilabUsage[[#This Row],[Max]]-UnilabUsage[[#This Row],[Used-MB]]</f>
        <v>32767</v>
      </c>
      <c r="N564" s="5">
        <f>IF($L564&gt;0,UnilabUsage[[#This Row],[Free-of-Max]]/UnilabUsage[[#This Row],[Usage-Delta-MB]],UnilabUsage[[#This Row],[Free-of-Max]])</f>
        <v>32767</v>
      </c>
    </row>
    <row r="565" spans="1:14" x14ac:dyDescent="0.25">
      <c r="A565" s="3">
        <v>44641</v>
      </c>
      <c r="B565" t="s">
        <v>6</v>
      </c>
      <c r="C565">
        <v>90</v>
      </c>
      <c r="D565">
        <v>7215</v>
      </c>
      <c r="E565">
        <v>733</v>
      </c>
      <c r="F565">
        <v>6482</v>
      </c>
      <c r="G565">
        <v>10</v>
      </c>
      <c r="H565">
        <v>32768</v>
      </c>
      <c r="I565">
        <v>20</v>
      </c>
      <c r="J565" t="s">
        <v>1</v>
      </c>
      <c r="K565" t="s">
        <v>2</v>
      </c>
      <c r="L565" s="8">
        <f>UnilabUsage[[#This Row],[Used-MB]]-F555</f>
        <v>17</v>
      </c>
      <c r="M565">
        <f>UnilabUsage[[#This Row],[Max]]-UnilabUsage[[#This Row],[Used-MB]]</f>
        <v>26286</v>
      </c>
      <c r="N565" s="5">
        <f>IF($L565&gt;0,UnilabUsage[[#This Row],[Free-of-Max]]/UnilabUsage[[#This Row],[Usage-Delta-MB]],UnilabUsage[[#This Row],[Free-of-Max]])</f>
        <v>1546.2352941176471</v>
      </c>
    </row>
    <row r="566" spans="1:14" x14ac:dyDescent="0.25">
      <c r="A566" s="3">
        <v>44641</v>
      </c>
      <c r="B566" t="s">
        <v>3</v>
      </c>
      <c r="C566">
        <v>97</v>
      </c>
      <c r="D566">
        <v>413248</v>
      </c>
      <c r="E566">
        <v>11838</v>
      </c>
      <c r="F566">
        <v>401410</v>
      </c>
      <c r="G566">
        <v>3</v>
      </c>
      <c r="H566">
        <v>425984</v>
      </c>
      <c r="I566">
        <v>94</v>
      </c>
      <c r="J566" t="s">
        <v>1</v>
      </c>
      <c r="K566" t="s">
        <v>2</v>
      </c>
      <c r="L566" s="8">
        <f>UnilabUsage[[#This Row],[Used-MB]]-F556</f>
        <v>292</v>
      </c>
      <c r="M566">
        <f>UnilabUsage[[#This Row],[Max]]-UnilabUsage[[#This Row],[Used-MB]]</f>
        <v>24574</v>
      </c>
      <c r="N566" s="5">
        <f>IF($L566&gt;0,UnilabUsage[[#This Row],[Free-of-Max]]/UnilabUsage[[#This Row],[Usage-Delta-MB]],UnilabUsage[[#This Row],[Free-of-Max]])</f>
        <v>84.157534246575338</v>
      </c>
    </row>
    <row r="567" spans="1:14" x14ac:dyDescent="0.25">
      <c r="A567" s="3">
        <v>44641</v>
      </c>
      <c r="B567" t="s">
        <v>5</v>
      </c>
      <c r="C567">
        <v>95</v>
      </c>
      <c r="D567">
        <v>18900</v>
      </c>
      <c r="E567">
        <v>928</v>
      </c>
      <c r="F567">
        <v>17972</v>
      </c>
      <c r="G567">
        <v>5</v>
      </c>
      <c r="H567">
        <v>32768</v>
      </c>
      <c r="I567">
        <v>55</v>
      </c>
      <c r="J567" t="s">
        <v>1</v>
      </c>
      <c r="K567" t="s">
        <v>2</v>
      </c>
      <c r="L567" s="8">
        <f>UnilabUsage[[#This Row],[Used-MB]]-F557</f>
        <v>0</v>
      </c>
      <c r="M567">
        <f>UnilabUsage[[#This Row],[Max]]-UnilabUsage[[#This Row],[Used-MB]]</f>
        <v>14796</v>
      </c>
      <c r="N567" s="5">
        <f>IF($L567&gt;0,UnilabUsage[[#This Row],[Free-of-Max]]/UnilabUsage[[#This Row],[Usage-Delta-MB]],UnilabUsage[[#This Row],[Free-of-Max]])</f>
        <v>14796</v>
      </c>
    </row>
    <row r="568" spans="1:14" x14ac:dyDescent="0.25">
      <c r="A568" s="3">
        <v>44641</v>
      </c>
      <c r="B568" t="s">
        <v>8</v>
      </c>
      <c r="C568">
        <v>87</v>
      </c>
      <c r="D568">
        <v>294912</v>
      </c>
      <c r="E568">
        <v>38396</v>
      </c>
      <c r="F568">
        <v>256516</v>
      </c>
      <c r="G568">
        <v>13</v>
      </c>
      <c r="H568">
        <v>294912</v>
      </c>
      <c r="I568">
        <v>87</v>
      </c>
      <c r="J568" t="s">
        <v>1</v>
      </c>
      <c r="K568" t="s">
        <v>2</v>
      </c>
      <c r="L568" s="8">
        <f>UnilabUsage[[#This Row],[Used-MB]]-F558</f>
        <v>529</v>
      </c>
      <c r="M568">
        <f>UnilabUsage[[#This Row],[Max]]-UnilabUsage[[#This Row],[Used-MB]]</f>
        <v>38396</v>
      </c>
      <c r="N568" s="5">
        <f>IF($L568&gt;0,UnilabUsage[[#This Row],[Free-of-Max]]/UnilabUsage[[#This Row],[Usage-Delta-MB]],UnilabUsage[[#This Row],[Free-of-Max]])</f>
        <v>72.582230623818532</v>
      </c>
    </row>
    <row r="569" spans="1:14" x14ac:dyDescent="0.25">
      <c r="A569" s="3">
        <v>44641</v>
      </c>
      <c r="B569" t="s">
        <v>4</v>
      </c>
      <c r="C569">
        <v>96</v>
      </c>
      <c r="D569">
        <v>83925</v>
      </c>
      <c r="E569">
        <v>3696</v>
      </c>
      <c r="F569">
        <v>80229</v>
      </c>
      <c r="G569">
        <v>4</v>
      </c>
      <c r="H569">
        <v>98304</v>
      </c>
      <c r="I569">
        <v>82</v>
      </c>
      <c r="J569" t="s">
        <v>1</v>
      </c>
      <c r="K569" t="s">
        <v>2</v>
      </c>
      <c r="L569" s="8">
        <f>UnilabUsage[[#This Row],[Used-MB]]-F559</f>
        <v>64</v>
      </c>
      <c r="M569">
        <f>UnilabUsage[[#This Row],[Max]]-UnilabUsage[[#This Row],[Used-MB]]</f>
        <v>18075</v>
      </c>
      <c r="N569" s="5">
        <f>IF($L569&gt;0,UnilabUsage[[#This Row],[Free-of-Max]]/UnilabUsage[[#This Row],[Usage-Delta-MB]],UnilabUsage[[#This Row],[Free-of-Max]])</f>
        <v>282.421875</v>
      </c>
    </row>
    <row r="570" spans="1:14" x14ac:dyDescent="0.25">
      <c r="A570" s="3">
        <v>44641</v>
      </c>
      <c r="B570" t="s">
        <v>12</v>
      </c>
      <c r="C570">
        <v>0</v>
      </c>
      <c r="D570">
        <v>30720</v>
      </c>
      <c r="E570">
        <v>30667</v>
      </c>
      <c r="F570">
        <v>53</v>
      </c>
      <c r="G570">
        <v>100</v>
      </c>
      <c r="H570">
        <v>30720</v>
      </c>
      <c r="I570">
        <v>0</v>
      </c>
      <c r="J570" t="s">
        <v>1</v>
      </c>
      <c r="K570" t="s">
        <v>13</v>
      </c>
      <c r="L570" s="8">
        <f>UnilabUsage[[#This Row],[Used-MB]]-F560</f>
        <v>-37</v>
      </c>
      <c r="M570">
        <f>UnilabUsage[[#This Row],[Max]]-UnilabUsage[[#This Row],[Used-MB]]</f>
        <v>30667</v>
      </c>
      <c r="N570" s="5">
        <f>IF($L570&gt;0,UnilabUsage[[#This Row],[Free-of-Max]]/UnilabUsage[[#This Row],[Usage-Delta-MB]],UnilabUsage[[#This Row],[Free-of-Max]])</f>
        <v>30667</v>
      </c>
    </row>
    <row r="571" spans="1:14" x14ac:dyDescent="0.25">
      <c r="A571" s="3">
        <v>44641</v>
      </c>
      <c r="B571" t="s">
        <v>9</v>
      </c>
      <c r="C571">
        <v>1</v>
      </c>
      <c r="D571">
        <v>10440</v>
      </c>
      <c r="E571">
        <v>10323</v>
      </c>
      <c r="F571">
        <v>117</v>
      </c>
      <c r="G571">
        <v>99</v>
      </c>
      <c r="H571">
        <v>32768</v>
      </c>
      <c r="I571">
        <v>0</v>
      </c>
      <c r="J571" t="s">
        <v>1</v>
      </c>
      <c r="K571" t="s">
        <v>10</v>
      </c>
      <c r="L571" s="8">
        <f>UnilabUsage[[#This Row],[Used-MB]]-F561</f>
        <v>-31</v>
      </c>
      <c r="M571">
        <f>UnilabUsage[[#This Row],[Max]]-UnilabUsage[[#This Row],[Used-MB]]</f>
        <v>32651</v>
      </c>
      <c r="N571" s="5">
        <f>IF($L571&gt;0,UnilabUsage[[#This Row],[Free-of-Max]]/UnilabUsage[[#This Row],[Usage-Delta-MB]],UnilabUsage[[#This Row],[Free-of-Max]])</f>
        <v>32651</v>
      </c>
    </row>
    <row r="572" spans="1:14" x14ac:dyDescent="0.25">
      <c r="A572" s="3">
        <v>44648</v>
      </c>
      <c r="B572" t="s">
        <v>7</v>
      </c>
      <c r="C572">
        <v>95</v>
      </c>
      <c r="D572">
        <v>1590</v>
      </c>
      <c r="E572">
        <v>81</v>
      </c>
      <c r="F572">
        <v>1509</v>
      </c>
      <c r="G572">
        <v>5</v>
      </c>
      <c r="H572">
        <v>32768</v>
      </c>
      <c r="I572">
        <v>5</v>
      </c>
      <c r="J572" t="s">
        <v>1</v>
      </c>
      <c r="K572" t="s">
        <v>2</v>
      </c>
      <c r="L572" s="8">
        <f>UnilabUsage[[#This Row],[Used-MB]]-F562</f>
        <v>8</v>
      </c>
      <c r="M572">
        <f>UnilabUsage[[#This Row],[Max]]-UnilabUsage[[#This Row],[Used-MB]]</f>
        <v>31259</v>
      </c>
      <c r="N572" s="5">
        <f>IF($L572&gt;0,UnilabUsage[[#This Row],[Free-of-Max]]/UnilabUsage[[#This Row],[Usage-Delta-MB]],UnilabUsage[[#This Row],[Free-of-Max]])</f>
        <v>3907.375</v>
      </c>
    </row>
    <row r="573" spans="1:14" x14ac:dyDescent="0.25">
      <c r="A573" s="3">
        <v>44648</v>
      </c>
      <c r="B573" t="s">
        <v>0</v>
      </c>
      <c r="C573">
        <v>100</v>
      </c>
      <c r="D573">
        <v>18150</v>
      </c>
      <c r="E573">
        <v>29</v>
      </c>
      <c r="F573">
        <v>18121</v>
      </c>
      <c r="G573">
        <v>0</v>
      </c>
      <c r="H573">
        <v>32768</v>
      </c>
      <c r="I573">
        <v>55</v>
      </c>
      <c r="J573" t="s">
        <v>1</v>
      </c>
      <c r="K573" t="s">
        <v>2</v>
      </c>
      <c r="L573" s="8">
        <f>UnilabUsage[[#This Row],[Used-MB]]-F563</f>
        <v>66</v>
      </c>
      <c r="M573">
        <f>UnilabUsage[[#This Row],[Max]]-UnilabUsage[[#This Row],[Used-MB]]</f>
        <v>14647</v>
      </c>
      <c r="N573" s="5">
        <f>IF($L573&gt;0,UnilabUsage[[#This Row],[Free-of-Max]]/UnilabUsage[[#This Row],[Usage-Delta-MB]],UnilabUsage[[#This Row],[Free-of-Max]])</f>
        <v>221.92424242424244</v>
      </c>
    </row>
    <row r="574" spans="1:14" x14ac:dyDescent="0.25">
      <c r="A574" s="3">
        <v>44648</v>
      </c>
      <c r="B574" t="s">
        <v>11</v>
      </c>
      <c r="C574">
        <v>1</v>
      </c>
      <c r="D574">
        <v>100</v>
      </c>
      <c r="E574">
        <v>99</v>
      </c>
      <c r="F574">
        <v>1</v>
      </c>
      <c r="G574">
        <v>99</v>
      </c>
      <c r="H574">
        <v>32768</v>
      </c>
      <c r="I574">
        <v>0</v>
      </c>
      <c r="J574" t="s">
        <v>1</v>
      </c>
      <c r="K574" t="s">
        <v>2</v>
      </c>
      <c r="L574" s="8">
        <f>UnilabUsage[[#This Row],[Used-MB]]-F564</f>
        <v>0</v>
      </c>
      <c r="M574">
        <f>UnilabUsage[[#This Row],[Max]]-UnilabUsage[[#This Row],[Used-MB]]</f>
        <v>32767</v>
      </c>
      <c r="N574" s="5">
        <f>IF($L574&gt;0,UnilabUsage[[#This Row],[Free-of-Max]]/UnilabUsage[[#This Row],[Usage-Delta-MB]],UnilabUsage[[#This Row],[Free-of-Max]])</f>
        <v>32767</v>
      </c>
    </row>
    <row r="575" spans="1:14" x14ac:dyDescent="0.25">
      <c r="A575" s="3">
        <v>44648</v>
      </c>
      <c r="B575" t="s">
        <v>6</v>
      </c>
      <c r="C575">
        <v>90</v>
      </c>
      <c r="D575">
        <v>7215</v>
      </c>
      <c r="E575">
        <v>733</v>
      </c>
      <c r="F575">
        <v>6482</v>
      </c>
      <c r="G575">
        <v>10</v>
      </c>
      <c r="H575">
        <v>32768</v>
      </c>
      <c r="I575">
        <v>20</v>
      </c>
      <c r="J575" t="s">
        <v>1</v>
      </c>
      <c r="K575" t="s">
        <v>2</v>
      </c>
      <c r="L575" s="8">
        <f>UnilabUsage[[#This Row],[Used-MB]]-F565</f>
        <v>0</v>
      </c>
      <c r="M575">
        <f>UnilabUsage[[#This Row],[Max]]-UnilabUsage[[#This Row],[Used-MB]]</f>
        <v>26286</v>
      </c>
      <c r="N575" s="5">
        <f>IF($L575&gt;0,UnilabUsage[[#This Row],[Free-of-Max]]/UnilabUsage[[#This Row],[Usage-Delta-MB]],UnilabUsage[[#This Row],[Free-of-Max]])</f>
        <v>26286</v>
      </c>
    </row>
    <row r="576" spans="1:14" x14ac:dyDescent="0.25">
      <c r="A576" s="3">
        <v>44648</v>
      </c>
      <c r="B576" t="s">
        <v>3</v>
      </c>
      <c r="C576">
        <v>97</v>
      </c>
      <c r="D576">
        <v>413248</v>
      </c>
      <c r="E576">
        <v>11302</v>
      </c>
      <c r="F576">
        <v>401946</v>
      </c>
      <c r="G576">
        <v>3</v>
      </c>
      <c r="H576">
        <v>425984</v>
      </c>
      <c r="I576">
        <v>94</v>
      </c>
      <c r="J576" t="s">
        <v>1</v>
      </c>
      <c r="K576" t="s">
        <v>2</v>
      </c>
      <c r="L576" s="8">
        <f>UnilabUsage[[#This Row],[Used-MB]]-F566</f>
        <v>536</v>
      </c>
      <c r="M576">
        <f>UnilabUsage[[#This Row],[Max]]-UnilabUsage[[#This Row],[Used-MB]]</f>
        <v>24038</v>
      </c>
      <c r="N576" s="5">
        <f>IF($L576&gt;0,UnilabUsage[[#This Row],[Free-of-Max]]/UnilabUsage[[#This Row],[Usage-Delta-MB]],UnilabUsage[[#This Row],[Free-of-Max]])</f>
        <v>44.847014925373138</v>
      </c>
    </row>
    <row r="577" spans="1:14" x14ac:dyDescent="0.25">
      <c r="A577" s="3">
        <v>44648</v>
      </c>
      <c r="B577" t="s">
        <v>5</v>
      </c>
      <c r="C577">
        <v>95</v>
      </c>
      <c r="D577">
        <v>18900</v>
      </c>
      <c r="E577">
        <v>910</v>
      </c>
      <c r="F577">
        <v>17990</v>
      </c>
      <c r="G577">
        <v>5</v>
      </c>
      <c r="H577">
        <v>32768</v>
      </c>
      <c r="I577">
        <v>55</v>
      </c>
      <c r="J577" t="s">
        <v>1</v>
      </c>
      <c r="K577" t="s">
        <v>2</v>
      </c>
      <c r="L577" s="8">
        <f>UnilabUsage[[#This Row],[Used-MB]]-F567</f>
        <v>18</v>
      </c>
      <c r="M577">
        <f>UnilabUsage[[#This Row],[Max]]-UnilabUsage[[#This Row],[Used-MB]]</f>
        <v>14778</v>
      </c>
      <c r="N577" s="5">
        <f>IF($L577&gt;0,UnilabUsage[[#This Row],[Free-of-Max]]/UnilabUsage[[#This Row],[Usage-Delta-MB]],UnilabUsage[[#This Row],[Free-of-Max]])</f>
        <v>821</v>
      </c>
    </row>
    <row r="578" spans="1:14" x14ac:dyDescent="0.25">
      <c r="A578" s="3">
        <v>44648</v>
      </c>
      <c r="B578" t="s">
        <v>8</v>
      </c>
      <c r="C578">
        <v>87</v>
      </c>
      <c r="D578">
        <v>294912</v>
      </c>
      <c r="E578">
        <v>38057</v>
      </c>
      <c r="F578">
        <v>256855</v>
      </c>
      <c r="G578">
        <v>13</v>
      </c>
      <c r="H578">
        <v>294912</v>
      </c>
      <c r="I578">
        <v>87</v>
      </c>
      <c r="J578" t="s">
        <v>1</v>
      </c>
      <c r="K578" t="s">
        <v>2</v>
      </c>
      <c r="L578" s="8">
        <f>UnilabUsage[[#This Row],[Used-MB]]-F568</f>
        <v>339</v>
      </c>
      <c r="M578">
        <f>UnilabUsage[[#This Row],[Max]]-UnilabUsage[[#This Row],[Used-MB]]</f>
        <v>38057</v>
      </c>
      <c r="N578" s="5">
        <f>IF($L578&gt;0,UnilabUsage[[#This Row],[Free-of-Max]]/UnilabUsage[[#This Row],[Usage-Delta-MB]],UnilabUsage[[#This Row],[Free-of-Max]])</f>
        <v>112.26253687315634</v>
      </c>
    </row>
    <row r="579" spans="1:14" x14ac:dyDescent="0.25">
      <c r="A579" s="3">
        <v>44648</v>
      </c>
      <c r="B579" t="s">
        <v>4</v>
      </c>
      <c r="C579">
        <v>96</v>
      </c>
      <c r="D579">
        <v>83925</v>
      </c>
      <c r="E579">
        <v>3632</v>
      </c>
      <c r="F579">
        <v>80293</v>
      </c>
      <c r="G579">
        <v>4</v>
      </c>
      <c r="H579">
        <v>98304</v>
      </c>
      <c r="I579">
        <v>82</v>
      </c>
      <c r="J579" t="s">
        <v>1</v>
      </c>
      <c r="K579" t="s">
        <v>2</v>
      </c>
      <c r="L579" s="8">
        <f>UnilabUsage[[#This Row],[Used-MB]]-F569</f>
        <v>64</v>
      </c>
      <c r="M579">
        <f>UnilabUsage[[#This Row],[Max]]-UnilabUsage[[#This Row],[Used-MB]]</f>
        <v>18011</v>
      </c>
      <c r="N579" s="5">
        <f>IF($L579&gt;0,UnilabUsage[[#This Row],[Free-of-Max]]/UnilabUsage[[#This Row],[Usage-Delta-MB]],UnilabUsage[[#This Row],[Free-of-Max]])</f>
        <v>281.421875</v>
      </c>
    </row>
    <row r="580" spans="1:14" x14ac:dyDescent="0.25">
      <c r="A580" s="3">
        <v>44648</v>
      </c>
      <c r="B580" t="s">
        <v>12</v>
      </c>
      <c r="C580">
        <v>0</v>
      </c>
      <c r="D580">
        <v>30720</v>
      </c>
      <c r="E580">
        <v>30643</v>
      </c>
      <c r="F580">
        <v>77</v>
      </c>
      <c r="G580">
        <v>100</v>
      </c>
      <c r="H580">
        <v>30720</v>
      </c>
      <c r="I580">
        <v>0</v>
      </c>
      <c r="J580" t="s">
        <v>1</v>
      </c>
      <c r="K580" t="s">
        <v>13</v>
      </c>
      <c r="L580" s="8">
        <f>UnilabUsage[[#This Row],[Used-MB]]-F570</f>
        <v>24</v>
      </c>
      <c r="M580">
        <f>UnilabUsage[[#This Row],[Max]]-UnilabUsage[[#This Row],[Used-MB]]</f>
        <v>30643</v>
      </c>
      <c r="N580" s="5">
        <f>IF($L580&gt;0,UnilabUsage[[#This Row],[Free-of-Max]]/UnilabUsage[[#This Row],[Usage-Delta-MB]],UnilabUsage[[#This Row],[Free-of-Max]])</f>
        <v>1276.7916666666667</v>
      </c>
    </row>
    <row r="581" spans="1:14" x14ac:dyDescent="0.25">
      <c r="A581" s="3">
        <v>44648</v>
      </c>
      <c r="B581" t="s">
        <v>9</v>
      </c>
      <c r="C581">
        <v>1</v>
      </c>
      <c r="D581">
        <v>10440</v>
      </c>
      <c r="E581">
        <v>10303</v>
      </c>
      <c r="F581">
        <v>137</v>
      </c>
      <c r="G581">
        <v>99</v>
      </c>
      <c r="H581">
        <v>32768</v>
      </c>
      <c r="I581">
        <v>0</v>
      </c>
      <c r="J581" t="s">
        <v>1</v>
      </c>
      <c r="K581" t="s">
        <v>10</v>
      </c>
      <c r="L581" s="8">
        <f>UnilabUsage[[#This Row],[Used-MB]]-F571</f>
        <v>20</v>
      </c>
      <c r="M581">
        <f>UnilabUsage[[#This Row],[Max]]-UnilabUsage[[#This Row],[Used-MB]]</f>
        <v>32631</v>
      </c>
      <c r="N581" s="5">
        <f>IF($L581&gt;0,UnilabUsage[[#This Row],[Free-of-Max]]/UnilabUsage[[#This Row],[Usage-Delta-MB]],UnilabUsage[[#This Row],[Free-of-Max]])</f>
        <v>1631.55</v>
      </c>
    </row>
    <row r="582" spans="1:14" x14ac:dyDescent="0.25">
      <c r="A582" s="3">
        <v>44656</v>
      </c>
      <c r="B582" t="s">
        <v>7</v>
      </c>
      <c r="C582">
        <v>95</v>
      </c>
      <c r="D582">
        <v>1590</v>
      </c>
      <c r="E582">
        <v>82</v>
      </c>
      <c r="F582">
        <v>1508</v>
      </c>
      <c r="G582">
        <v>5</v>
      </c>
      <c r="H582">
        <v>32768</v>
      </c>
      <c r="I582">
        <v>5</v>
      </c>
      <c r="J582" t="s">
        <v>1</v>
      </c>
      <c r="K582" t="s">
        <v>2</v>
      </c>
      <c r="L582" s="8">
        <f>UnilabUsage[[#This Row],[Used-MB]]-F572</f>
        <v>-1</v>
      </c>
      <c r="M582">
        <f>UnilabUsage[[#This Row],[Max]]-UnilabUsage[[#This Row],[Used-MB]]</f>
        <v>31260</v>
      </c>
      <c r="N582" s="5">
        <f>IF($L582&gt;0,UnilabUsage[[#This Row],[Free-of-Max]]/UnilabUsage[[#This Row],[Usage-Delta-MB]],UnilabUsage[[#This Row],[Free-of-Max]])</f>
        <v>31260</v>
      </c>
    </row>
    <row r="583" spans="1:14" x14ac:dyDescent="0.25">
      <c r="A583" s="3">
        <v>44656</v>
      </c>
      <c r="B583" t="s">
        <v>0</v>
      </c>
      <c r="C583">
        <v>100</v>
      </c>
      <c r="D583">
        <v>18250</v>
      </c>
      <c r="E583">
        <v>64</v>
      </c>
      <c r="F583">
        <v>18186</v>
      </c>
      <c r="G583">
        <v>0</v>
      </c>
      <c r="H583">
        <v>32768</v>
      </c>
      <c r="I583">
        <v>55</v>
      </c>
      <c r="J583" t="s">
        <v>1</v>
      </c>
      <c r="K583" t="s">
        <v>2</v>
      </c>
      <c r="L583" s="8">
        <f>UnilabUsage[[#This Row],[Used-MB]]-F573</f>
        <v>65</v>
      </c>
      <c r="M583">
        <f>UnilabUsage[[#This Row],[Max]]-UnilabUsage[[#This Row],[Used-MB]]</f>
        <v>14582</v>
      </c>
      <c r="N583" s="5">
        <f>IF($L583&gt;0,UnilabUsage[[#This Row],[Free-of-Max]]/UnilabUsage[[#This Row],[Usage-Delta-MB]],UnilabUsage[[#This Row],[Free-of-Max]])</f>
        <v>224.33846153846153</v>
      </c>
    </row>
    <row r="584" spans="1:14" x14ac:dyDescent="0.25">
      <c r="A584" s="3">
        <v>44656</v>
      </c>
      <c r="B584" t="s">
        <v>11</v>
      </c>
      <c r="C584">
        <v>1</v>
      </c>
      <c r="D584">
        <v>100</v>
      </c>
      <c r="E584">
        <v>99</v>
      </c>
      <c r="F584">
        <v>1</v>
      </c>
      <c r="G584">
        <v>99</v>
      </c>
      <c r="H584">
        <v>32768</v>
      </c>
      <c r="I584">
        <v>0</v>
      </c>
      <c r="J584" t="s">
        <v>1</v>
      </c>
      <c r="K584" t="s">
        <v>2</v>
      </c>
      <c r="L584" s="8">
        <f>UnilabUsage[[#This Row],[Used-MB]]-F574</f>
        <v>0</v>
      </c>
      <c r="M584">
        <f>UnilabUsage[[#This Row],[Max]]-UnilabUsage[[#This Row],[Used-MB]]</f>
        <v>32767</v>
      </c>
      <c r="N584" s="5">
        <f>IF($L584&gt;0,UnilabUsage[[#This Row],[Free-of-Max]]/UnilabUsage[[#This Row],[Usage-Delta-MB]],UnilabUsage[[#This Row],[Free-of-Max]])</f>
        <v>32767</v>
      </c>
    </row>
    <row r="585" spans="1:14" x14ac:dyDescent="0.25">
      <c r="A585" s="3">
        <v>44656</v>
      </c>
      <c r="B585" t="s">
        <v>6</v>
      </c>
      <c r="C585">
        <v>90</v>
      </c>
      <c r="D585">
        <v>7215</v>
      </c>
      <c r="E585">
        <v>714</v>
      </c>
      <c r="F585">
        <v>6501</v>
      </c>
      <c r="G585">
        <v>10</v>
      </c>
      <c r="H585">
        <v>32768</v>
      </c>
      <c r="I585">
        <v>20</v>
      </c>
      <c r="J585" t="s">
        <v>1</v>
      </c>
      <c r="K585" t="s">
        <v>2</v>
      </c>
      <c r="L585" s="8">
        <f>UnilabUsage[[#This Row],[Used-MB]]-F575</f>
        <v>19</v>
      </c>
      <c r="M585">
        <f>UnilabUsage[[#This Row],[Max]]-UnilabUsage[[#This Row],[Used-MB]]</f>
        <v>26267</v>
      </c>
      <c r="N585" s="5">
        <f>IF($L585&gt;0,UnilabUsage[[#This Row],[Free-of-Max]]/UnilabUsage[[#This Row],[Usage-Delta-MB]],UnilabUsage[[#This Row],[Free-of-Max]])</f>
        <v>1382.4736842105262</v>
      </c>
    </row>
    <row r="586" spans="1:14" x14ac:dyDescent="0.25">
      <c r="A586" s="3">
        <v>44656</v>
      </c>
      <c r="B586" t="s">
        <v>3</v>
      </c>
      <c r="C586">
        <v>97</v>
      </c>
      <c r="D586">
        <v>413248</v>
      </c>
      <c r="E586">
        <v>10565</v>
      </c>
      <c r="F586">
        <v>402683</v>
      </c>
      <c r="G586">
        <v>3</v>
      </c>
      <c r="H586">
        <v>425984</v>
      </c>
      <c r="I586">
        <v>95</v>
      </c>
      <c r="J586" t="s">
        <v>1</v>
      </c>
      <c r="K586" t="s">
        <v>2</v>
      </c>
      <c r="L586" s="8">
        <f>UnilabUsage[[#This Row],[Used-MB]]-F576</f>
        <v>737</v>
      </c>
      <c r="M586">
        <f>UnilabUsage[[#This Row],[Max]]-UnilabUsage[[#This Row],[Used-MB]]</f>
        <v>23301</v>
      </c>
      <c r="N586" s="5">
        <f>IF($L586&gt;0,UnilabUsage[[#This Row],[Free-of-Max]]/UnilabUsage[[#This Row],[Usage-Delta-MB]],UnilabUsage[[#This Row],[Free-of-Max]])</f>
        <v>31.616010854816825</v>
      </c>
    </row>
    <row r="587" spans="1:14" x14ac:dyDescent="0.25">
      <c r="A587" s="3">
        <v>44656</v>
      </c>
      <c r="B587" t="s">
        <v>5</v>
      </c>
      <c r="C587">
        <v>95</v>
      </c>
      <c r="D587">
        <v>19000</v>
      </c>
      <c r="E587">
        <v>945</v>
      </c>
      <c r="F587">
        <v>18055</v>
      </c>
      <c r="G587">
        <v>5</v>
      </c>
      <c r="H587">
        <v>32768</v>
      </c>
      <c r="I587">
        <v>55</v>
      </c>
      <c r="J587" t="s">
        <v>1</v>
      </c>
      <c r="K587" t="s">
        <v>2</v>
      </c>
      <c r="L587" s="8">
        <f>UnilabUsage[[#This Row],[Used-MB]]-F577</f>
        <v>65</v>
      </c>
      <c r="M587">
        <f>UnilabUsage[[#This Row],[Max]]-UnilabUsage[[#This Row],[Used-MB]]</f>
        <v>14713</v>
      </c>
      <c r="N587" s="5">
        <f>IF($L587&gt;0,UnilabUsage[[#This Row],[Free-of-Max]]/UnilabUsage[[#This Row],[Usage-Delta-MB]],UnilabUsage[[#This Row],[Free-of-Max]])</f>
        <v>226.35384615384615</v>
      </c>
    </row>
    <row r="588" spans="1:14" x14ac:dyDescent="0.25">
      <c r="A588" s="3">
        <v>44656</v>
      </c>
      <c r="B588" t="s">
        <v>8</v>
      </c>
      <c r="C588">
        <v>87</v>
      </c>
      <c r="D588">
        <v>294912</v>
      </c>
      <c r="E588">
        <v>37496</v>
      </c>
      <c r="F588">
        <v>257416</v>
      </c>
      <c r="G588">
        <v>13</v>
      </c>
      <c r="H588">
        <v>294912</v>
      </c>
      <c r="I588">
        <v>87</v>
      </c>
      <c r="J588" t="s">
        <v>1</v>
      </c>
      <c r="K588" t="s">
        <v>2</v>
      </c>
      <c r="L588" s="8">
        <f>UnilabUsage[[#This Row],[Used-MB]]-F578</f>
        <v>561</v>
      </c>
      <c r="M588">
        <f>UnilabUsage[[#This Row],[Max]]-UnilabUsage[[#This Row],[Used-MB]]</f>
        <v>37496</v>
      </c>
      <c r="N588" s="5">
        <f>IF($L588&gt;0,UnilabUsage[[#This Row],[Free-of-Max]]/UnilabUsage[[#This Row],[Usage-Delta-MB]],UnilabUsage[[#This Row],[Free-of-Max]])</f>
        <v>66.837789661319079</v>
      </c>
    </row>
    <row r="589" spans="1:14" x14ac:dyDescent="0.25">
      <c r="A589" s="3">
        <v>44656</v>
      </c>
      <c r="B589" t="s">
        <v>4</v>
      </c>
      <c r="C589">
        <v>96</v>
      </c>
      <c r="D589">
        <v>83925</v>
      </c>
      <c r="E589">
        <v>3376</v>
      </c>
      <c r="F589">
        <v>80549</v>
      </c>
      <c r="G589">
        <v>4</v>
      </c>
      <c r="H589">
        <v>98304</v>
      </c>
      <c r="I589">
        <v>82</v>
      </c>
      <c r="J589" t="s">
        <v>1</v>
      </c>
      <c r="K589" t="s">
        <v>2</v>
      </c>
      <c r="L589" s="8">
        <f>UnilabUsage[[#This Row],[Used-MB]]-F579</f>
        <v>256</v>
      </c>
      <c r="M589">
        <f>UnilabUsage[[#This Row],[Max]]-UnilabUsage[[#This Row],[Used-MB]]</f>
        <v>17755</v>
      </c>
      <c r="N589" s="5">
        <f>IF($L589&gt;0,UnilabUsage[[#This Row],[Free-of-Max]]/UnilabUsage[[#This Row],[Usage-Delta-MB]],UnilabUsage[[#This Row],[Free-of-Max]])</f>
        <v>69.35546875</v>
      </c>
    </row>
    <row r="590" spans="1:14" x14ac:dyDescent="0.25">
      <c r="A590" s="3">
        <v>44656</v>
      </c>
      <c r="B590" t="s">
        <v>12</v>
      </c>
      <c r="C590">
        <v>0</v>
      </c>
      <c r="D590">
        <v>30720</v>
      </c>
      <c r="E590">
        <v>30636</v>
      </c>
      <c r="F590">
        <v>84</v>
      </c>
      <c r="G590">
        <v>100</v>
      </c>
      <c r="H590">
        <v>30720</v>
      </c>
      <c r="I590">
        <v>0</v>
      </c>
      <c r="J590" t="s">
        <v>1</v>
      </c>
      <c r="K590" t="s">
        <v>13</v>
      </c>
      <c r="L590" s="8">
        <f>UnilabUsage[[#This Row],[Used-MB]]-F580</f>
        <v>7</v>
      </c>
      <c r="M590">
        <f>UnilabUsage[[#This Row],[Max]]-UnilabUsage[[#This Row],[Used-MB]]</f>
        <v>30636</v>
      </c>
      <c r="N590" s="5">
        <f>IF($L590&gt;0,UnilabUsage[[#This Row],[Free-of-Max]]/UnilabUsage[[#This Row],[Usage-Delta-MB]],UnilabUsage[[#This Row],[Free-of-Max]])</f>
        <v>4376.5714285714284</v>
      </c>
    </row>
    <row r="591" spans="1:14" x14ac:dyDescent="0.25">
      <c r="A591" s="3">
        <v>44656</v>
      </c>
      <c r="B591" t="s">
        <v>9</v>
      </c>
      <c r="C591">
        <v>2</v>
      </c>
      <c r="D591">
        <v>10440</v>
      </c>
      <c r="E591">
        <v>10201</v>
      </c>
      <c r="F591">
        <v>239</v>
      </c>
      <c r="G591">
        <v>98</v>
      </c>
      <c r="H591">
        <v>32768</v>
      </c>
      <c r="I591">
        <v>1</v>
      </c>
      <c r="J591" t="s">
        <v>1</v>
      </c>
      <c r="K591" t="s">
        <v>10</v>
      </c>
      <c r="L591" s="8">
        <f>UnilabUsage[[#This Row],[Used-MB]]-F581</f>
        <v>102</v>
      </c>
      <c r="M591">
        <f>UnilabUsage[[#This Row],[Max]]-UnilabUsage[[#This Row],[Used-MB]]</f>
        <v>32529</v>
      </c>
      <c r="N591" s="5">
        <f>IF($L591&gt;0,UnilabUsage[[#This Row],[Free-of-Max]]/UnilabUsage[[#This Row],[Usage-Delta-MB]],UnilabUsage[[#This Row],[Free-of-Max]])</f>
        <v>318.91176470588238</v>
      </c>
    </row>
    <row r="592" spans="1:14" x14ac:dyDescent="0.25">
      <c r="A592" s="3">
        <v>44662</v>
      </c>
      <c r="B592" t="s">
        <v>7</v>
      </c>
      <c r="C592">
        <v>95</v>
      </c>
      <c r="D592">
        <v>1610</v>
      </c>
      <c r="E592">
        <v>86</v>
      </c>
      <c r="F592">
        <v>1524</v>
      </c>
      <c r="G592">
        <v>5</v>
      </c>
      <c r="H592">
        <v>32768</v>
      </c>
      <c r="I592">
        <v>5</v>
      </c>
      <c r="J592" t="s">
        <v>1</v>
      </c>
      <c r="K592" t="s">
        <v>2</v>
      </c>
      <c r="L592" s="8">
        <f>UnilabUsage[[#This Row],[Used-MB]]-F582</f>
        <v>16</v>
      </c>
      <c r="M592">
        <f>UnilabUsage[[#This Row],[Max]]-UnilabUsage[[#This Row],[Used-MB]]</f>
        <v>31244</v>
      </c>
      <c r="N592" s="5">
        <f>IF($L592&gt;0,UnilabUsage[[#This Row],[Free-of-Max]]/UnilabUsage[[#This Row],[Usage-Delta-MB]],UnilabUsage[[#This Row],[Free-of-Max]])</f>
        <v>1952.75</v>
      </c>
    </row>
    <row r="593" spans="1:14" x14ac:dyDescent="0.25">
      <c r="A593" s="3">
        <v>44662</v>
      </c>
      <c r="B593" t="s">
        <v>0</v>
      </c>
      <c r="C593">
        <v>99</v>
      </c>
      <c r="D593">
        <v>18350</v>
      </c>
      <c r="E593">
        <v>100</v>
      </c>
      <c r="F593">
        <v>18250</v>
      </c>
      <c r="G593">
        <v>1</v>
      </c>
      <c r="H593">
        <v>32768</v>
      </c>
      <c r="I593">
        <v>56</v>
      </c>
      <c r="J593" t="s">
        <v>1</v>
      </c>
      <c r="K593" t="s">
        <v>2</v>
      </c>
      <c r="L593" s="8">
        <f>UnilabUsage[[#This Row],[Used-MB]]-F583</f>
        <v>64</v>
      </c>
      <c r="M593">
        <f>UnilabUsage[[#This Row],[Max]]-UnilabUsage[[#This Row],[Used-MB]]</f>
        <v>14518</v>
      </c>
      <c r="N593" s="5">
        <f>IF($L593&gt;0,UnilabUsage[[#This Row],[Free-of-Max]]/UnilabUsage[[#This Row],[Usage-Delta-MB]],UnilabUsage[[#This Row],[Free-of-Max]])</f>
        <v>226.84375</v>
      </c>
    </row>
    <row r="594" spans="1:14" x14ac:dyDescent="0.25">
      <c r="A594" s="3">
        <v>44662</v>
      </c>
      <c r="B594" t="s">
        <v>11</v>
      </c>
      <c r="C594">
        <v>1</v>
      </c>
      <c r="D594">
        <v>100</v>
      </c>
      <c r="E594">
        <v>99</v>
      </c>
      <c r="F594">
        <v>1</v>
      </c>
      <c r="G594">
        <v>99</v>
      </c>
      <c r="H594">
        <v>32768</v>
      </c>
      <c r="I594">
        <v>0</v>
      </c>
      <c r="J594" t="s">
        <v>1</v>
      </c>
      <c r="K594" t="s">
        <v>2</v>
      </c>
      <c r="L594" s="8">
        <f>UnilabUsage[[#This Row],[Used-MB]]-F584</f>
        <v>0</v>
      </c>
      <c r="M594">
        <f>UnilabUsage[[#This Row],[Max]]-UnilabUsage[[#This Row],[Used-MB]]</f>
        <v>32767</v>
      </c>
      <c r="N594" s="5">
        <f>IF($L594&gt;0,UnilabUsage[[#This Row],[Free-of-Max]]/UnilabUsage[[#This Row],[Usage-Delta-MB]],UnilabUsage[[#This Row],[Free-of-Max]])</f>
        <v>32767</v>
      </c>
    </row>
    <row r="595" spans="1:14" x14ac:dyDescent="0.25">
      <c r="A595" s="3">
        <v>44662</v>
      </c>
      <c r="B595" t="s">
        <v>6</v>
      </c>
      <c r="C595">
        <v>90</v>
      </c>
      <c r="D595">
        <v>7215</v>
      </c>
      <c r="E595">
        <v>714</v>
      </c>
      <c r="F595">
        <v>6501</v>
      </c>
      <c r="G595">
        <v>10</v>
      </c>
      <c r="H595">
        <v>32768</v>
      </c>
      <c r="I595">
        <v>20</v>
      </c>
      <c r="J595" t="s">
        <v>1</v>
      </c>
      <c r="K595" t="s">
        <v>2</v>
      </c>
      <c r="L595" s="8">
        <f>UnilabUsage[[#This Row],[Used-MB]]-F585</f>
        <v>0</v>
      </c>
      <c r="M595">
        <f>UnilabUsage[[#This Row],[Max]]-UnilabUsage[[#This Row],[Used-MB]]</f>
        <v>26267</v>
      </c>
      <c r="N595" s="5">
        <f>IF($L595&gt;0,UnilabUsage[[#This Row],[Free-of-Max]]/UnilabUsage[[#This Row],[Usage-Delta-MB]],UnilabUsage[[#This Row],[Free-of-Max]])</f>
        <v>26267</v>
      </c>
    </row>
    <row r="596" spans="1:14" x14ac:dyDescent="0.25">
      <c r="A596" s="3">
        <v>44662</v>
      </c>
      <c r="B596" t="s">
        <v>3</v>
      </c>
      <c r="C596">
        <v>98</v>
      </c>
      <c r="D596">
        <v>413248</v>
      </c>
      <c r="E596">
        <v>10056</v>
      </c>
      <c r="F596">
        <v>403192</v>
      </c>
      <c r="G596">
        <v>2</v>
      </c>
      <c r="H596">
        <v>425984</v>
      </c>
      <c r="I596">
        <v>95</v>
      </c>
      <c r="J596" t="s">
        <v>1</v>
      </c>
      <c r="K596" t="s">
        <v>2</v>
      </c>
      <c r="L596" s="8">
        <f>UnilabUsage[[#This Row],[Used-MB]]-F586</f>
        <v>509</v>
      </c>
      <c r="M596">
        <f>UnilabUsage[[#This Row],[Max]]-UnilabUsage[[#This Row],[Used-MB]]</f>
        <v>22792</v>
      </c>
      <c r="N596" s="5">
        <f>IF($L596&gt;0,UnilabUsage[[#This Row],[Free-of-Max]]/UnilabUsage[[#This Row],[Usage-Delta-MB]],UnilabUsage[[#This Row],[Free-of-Max]])</f>
        <v>44.777996070726914</v>
      </c>
    </row>
    <row r="597" spans="1:14" x14ac:dyDescent="0.25">
      <c r="A597" s="3">
        <v>44662</v>
      </c>
      <c r="B597" t="s">
        <v>5</v>
      </c>
      <c r="C597">
        <v>95</v>
      </c>
      <c r="D597">
        <v>19050</v>
      </c>
      <c r="E597">
        <v>923</v>
      </c>
      <c r="F597">
        <v>18127</v>
      </c>
      <c r="G597">
        <v>5</v>
      </c>
      <c r="H597">
        <v>32768</v>
      </c>
      <c r="I597">
        <v>55</v>
      </c>
      <c r="J597" t="s">
        <v>1</v>
      </c>
      <c r="K597" t="s">
        <v>2</v>
      </c>
      <c r="L597" s="8">
        <f>UnilabUsage[[#This Row],[Used-MB]]-F587</f>
        <v>72</v>
      </c>
      <c r="M597">
        <f>UnilabUsage[[#This Row],[Max]]-UnilabUsage[[#This Row],[Used-MB]]</f>
        <v>14641</v>
      </c>
      <c r="N597" s="5">
        <f>IF($L597&gt;0,UnilabUsage[[#This Row],[Free-of-Max]]/UnilabUsage[[#This Row],[Usage-Delta-MB]],UnilabUsage[[#This Row],[Free-of-Max]])</f>
        <v>203.34722222222223</v>
      </c>
    </row>
    <row r="598" spans="1:14" x14ac:dyDescent="0.25">
      <c r="A598" s="3">
        <v>44662</v>
      </c>
      <c r="B598" t="s">
        <v>8</v>
      </c>
      <c r="C598">
        <v>87</v>
      </c>
      <c r="D598">
        <v>294912</v>
      </c>
      <c r="E598">
        <v>37147</v>
      </c>
      <c r="F598">
        <v>257765</v>
      </c>
      <c r="G598">
        <v>13</v>
      </c>
      <c r="H598">
        <v>294912</v>
      </c>
      <c r="I598">
        <v>87</v>
      </c>
      <c r="J598" t="s">
        <v>1</v>
      </c>
      <c r="K598" t="s">
        <v>2</v>
      </c>
      <c r="L598" s="8">
        <f>UnilabUsage[[#This Row],[Used-MB]]-F588</f>
        <v>349</v>
      </c>
      <c r="M598">
        <f>UnilabUsage[[#This Row],[Max]]-UnilabUsage[[#This Row],[Used-MB]]</f>
        <v>37147</v>
      </c>
      <c r="N598" s="5">
        <f>IF($L598&gt;0,UnilabUsage[[#This Row],[Free-of-Max]]/UnilabUsage[[#This Row],[Usage-Delta-MB]],UnilabUsage[[#This Row],[Free-of-Max]])</f>
        <v>106.43839541547278</v>
      </c>
    </row>
    <row r="599" spans="1:14" x14ac:dyDescent="0.25">
      <c r="A599" s="3">
        <v>44662</v>
      </c>
      <c r="B599" t="s">
        <v>4</v>
      </c>
      <c r="C599">
        <v>96</v>
      </c>
      <c r="D599">
        <v>83925</v>
      </c>
      <c r="E599">
        <v>3312</v>
      </c>
      <c r="F599">
        <v>80613</v>
      </c>
      <c r="G599">
        <v>4</v>
      </c>
      <c r="H599">
        <v>98304</v>
      </c>
      <c r="I599">
        <v>82</v>
      </c>
      <c r="J599" t="s">
        <v>1</v>
      </c>
      <c r="K599" t="s">
        <v>2</v>
      </c>
      <c r="L599" s="8">
        <f>UnilabUsage[[#This Row],[Used-MB]]-F589</f>
        <v>64</v>
      </c>
      <c r="M599">
        <f>UnilabUsage[[#This Row],[Max]]-UnilabUsage[[#This Row],[Used-MB]]</f>
        <v>17691</v>
      </c>
      <c r="N599" s="5">
        <f>IF($L599&gt;0,UnilabUsage[[#This Row],[Free-of-Max]]/UnilabUsage[[#This Row],[Usage-Delta-MB]],UnilabUsage[[#This Row],[Free-of-Max]])</f>
        <v>276.421875</v>
      </c>
    </row>
    <row r="600" spans="1:14" x14ac:dyDescent="0.25">
      <c r="A600" s="3">
        <v>44662</v>
      </c>
      <c r="B600" t="s">
        <v>12</v>
      </c>
      <c r="C600">
        <v>0</v>
      </c>
      <c r="D600">
        <v>30720</v>
      </c>
      <c r="E600">
        <v>30617</v>
      </c>
      <c r="F600">
        <v>103</v>
      </c>
      <c r="G600">
        <v>100</v>
      </c>
      <c r="H600">
        <v>30720</v>
      </c>
      <c r="I600">
        <v>0</v>
      </c>
      <c r="J600" t="s">
        <v>1</v>
      </c>
      <c r="K600" t="s">
        <v>13</v>
      </c>
      <c r="L600" s="8">
        <f>UnilabUsage[[#This Row],[Used-MB]]-F590</f>
        <v>19</v>
      </c>
      <c r="M600">
        <f>UnilabUsage[[#This Row],[Max]]-UnilabUsage[[#This Row],[Used-MB]]</f>
        <v>30617</v>
      </c>
      <c r="N600" s="5">
        <f>IF($L600&gt;0,UnilabUsage[[#This Row],[Free-of-Max]]/UnilabUsage[[#This Row],[Usage-Delta-MB]],UnilabUsage[[#This Row],[Free-of-Max]])</f>
        <v>1611.421052631579</v>
      </c>
    </row>
    <row r="601" spans="1:14" x14ac:dyDescent="0.25">
      <c r="A601" s="3">
        <v>44662</v>
      </c>
      <c r="B601" t="s">
        <v>9</v>
      </c>
      <c r="C601">
        <v>1</v>
      </c>
      <c r="D601">
        <v>10440</v>
      </c>
      <c r="E601">
        <v>10297</v>
      </c>
      <c r="F601">
        <v>143</v>
      </c>
      <c r="G601">
        <v>99</v>
      </c>
      <c r="H601">
        <v>32768</v>
      </c>
      <c r="I601">
        <v>0</v>
      </c>
      <c r="J601" t="s">
        <v>1</v>
      </c>
      <c r="K601" t="s">
        <v>10</v>
      </c>
      <c r="L601" s="8">
        <f>UnilabUsage[[#This Row],[Used-MB]]-F591</f>
        <v>-96</v>
      </c>
      <c r="M601">
        <f>UnilabUsage[[#This Row],[Max]]-UnilabUsage[[#This Row],[Used-MB]]</f>
        <v>32625</v>
      </c>
      <c r="N601" s="5">
        <f>IF($L601&gt;0,UnilabUsage[[#This Row],[Free-of-Max]]/UnilabUsage[[#This Row],[Usage-Delta-MB]],UnilabUsage[[#This Row],[Free-of-Max]])</f>
        <v>32625</v>
      </c>
    </row>
    <row r="602" spans="1:14" x14ac:dyDescent="0.25">
      <c r="A602" s="3">
        <v>44670</v>
      </c>
      <c r="B602" t="s">
        <v>7</v>
      </c>
      <c r="C602">
        <v>95</v>
      </c>
      <c r="D602">
        <v>1610</v>
      </c>
      <c r="E602">
        <v>79</v>
      </c>
      <c r="F602">
        <v>1531</v>
      </c>
      <c r="G602">
        <v>5</v>
      </c>
      <c r="H602">
        <v>32768</v>
      </c>
      <c r="I602">
        <v>5</v>
      </c>
      <c r="J602" t="s">
        <v>1</v>
      </c>
      <c r="K602" t="s">
        <v>2</v>
      </c>
      <c r="L602" s="8">
        <f>UnilabUsage[[#This Row],[Used-MB]]-F592</f>
        <v>7</v>
      </c>
      <c r="M602">
        <f>UnilabUsage[[#This Row],[Max]]-UnilabUsage[[#This Row],[Used-MB]]</f>
        <v>31237</v>
      </c>
      <c r="N602" s="5">
        <f>IF($L602&gt;0,UnilabUsage[[#This Row],[Free-of-Max]]/UnilabUsage[[#This Row],[Usage-Delta-MB]],UnilabUsage[[#This Row],[Free-of-Max]])</f>
        <v>4462.4285714285716</v>
      </c>
    </row>
    <row r="603" spans="1:14" x14ac:dyDescent="0.25">
      <c r="A603" s="3">
        <v>44670</v>
      </c>
      <c r="B603" t="s">
        <v>0</v>
      </c>
      <c r="C603">
        <v>100</v>
      </c>
      <c r="D603">
        <v>18350</v>
      </c>
      <c r="E603">
        <v>36</v>
      </c>
      <c r="F603">
        <v>18314</v>
      </c>
      <c r="G603">
        <v>0</v>
      </c>
      <c r="H603">
        <v>32768</v>
      </c>
      <c r="I603">
        <v>56</v>
      </c>
      <c r="J603" t="s">
        <v>1</v>
      </c>
      <c r="K603" t="s">
        <v>2</v>
      </c>
      <c r="L603" s="8">
        <f>UnilabUsage[[#This Row],[Used-MB]]-F593</f>
        <v>64</v>
      </c>
      <c r="M603">
        <f>UnilabUsage[[#This Row],[Max]]-UnilabUsage[[#This Row],[Used-MB]]</f>
        <v>14454</v>
      </c>
      <c r="N603" s="5">
        <f>IF($L603&gt;0,UnilabUsage[[#This Row],[Free-of-Max]]/UnilabUsage[[#This Row],[Usage-Delta-MB]],UnilabUsage[[#This Row],[Free-of-Max]])</f>
        <v>225.84375</v>
      </c>
    </row>
    <row r="604" spans="1:14" x14ac:dyDescent="0.25">
      <c r="A604" s="3">
        <v>44670</v>
      </c>
      <c r="B604" t="s">
        <v>11</v>
      </c>
      <c r="C604">
        <v>1</v>
      </c>
      <c r="D604">
        <v>100</v>
      </c>
      <c r="E604">
        <v>99</v>
      </c>
      <c r="F604">
        <v>1</v>
      </c>
      <c r="G604">
        <v>99</v>
      </c>
      <c r="H604">
        <v>32768</v>
      </c>
      <c r="I604">
        <v>0</v>
      </c>
      <c r="J604" t="s">
        <v>1</v>
      </c>
      <c r="K604" t="s">
        <v>2</v>
      </c>
      <c r="L604" s="8">
        <f>UnilabUsage[[#This Row],[Used-MB]]-F594</f>
        <v>0</v>
      </c>
      <c r="M604">
        <f>UnilabUsage[[#This Row],[Max]]-UnilabUsage[[#This Row],[Used-MB]]</f>
        <v>32767</v>
      </c>
      <c r="N604" s="5">
        <f>IF($L604&gt;0,UnilabUsage[[#This Row],[Free-of-Max]]/UnilabUsage[[#This Row],[Usage-Delta-MB]],UnilabUsage[[#This Row],[Free-of-Max]])</f>
        <v>32767</v>
      </c>
    </row>
    <row r="605" spans="1:14" x14ac:dyDescent="0.25">
      <c r="A605" s="3">
        <v>44670</v>
      </c>
      <c r="B605" t="s">
        <v>6</v>
      </c>
      <c r="C605">
        <v>90</v>
      </c>
      <c r="D605">
        <v>7215</v>
      </c>
      <c r="E605">
        <v>714</v>
      </c>
      <c r="F605">
        <v>6501</v>
      </c>
      <c r="G605">
        <v>10</v>
      </c>
      <c r="H605">
        <v>32768</v>
      </c>
      <c r="I605">
        <v>20</v>
      </c>
      <c r="J605" t="s">
        <v>1</v>
      </c>
      <c r="K605" t="s">
        <v>2</v>
      </c>
      <c r="L605" s="8">
        <f>UnilabUsage[[#This Row],[Used-MB]]-F595</f>
        <v>0</v>
      </c>
      <c r="M605">
        <f>UnilabUsage[[#This Row],[Max]]-UnilabUsage[[#This Row],[Used-MB]]</f>
        <v>26267</v>
      </c>
      <c r="N605" s="5">
        <f>IF($L605&gt;0,UnilabUsage[[#This Row],[Free-of-Max]]/UnilabUsage[[#This Row],[Usage-Delta-MB]],UnilabUsage[[#This Row],[Free-of-Max]])</f>
        <v>26267</v>
      </c>
    </row>
    <row r="606" spans="1:14" x14ac:dyDescent="0.25">
      <c r="A606" s="3">
        <v>44670</v>
      </c>
      <c r="B606" t="s">
        <v>3</v>
      </c>
      <c r="C606">
        <v>98</v>
      </c>
      <c r="D606">
        <v>413248</v>
      </c>
      <c r="E606">
        <v>9392</v>
      </c>
      <c r="F606">
        <v>403856</v>
      </c>
      <c r="G606">
        <v>2</v>
      </c>
      <c r="H606">
        <v>425984</v>
      </c>
      <c r="I606">
        <v>95</v>
      </c>
      <c r="J606" t="s">
        <v>1</v>
      </c>
      <c r="K606" t="s">
        <v>2</v>
      </c>
      <c r="L606" s="8">
        <f>UnilabUsage[[#This Row],[Used-MB]]-F596</f>
        <v>664</v>
      </c>
      <c r="M606">
        <f>UnilabUsage[[#This Row],[Max]]-UnilabUsage[[#This Row],[Used-MB]]</f>
        <v>22128</v>
      </c>
      <c r="N606" s="5">
        <f>IF($L606&gt;0,UnilabUsage[[#This Row],[Free-of-Max]]/UnilabUsage[[#This Row],[Usage-Delta-MB]],UnilabUsage[[#This Row],[Free-of-Max]])</f>
        <v>33.325301204819276</v>
      </c>
    </row>
    <row r="607" spans="1:14" x14ac:dyDescent="0.25">
      <c r="A607" s="3">
        <v>44670</v>
      </c>
      <c r="B607" t="s">
        <v>5</v>
      </c>
      <c r="C607">
        <v>95</v>
      </c>
      <c r="D607">
        <v>19050</v>
      </c>
      <c r="E607">
        <v>923</v>
      </c>
      <c r="F607">
        <v>18127</v>
      </c>
      <c r="G607">
        <v>5</v>
      </c>
      <c r="H607">
        <v>32768</v>
      </c>
      <c r="I607">
        <v>55</v>
      </c>
      <c r="J607" t="s">
        <v>1</v>
      </c>
      <c r="K607" t="s">
        <v>2</v>
      </c>
      <c r="L607" s="8">
        <f>UnilabUsage[[#This Row],[Used-MB]]-F597</f>
        <v>0</v>
      </c>
      <c r="M607">
        <f>UnilabUsage[[#This Row],[Max]]-UnilabUsage[[#This Row],[Used-MB]]</f>
        <v>14641</v>
      </c>
      <c r="N607" s="5">
        <f>IF($L607&gt;0,UnilabUsage[[#This Row],[Free-of-Max]]/UnilabUsage[[#This Row],[Usage-Delta-MB]],UnilabUsage[[#This Row],[Free-of-Max]])</f>
        <v>14641</v>
      </c>
    </row>
    <row r="608" spans="1:14" x14ac:dyDescent="0.25">
      <c r="A608" s="3">
        <v>44670</v>
      </c>
      <c r="B608" t="s">
        <v>8</v>
      </c>
      <c r="C608">
        <v>88</v>
      </c>
      <c r="D608">
        <v>294912</v>
      </c>
      <c r="E608">
        <v>36805</v>
      </c>
      <c r="F608">
        <v>258106</v>
      </c>
      <c r="G608">
        <v>12</v>
      </c>
      <c r="H608">
        <v>294912</v>
      </c>
      <c r="I608">
        <v>88</v>
      </c>
      <c r="J608" t="s">
        <v>1</v>
      </c>
      <c r="K608" t="s">
        <v>2</v>
      </c>
      <c r="L608" s="8">
        <f>UnilabUsage[[#This Row],[Used-MB]]-F598</f>
        <v>341</v>
      </c>
      <c r="M608">
        <f>UnilabUsage[[#This Row],[Max]]-UnilabUsage[[#This Row],[Used-MB]]</f>
        <v>36806</v>
      </c>
      <c r="N608" s="5">
        <f>IF($L608&gt;0,UnilabUsage[[#This Row],[Free-of-Max]]/UnilabUsage[[#This Row],[Usage-Delta-MB]],UnilabUsage[[#This Row],[Free-of-Max]])</f>
        <v>107.93548387096774</v>
      </c>
    </row>
    <row r="609" spans="1:14" x14ac:dyDescent="0.25">
      <c r="A609" s="3">
        <v>44670</v>
      </c>
      <c r="B609" t="s">
        <v>4</v>
      </c>
      <c r="C609">
        <v>96</v>
      </c>
      <c r="D609">
        <v>83925</v>
      </c>
      <c r="E609">
        <v>3120</v>
      </c>
      <c r="F609">
        <v>80805</v>
      </c>
      <c r="G609">
        <v>4</v>
      </c>
      <c r="H609">
        <v>98304</v>
      </c>
      <c r="I609">
        <v>82</v>
      </c>
      <c r="J609" t="s">
        <v>1</v>
      </c>
      <c r="K609" t="s">
        <v>2</v>
      </c>
      <c r="L609" s="8">
        <f>UnilabUsage[[#This Row],[Used-MB]]-F599</f>
        <v>192</v>
      </c>
      <c r="M609">
        <f>UnilabUsage[[#This Row],[Max]]-UnilabUsage[[#This Row],[Used-MB]]</f>
        <v>17499</v>
      </c>
      <c r="N609" s="5">
        <f>IF($L609&gt;0,UnilabUsage[[#This Row],[Free-of-Max]]/UnilabUsage[[#This Row],[Usage-Delta-MB]],UnilabUsage[[#This Row],[Free-of-Max]])</f>
        <v>91.140625</v>
      </c>
    </row>
    <row r="610" spans="1:14" x14ac:dyDescent="0.25">
      <c r="A610" s="3">
        <v>44670</v>
      </c>
      <c r="B610" t="s">
        <v>12</v>
      </c>
      <c r="C610">
        <v>0</v>
      </c>
      <c r="D610">
        <v>30720</v>
      </c>
      <c r="E610">
        <v>30667</v>
      </c>
      <c r="F610">
        <v>53</v>
      </c>
      <c r="G610">
        <v>100</v>
      </c>
      <c r="H610">
        <v>30720</v>
      </c>
      <c r="I610">
        <v>0</v>
      </c>
      <c r="J610" t="s">
        <v>1</v>
      </c>
      <c r="K610" t="s">
        <v>13</v>
      </c>
      <c r="L610" s="8">
        <f>UnilabUsage[[#This Row],[Used-MB]]-F600</f>
        <v>-50</v>
      </c>
      <c r="M610">
        <f>UnilabUsage[[#This Row],[Max]]-UnilabUsage[[#This Row],[Used-MB]]</f>
        <v>30667</v>
      </c>
      <c r="N610" s="5">
        <f>IF($L610&gt;0,UnilabUsage[[#This Row],[Free-of-Max]]/UnilabUsage[[#This Row],[Usage-Delta-MB]],UnilabUsage[[#This Row],[Free-of-Max]])</f>
        <v>30667</v>
      </c>
    </row>
    <row r="611" spans="1:14" x14ac:dyDescent="0.25">
      <c r="A611" s="3">
        <v>44670</v>
      </c>
      <c r="B611" t="s">
        <v>9</v>
      </c>
      <c r="C611">
        <v>1</v>
      </c>
      <c r="D611">
        <v>10440</v>
      </c>
      <c r="E611">
        <v>10334</v>
      </c>
      <c r="F611">
        <v>106</v>
      </c>
      <c r="G611">
        <v>99</v>
      </c>
      <c r="H611">
        <v>32768</v>
      </c>
      <c r="I611">
        <v>0</v>
      </c>
      <c r="J611" t="s">
        <v>1</v>
      </c>
      <c r="K611" t="s">
        <v>10</v>
      </c>
      <c r="L611" s="8">
        <f>UnilabUsage[[#This Row],[Used-MB]]-F601</f>
        <v>-37</v>
      </c>
      <c r="M611">
        <f>UnilabUsage[[#This Row],[Max]]-UnilabUsage[[#This Row],[Used-MB]]</f>
        <v>32662</v>
      </c>
      <c r="N611" s="5">
        <f>IF($L611&gt;0,UnilabUsage[[#This Row],[Free-of-Max]]/UnilabUsage[[#This Row],[Usage-Delta-MB]],UnilabUsage[[#This Row],[Free-of-Max]])</f>
        <v>32662</v>
      </c>
    </row>
    <row r="612" spans="1:14" x14ac:dyDescent="0.25">
      <c r="A612" s="3">
        <v>44676</v>
      </c>
      <c r="B612" t="s">
        <v>7</v>
      </c>
      <c r="C612">
        <v>95</v>
      </c>
      <c r="D612">
        <v>1610</v>
      </c>
      <c r="E612">
        <v>78</v>
      </c>
      <c r="F612">
        <v>1532</v>
      </c>
      <c r="G612">
        <v>5</v>
      </c>
      <c r="H612">
        <v>32768</v>
      </c>
      <c r="I612">
        <v>5</v>
      </c>
      <c r="J612" t="s">
        <v>1</v>
      </c>
      <c r="K612" t="s">
        <v>2</v>
      </c>
      <c r="L612" s="8">
        <f>UnilabUsage[[#This Row],[Used-MB]]-F602</f>
        <v>1</v>
      </c>
      <c r="M612">
        <f>UnilabUsage[[#This Row],[Max]]-UnilabUsage[[#This Row],[Used-MB]]</f>
        <v>31236</v>
      </c>
      <c r="N612" s="5">
        <f>IF($L612&gt;0,UnilabUsage[[#This Row],[Free-of-Max]]/UnilabUsage[[#This Row],[Usage-Delta-MB]],UnilabUsage[[#This Row],[Free-of-Max]])</f>
        <v>31236</v>
      </c>
    </row>
    <row r="613" spans="1:14" x14ac:dyDescent="0.25">
      <c r="A613" s="3">
        <v>44676</v>
      </c>
      <c r="B613" t="s">
        <v>0</v>
      </c>
      <c r="C613">
        <v>100</v>
      </c>
      <c r="D613">
        <v>18450</v>
      </c>
      <c r="E613">
        <v>72</v>
      </c>
      <c r="F613">
        <v>18378</v>
      </c>
      <c r="G613">
        <v>0</v>
      </c>
      <c r="H613">
        <v>32768</v>
      </c>
      <c r="I613">
        <v>56</v>
      </c>
      <c r="J613" t="s">
        <v>1</v>
      </c>
      <c r="K613" t="s">
        <v>2</v>
      </c>
      <c r="L613" s="8">
        <f>UnilabUsage[[#This Row],[Used-MB]]-F603</f>
        <v>64</v>
      </c>
      <c r="M613">
        <f>UnilabUsage[[#This Row],[Max]]-UnilabUsage[[#This Row],[Used-MB]]</f>
        <v>14390</v>
      </c>
      <c r="N613" s="5">
        <f>IF($L613&gt;0,UnilabUsage[[#This Row],[Free-of-Max]]/UnilabUsage[[#This Row],[Usage-Delta-MB]],UnilabUsage[[#This Row],[Free-of-Max]])</f>
        <v>224.84375</v>
      </c>
    </row>
    <row r="614" spans="1:14" x14ac:dyDescent="0.25">
      <c r="A614" s="3">
        <v>44676</v>
      </c>
      <c r="B614" t="s">
        <v>11</v>
      </c>
      <c r="C614">
        <v>1</v>
      </c>
      <c r="D614">
        <v>100</v>
      </c>
      <c r="E614">
        <v>99</v>
      </c>
      <c r="F614">
        <v>1</v>
      </c>
      <c r="G614">
        <v>99</v>
      </c>
      <c r="H614">
        <v>32768</v>
      </c>
      <c r="I614">
        <v>0</v>
      </c>
      <c r="J614" t="s">
        <v>1</v>
      </c>
      <c r="K614" t="s">
        <v>2</v>
      </c>
      <c r="L614" s="8">
        <f>UnilabUsage[[#This Row],[Used-MB]]-F604</f>
        <v>0</v>
      </c>
      <c r="M614">
        <f>UnilabUsage[[#This Row],[Max]]-UnilabUsage[[#This Row],[Used-MB]]</f>
        <v>32767</v>
      </c>
      <c r="N614" s="5">
        <f>IF($L614&gt;0,UnilabUsage[[#This Row],[Free-of-Max]]/UnilabUsage[[#This Row],[Usage-Delta-MB]],UnilabUsage[[#This Row],[Free-of-Max]])</f>
        <v>32767</v>
      </c>
    </row>
    <row r="615" spans="1:14" x14ac:dyDescent="0.25">
      <c r="A615" s="3">
        <v>44676</v>
      </c>
      <c r="B615" t="s">
        <v>6</v>
      </c>
      <c r="C615">
        <v>90</v>
      </c>
      <c r="D615">
        <v>7215</v>
      </c>
      <c r="E615">
        <v>714</v>
      </c>
      <c r="F615">
        <v>6501</v>
      </c>
      <c r="G615">
        <v>10</v>
      </c>
      <c r="H615">
        <v>32768</v>
      </c>
      <c r="I615">
        <v>20</v>
      </c>
      <c r="J615" t="s">
        <v>1</v>
      </c>
      <c r="K615" t="s">
        <v>2</v>
      </c>
      <c r="L615" s="8">
        <f>UnilabUsage[[#This Row],[Used-MB]]-F605</f>
        <v>0</v>
      </c>
      <c r="M615">
        <f>UnilabUsage[[#This Row],[Max]]-UnilabUsage[[#This Row],[Used-MB]]</f>
        <v>26267</v>
      </c>
      <c r="N615" s="5">
        <f>IF($L615&gt;0,UnilabUsage[[#This Row],[Free-of-Max]]/UnilabUsage[[#This Row],[Usage-Delta-MB]],UnilabUsage[[#This Row],[Free-of-Max]])</f>
        <v>26267</v>
      </c>
    </row>
    <row r="616" spans="1:14" x14ac:dyDescent="0.25">
      <c r="A616" s="3">
        <v>44676</v>
      </c>
      <c r="B616" t="s">
        <v>3</v>
      </c>
      <c r="C616">
        <v>98</v>
      </c>
      <c r="D616">
        <v>413248</v>
      </c>
      <c r="E616">
        <v>8815</v>
      </c>
      <c r="F616">
        <v>404433</v>
      </c>
      <c r="G616">
        <v>2</v>
      </c>
      <c r="H616">
        <v>425984</v>
      </c>
      <c r="I616">
        <v>95</v>
      </c>
      <c r="J616" t="s">
        <v>1</v>
      </c>
      <c r="K616" t="s">
        <v>2</v>
      </c>
      <c r="L616" s="8">
        <f>UnilabUsage[[#This Row],[Used-MB]]-F606</f>
        <v>577</v>
      </c>
      <c r="M616">
        <f>UnilabUsage[[#This Row],[Max]]-UnilabUsage[[#This Row],[Used-MB]]</f>
        <v>21551</v>
      </c>
      <c r="N616" s="5">
        <f>IF($L616&gt;0,UnilabUsage[[#This Row],[Free-of-Max]]/UnilabUsage[[#This Row],[Usage-Delta-MB]],UnilabUsage[[#This Row],[Free-of-Max]])</f>
        <v>37.350086655112655</v>
      </c>
    </row>
    <row r="617" spans="1:14" x14ac:dyDescent="0.25">
      <c r="A617" s="3">
        <v>44676</v>
      </c>
      <c r="B617" t="s">
        <v>5</v>
      </c>
      <c r="C617">
        <v>95</v>
      </c>
      <c r="D617">
        <v>19050</v>
      </c>
      <c r="E617">
        <v>923</v>
      </c>
      <c r="F617">
        <v>18127</v>
      </c>
      <c r="G617">
        <v>5</v>
      </c>
      <c r="H617">
        <v>32768</v>
      </c>
      <c r="I617">
        <v>55</v>
      </c>
      <c r="J617" t="s">
        <v>1</v>
      </c>
      <c r="K617" t="s">
        <v>2</v>
      </c>
      <c r="L617" s="8">
        <f>UnilabUsage[[#This Row],[Used-MB]]-F607</f>
        <v>0</v>
      </c>
      <c r="M617">
        <f>UnilabUsage[[#This Row],[Max]]-UnilabUsage[[#This Row],[Used-MB]]</f>
        <v>14641</v>
      </c>
      <c r="N617" s="5">
        <f>IF($L617&gt;0,UnilabUsage[[#This Row],[Free-of-Max]]/UnilabUsage[[#This Row],[Usage-Delta-MB]],UnilabUsage[[#This Row],[Free-of-Max]])</f>
        <v>14641</v>
      </c>
    </row>
    <row r="618" spans="1:14" x14ac:dyDescent="0.25">
      <c r="A618" s="3">
        <v>44676</v>
      </c>
      <c r="B618" t="s">
        <v>8</v>
      </c>
      <c r="C618">
        <v>88</v>
      </c>
      <c r="D618">
        <v>294912</v>
      </c>
      <c r="E618">
        <v>36381</v>
      </c>
      <c r="F618">
        <v>258530</v>
      </c>
      <c r="G618">
        <v>12</v>
      </c>
      <c r="H618">
        <v>294912</v>
      </c>
      <c r="I618">
        <v>88</v>
      </c>
      <c r="J618" t="s">
        <v>1</v>
      </c>
      <c r="K618" t="s">
        <v>2</v>
      </c>
      <c r="L618" s="8">
        <f>UnilabUsage[[#This Row],[Used-MB]]-F608</f>
        <v>424</v>
      </c>
      <c r="M618">
        <f>UnilabUsage[[#This Row],[Max]]-UnilabUsage[[#This Row],[Used-MB]]</f>
        <v>36382</v>
      </c>
      <c r="N618" s="5">
        <f>IF($L618&gt;0,UnilabUsage[[#This Row],[Free-of-Max]]/UnilabUsage[[#This Row],[Usage-Delta-MB]],UnilabUsage[[#This Row],[Free-of-Max]])</f>
        <v>85.806603773584911</v>
      </c>
    </row>
    <row r="619" spans="1:14" x14ac:dyDescent="0.25">
      <c r="A619" s="3">
        <v>44676</v>
      </c>
      <c r="B619" t="s">
        <v>4</v>
      </c>
      <c r="C619">
        <v>96</v>
      </c>
      <c r="D619">
        <v>83925</v>
      </c>
      <c r="E619">
        <v>3056</v>
      </c>
      <c r="F619">
        <v>80869</v>
      </c>
      <c r="G619">
        <v>4</v>
      </c>
      <c r="H619">
        <v>98304</v>
      </c>
      <c r="I619">
        <v>82</v>
      </c>
      <c r="J619" t="s">
        <v>1</v>
      </c>
      <c r="K619" t="s">
        <v>2</v>
      </c>
      <c r="L619" s="8">
        <f>UnilabUsage[[#This Row],[Used-MB]]-F609</f>
        <v>64</v>
      </c>
      <c r="M619">
        <f>UnilabUsage[[#This Row],[Max]]-UnilabUsage[[#This Row],[Used-MB]]</f>
        <v>17435</v>
      </c>
      <c r="N619" s="5">
        <f>IF($L619&gt;0,UnilabUsage[[#This Row],[Free-of-Max]]/UnilabUsage[[#This Row],[Usage-Delta-MB]],UnilabUsage[[#This Row],[Free-of-Max]])</f>
        <v>272.421875</v>
      </c>
    </row>
    <row r="620" spans="1:14" x14ac:dyDescent="0.25">
      <c r="A620" s="3">
        <v>44676</v>
      </c>
      <c r="B620" t="s">
        <v>12</v>
      </c>
      <c r="C620">
        <v>0</v>
      </c>
      <c r="D620">
        <v>30720</v>
      </c>
      <c r="E620">
        <v>30623</v>
      </c>
      <c r="F620">
        <v>97</v>
      </c>
      <c r="G620">
        <v>100</v>
      </c>
      <c r="H620">
        <v>30720</v>
      </c>
      <c r="I620">
        <v>0</v>
      </c>
      <c r="J620" t="s">
        <v>1</v>
      </c>
      <c r="K620" t="s">
        <v>13</v>
      </c>
      <c r="L620" s="8">
        <f>UnilabUsage[[#This Row],[Used-MB]]-F610</f>
        <v>44</v>
      </c>
      <c r="M620">
        <f>UnilabUsage[[#This Row],[Max]]-UnilabUsage[[#This Row],[Used-MB]]</f>
        <v>30623</v>
      </c>
      <c r="N620" s="5">
        <f>IF($L620&gt;0,UnilabUsage[[#This Row],[Free-of-Max]]/UnilabUsage[[#This Row],[Usage-Delta-MB]],UnilabUsage[[#This Row],[Free-of-Max]])</f>
        <v>695.97727272727275</v>
      </c>
    </row>
    <row r="621" spans="1:14" x14ac:dyDescent="0.25">
      <c r="A621" s="3">
        <v>44676</v>
      </c>
      <c r="B621" t="s">
        <v>9</v>
      </c>
      <c r="C621">
        <v>2</v>
      </c>
      <c r="D621">
        <v>10440</v>
      </c>
      <c r="E621">
        <v>10187</v>
      </c>
      <c r="F621">
        <v>253</v>
      </c>
      <c r="G621">
        <v>98</v>
      </c>
      <c r="H621">
        <v>32768</v>
      </c>
      <c r="I621">
        <v>1</v>
      </c>
      <c r="J621" t="s">
        <v>1</v>
      </c>
      <c r="K621" t="s">
        <v>10</v>
      </c>
      <c r="L621" s="8">
        <f>UnilabUsage[[#This Row],[Used-MB]]-F611</f>
        <v>147</v>
      </c>
      <c r="M621">
        <f>UnilabUsage[[#This Row],[Max]]-UnilabUsage[[#This Row],[Used-MB]]</f>
        <v>32515</v>
      </c>
      <c r="N621" s="5">
        <f>IF($L621&gt;0,UnilabUsage[[#This Row],[Free-of-Max]]/UnilabUsage[[#This Row],[Usage-Delta-MB]],UnilabUsage[[#This Row],[Free-of-Max]])</f>
        <v>221.1904761904762</v>
      </c>
    </row>
    <row r="622" spans="1:14" x14ac:dyDescent="0.25">
      <c r="A622" s="3">
        <v>44686</v>
      </c>
      <c r="B622" t="s">
        <v>7</v>
      </c>
      <c r="C622">
        <v>95</v>
      </c>
      <c r="D622">
        <v>1630</v>
      </c>
      <c r="E622">
        <v>83</v>
      </c>
      <c r="F622">
        <v>1547</v>
      </c>
      <c r="G622">
        <v>5</v>
      </c>
      <c r="H622">
        <v>32768</v>
      </c>
      <c r="I622">
        <v>5</v>
      </c>
      <c r="J622" t="s">
        <v>1</v>
      </c>
      <c r="K622" t="s">
        <v>2</v>
      </c>
      <c r="L622" s="8">
        <f>UnilabUsage[[#This Row],[Used-MB]]-F612</f>
        <v>15</v>
      </c>
      <c r="M622">
        <f>UnilabUsage[[#This Row],[Max]]-UnilabUsage[[#This Row],[Used-MB]]</f>
        <v>31221</v>
      </c>
      <c r="N622" s="5">
        <f>IF($L622&gt;0,UnilabUsage[[#This Row],[Free-of-Max]]/UnilabUsage[[#This Row],[Usage-Delta-MB]],UnilabUsage[[#This Row],[Free-of-Max]])</f>
        <v>2081.4</v>
      </c>
    </row>
    <row r="623" spans="1:14" x14ac:dyDescent="0.25">
      <c r="A623" s="3">
        <v>44686</v>
      </c>
      <c r="B623" t="s">
        <v>0</v>
      </c>
      <c r="C623">
        <v>100</v>
      </c>
      <c r="D623">
        <v>18450</v>
      </c>
      <c r="E623">
        <v>7</v>
      </c>
      <c r="F623">
        <v>18443</v>
      </c>
      <c r="G623">
        <v>0</v>
      </c>
      <c r="H623">
        <v>32768</v>
      </c>
      <c r="I623">
        <v>56</v>
      </c>
      <c r="J623" t="s">
        <v>1</v>
      </c>
      <c r="K623" t="s">
        <v>2</v>
      </c>
      <c r="L623" s="8">
        <f>UnilabUsage[[#This Row],[Used-MB]]-F613</f>
        <v>65</v>
      </c>
      <c r="M623">
        <f>UnilabUsage[[#This Row],[Max]]-UnilabUsage[[#This Row],[Used-MB]]</f>
        <v>14325</v>
      </c>
      <c r="N623" s="5">
        <f>IF($L623&gt;0,UnilabUsage[[#This Row],[Free-of-Max]]/UnilabUsage[[#This Row],[Usage-Delta-MB]],UnilabUsage[[#This Row],[Free-of-Max]])</f>
        <v>220.38461538461539</v>
      </c>
    </row>
    <row r="624" spans="1:14" x14ac:dyDescent="0.25">
      <c r="A624" s="3">
        <v>44686</v>
      </c>
      <c r="B624" t="s">
        <v>11</v>
      </c>
      <c r="C624">
        <v>1</v>
      </c>
      <c r="D624">
        <v>100</v>
      </c>
      <c r="E624">
        <v>99</v>
      </c>
      <c r="F624">
        <v>1</v>
      </c>
      <c r="G624">
        <v>99</v>
      </c>
      <c r="H624">
        <v>32768</v>
      </c>
      <c r="I624">
        <v>0</v>
      </c>
      <c r="J624" t="s">
        <v>1</v>
      </c>
      <c r="K624" t="s">
        <v>2</v>
      </c>
      <c r="L624" s="8">
        <f>UnilabUsage[[#This Row],[Used-MB]]-F614</f>
        <v>0</v>
      </c>
      <c r="M624">
        <f>UnilabUsage[[#This Row],[Max]]-UnilabUsage[[#This Row],[Used-MB]]</f>
        <v>32767</v>
      </c>
      <c r="N624" s="5">
        <f>IF($L624&gt;0,UnilabUsage[[#This Row],[Free-of-Max]]/UnilabUsage[[#This Row],[Usage-Delta-MB]],UnilabUsage[[#This Row],[Free-of-Max]])</f>
        <v>32767</v>
      </c>
    </row>
    <row r="625" spans="1:14" x14ac:dyDescent="0.25">
      <c r="A625" s="3">
        <v>44686</v>
      </c>
      <c r="B625" t="s">
        <v>6</v>
      </c>
      <c r="C625">
        <v>91</v>
      </c>
      <c r="D625">
        <v>7215</v>
      </c>
      <c r="E625">
        <v>630</v>
      </c>
      <c r="F625">
        <v>6585</v>
      </c>
      <c r="G625">
        <v>9</v>
      </c>
      <c r="H625">
        <v>32768</v>
      </c>
      <c r="I625">
        <v>20</v>
      </c>
      <c r="J625" t="s">
        <v>1</v>
      </c>
      <c r="K625" t="s">
        <v>2</v>
      </c>
      <c r="L625" s="8">
        <f>UnilabUsage[[#This Row],[Used-MB]]-F615</f>
        <v>84</v>
      </c>
      <c r="M625">
        <f>UnilabUsage[[#This Row],[Max]]-UnilabUsage[[#This Row],[Used-MB]]</f>
        <v>26183</v>
      </c>
      <c r="N625" s="5">
        <f>IF($L625&gt;0,UnilabUsage[[#This Row],[Free-of-Max]]/UnilabUsage[[#This Row],[Usage-Delta-MB]],UnilabUsage[[#This Row],[Free-of-Max]])</f>
        <v>311.70238095238096</v>
      </c>
    </row>
    <row r="626" spans="1:14" x14ac:dyDescent="0.25">
      <c r="A626" s="3">
        <v>44686</v>
      </c>
      <c r="B626" t="s">
        <v>3</v>
      </c>
      <c r="C626">
        <v>98</v>
      </c>
      <c r="D626">
        <v>413248</v>
      </c>
      <c r="E626">
        <v>8132</v>
      </c>
      <c r="F626">
        <v>405116</v>
      </c>
      <c r="G626">
        <v>2</v>
      </c>
      <c r="H626">
        <v>425984</v>
      </c>
      <c r="I626">
        <v>95</v>
      </c>
      <c r="J626" t="s">
        <v>1</v>
      </c>
      <c r="K626" t="s">
        <v>2</v>
      </c>
      <c r="L626" s="8">
        <f>UnilabUsage[[#This Row],[Used-MB]]-F616</f>
        <v>683</v>
      </c>
      <c r="M626">
        <f>UnilabUsage[[#This Row],[Max]]-UnilabUsage[[#This Row],[Used-MB]]</f>
        <v>20868</v>
      </c>
      <c r="N626" s="5">
        <f>IF($L626&gt;0,UnilabUsage[[#This Row],[Free-of-Max]]/UnilabUsage[[#This Row],[Usage-Delta-MB]],UnilabUsage[[#This Row],[Free-of-Max]])</f>
        <v>30.553440702781845</v>
      </c>
    </row>
    <row r="627" spans="1:14" x14ac:dyDescent="0.25">
      <c r="A627" s="3">
        <v>44686</v>
      </c>
      <c r="B627" t="s">
        <v>5</v>
      </c>
      <c r="C627">
        <v>95</v>
      </c>
      <c r="D627">
        <v>19300</v>
      </c>
      <c r="E627">
        <v>963</v>
      </c>
      <c r="F627">
        <v>18337</v>
      </c>
      <c r="G627">
        <v>5</v>
      </c>
      <c r="H627">
        <v>32768</v>
      </c>
      <c r="I627">
        <v>56</v>
      </c>
      <c r="J627" t="s">
        <v>1</v>
      </c>
      <c r="K627" t="s">
        <v>2</v>
      </c>
      <c r="L627" s="8">
        <f>UnilabUsage[[#This Row],[Used-MB]]-F617</f>
        <v>210</v>
      </c>
      <c r="M627">
        <f>UnilabUsage[[#This Row],[Max]]-UnilabUsage[[#This Row],[Used-MB]]</f>
        <v>14431</v>
      </c>
      <c r="N627" s="5">
        <f>IF($L627&gt;0,UnilabUsage[[#This Row],[Free-of-Max]]/UnilabUsage[[#This Row],[Usage-Delta-MB]],UnilabUsage[[#This Row],[Free-of-Max]])</f>
        <v>68.719047619047615</v>
      </c>
    </row>
    <row r="628" spans="1:14" x14ac:dyDescent="0.25">
      <c r="A628" s="3">
        <v>44686</v>
      </c>
      <c r="B628" t="s">
        <v>8</v>
      </c>
      <c r="C628">
        <v>88</v>
      </c>
      <c r="D628">
        <v>294912</v>
      </c>
      <c r="E628">
        <v>35675</v>
      </c>
      <c r="F628">
        <v>259237</v>
      </c>
      <c r="G628">
        <v>12</v>
      </c>
      <c r="H628">
        <v>294912</v>
      </c>
      <c r="I628">
        <v>88</v>
      </c>
      <c r="J628" t="s">
        <v>1</v>
      </c>
      <c r="K628" t="s">
        <v>2</v>
      </c>
      <c r="L628" s="8">
        <f>UnilabUsage[[#This Row],[Used-MB]]-F618</f>
        <v>707</v>
      </c>
      <c r="M628">
        <f>UnilabUsage[[#This Row],[Max]]-UnilabUsage[[#This Row],[Used-MB]]</f>
        <v>35675</v>
      </c>
      <c r="N628" s="5">
        <f>IF($L628&gt;0,UnilabUsage[[#This Row],[Free-of-Max]]/UnilabUsage[[#This Row],[Usage-Delta-MB]],UnilabUsage[[#This Row],[Free-of-Max]])</f>
        <v>50.459688826025463</v>
      </c>
    </row>
    <row r="629" spans="1:14" x14ac:dyDescent="0.25">
      <c r="A629" s="3">
        <v>44686</v>
      </c>
      <c r="B629" t="s">
        <v>4</v>
      </c>
      <c r="C629">
        <v>97</v>
      </c>
      <c r="D629">
        <v>83925</v>
      </c>
      <c r="E629">
        <v>2928</v>
      </c>
      <c r="F629">
        <v>80997</v>
      </c>
      <c r="G629">
        <v>3</v>
      </c>
      <c r="H629">
        <v>98304</v>
      </c>
      <c r="I629">
        <v>82</v>
      </c>
      <c r="J629" t="s">
        <v>1</v>
      </c>
      <c r="K629" t="s">
        <v>2</v>
      </c>
      <c r="L629" s="8">
        <f>UnilabUsage[[#This Row],[Used-MB]]-F619</f>
        <v>128</v>
      </c>
      <c r="M629">
        <f>UnilabUsage[[#This Row],[Max]]-UnilabUsage[[#This Row],[Used-MB]]</f>
        <v>17307</v>
      </c>
      <c r="N629" s="5">
        <f>IF($L629&gt;0,UnilabUsage[[#This Row],[Free-of-Max]]/UnilabUsage[[#This Row],[Usage-Delta-MB]],UnilabUsage[[#This Row],[Free-of-Max]])</f>
        <v>135.2109375</v>
      </c>
    </row>
    <row r="630" spans="1:14" x14ac:dyDescent="0.25">
      <c r="A630" s="3">
        <v>44686</v>
      </c>
      <c r="B630" t="s">
        <v>12</v>
      </c>
      <c r="C630">
        <v>0</v>
      </c>
      <c r="D630">
        <v>30720</v>
      </c>
      <c r="E630">
        <v>30650</v>
      </c>
      <c r="F630">
        <v>70</v>
      </c>
      <c r="G630">
        <v>100</v>
      </c>
      <c r="H630">
        <v>30720</v>
      </c>
      <c r="I630">
        <v>0</v>
      </c>
      <c r="J630" t="s">
        <v>1</v>
      </c>
      <c r="K630" t="s">
        <v>13</v>
      </c>
      <c r="L630" s="8">
        <f>UnilabUsage[[#This Row],[Used-MB]]-F620</f>
        <v>-27</v>
      </c>
      <c r="M630">
        <f>UnilabUsage[[#This Row],[Max]]-UnilabUsage[[#This Row],[Used-MB]]</f>
        <v>30650</v>
      </c>
      <c r="N630" s="5">
        <f>IF($L630&gt;0,UnilabUsage[[#This Row],[Free-of-Max]]/UnilabUsage[[#This Row],[Usage-Delta-MB]],UnilabUsage[[#This Row],[Free-of-Max]])</f>
        <v>30650</v>
      </c>
    </row>
    <row r="631" spans="1:14" x14ac:dyDescent="0.25">
      <c r="A631" s="3">
        <v>44686</v>
      </c>
      <c r="B631" t="s">
        <v>9</v>
      </c>
      <c r="C631">
        <v>2</v>
      </c>
      <c r="D631">
        <v>10440</v>
      </c>
      <c r="E631">
        <v>10238</v>
      </c>
      <c r="F631">
        <v>202</v>
      </c>
      <c r="G631">
        <v>98</v>
      </c>
      <c r="H631">
        <v>32768</v>
      </c>
      <c r="I631">
        <v>1</v>
      </c>
      <c r="J631" t="s">
        <v>1</v>
      </c>
      <c r="K631" t="s">
        <v>10</v>
      </c>
      <c r="L631" s="8">
        <f>UnilabUsage[[#This Row],[Used-MB]]-F621</f>
        <v>-51</v>
      </c>
      <c r="M631">
        <f>UnilabUsage[[#This Row],[Max]]-UnilabUsage[[#This Row],[Used-MB]]</f>
        <v>32566</v>
      </c>
      <c r="N631" s="5">
        <f>IF($L631&gt;0,UnilabUsage[[#This Row],[Free-of-Max]]/UnilabUsage[[#This Row],[Usage-Delta-MB]],UnilabUsage[[#This Row],[Free-of-Max]])</f>
        <v>32566</v>
      </c>
    </row>
    <row r="632" spans="1:14" x14ac:dyDescent="0.25">
      <c r="A632" s="3">
        <v>44690</v>
      </c>
      <c r="B632" t="s">
        <v>7</v>
      </c>
      <c r="C632">
        <v>95</v>
      </c>
      <c r="D632">
        <v>1630</v>
      </c>
      <c r="E632">
        <v>74</v>
      </c>
      <c r="F632">
        <v>1556</v>
      </c>
      <c r="G632">
        <v>5</v>
      </c>
      <c r="H632">
        <v>32768</v>
      </c>
      <c r="I632">
        <v>5</v>
      </c>
      <c r="J632" t="s">
        <v>1</v>
      </c>
      <c r="K632" t="s">
        <v>2</v>
      </c>
      <c r="L632" s="8">
        <f>UnilabUsage[[#This Row],[Used-MB]]-F622</f>
        <v>9</v>
      </c>
      <c r="M632">
        <f>UnilabUsage[[#This Row],[Max]]-UnilabUsage[[#This Row],[Used-MB]]</f>
        <v>31212</v>
      </c>
      <c r="N632" s="5">
        <f>IF($L632&gt;0,UnilabUsage[[#This Row],[Free-of-Max]]/UnilabUsage[[#This Row],[Usage-Delta-MB]],UnilabUsage[[#This Row],[Free-of-Max]])</f>
        <v>3468</v>
      </c>
    </row>
    <row r="633" spans="1:14" x14ac:dyDescent="0.25">
      <c r="A633" s="3">
        <v>44690</v>
      </c>
      <c r="B633" t="s">
        <v>0</v>
      </c>
      <c r="C633">
        <v>100</v>
      </c>
      <c r="D633">
        <v>18550</v>
      </c>
      <c r="E633">
        <v>43</v>
      </c>
      <c r="F633">
        <v>18507</v>
      </c>
      <c r="G633">
        <v>0</v>
      </c>
      <c r="H633">
        <v>32768</v>
      </c>
      <c r="I633">
        <v>56</v>
      </c>
      <c r="J633" t="s">
        <v>1</v>
      </c>
      <c r="K633" t="s">
        <v>2</v>
      </c>
      <c r="L633" s="8">
        <f>UnilabUsage[[#This Row],[Used-MB]]-F623</f>
        <v>64</v>
      </c>
      <c r="M633">
        <f>UnilabUsage[[#This Row],[Max]]-UnilabUsage[[#This Row],[Used-MB]]</f>
        <v>14261</v>
      </c>
      <c r="N633" s="5">
        <f>IF($L633&gt;0,UnilabUsage[[#This Row],[Free-of-Max]]/UnilabUsage[[#This Row],[Usage-Delta-MB]],UnilabUsage[[#This Row],[Free-of-Max]])</f>
        <v>222.828125</v>
      </c>
    </row>
    <row r="634" spans="1:14" x14ac:dyDescent="0.25">
      <c r="A634" s="3">
        <v>44690</v>
      </c>
      <c r="B634" t="s">
        <v>11</v>
      </c>
      <c r="C634">
        <v>1</v>
      </c>
      <c r="D634">
        <v>100</v>
      </c>
      <c r="E634">
        <v>99</v>
      </c>
      <c r="F634">
        <v>1</v>
      </c>
      <c r="G634">
        <v>99</v>
      </c>
      <c r="H634">
        <v>32768</v>
      </c>
      <c r="I634">
        <v>0</v>
      </c>
      <c r="J634" t="s">
        <v>1</v>
      </c>
      <c r="K634" t="s">
        <v>2</v>
      </c>
      <c r="L634" s="8">
        <f>UnilabUsage[[#This Row],[Used-MB]]-F624</f>
        <v>0</v>
      </c>
      <c r="M634">
        <f>UnilabUsage[[#This Row],[Max]]-UnilabUsage[[#This Row],[Used-MB]]</f>
        <v>32767</v>
      </c>
      <c r="N634" s="5">
        <f>IF($L634&gt;0,UnilabUsage[[#This Row],[Free-of-Max]]/UnilabUsage[[#This Row],[Usage-Delta-MB]],UnilabUsage[[#This Row],[Free-of-Max]])</f>
        <v>32767</v>
      </c>
    </row>
    <row r="635" spans="1:14" x14ac:dyDescent="0.25">
      <c r="A635" s="3">
        <v>44690</v>
      </c>
      <c r="B635" t="s">
        <v>6</v>
      </c>
      <c r="C635">
        <v>91</v>
      </c>
      <c r="D635">
        <v>7215</v>
      </c>
      <c r="E635">
        <v>630</v>
      </c>
      <c r="F635">
        <v>6585</v>
      </c>
      <c r="G635">
        <v>9</v>
      </c>
      <c r="H635">
        <v>32768</v>
      </c>
      <c r="I635">
        <v>20</v>
      </c>
      <c r="J635" t="s">
        <v>1</v>
      </c>
      <c r="K635" t="s">
        <v>2</v>
      </c>
      <c r="L635" s="8">
        <f>UnilabUsage[[#This Row],[Used-MB]]-F625</f>
        <v>0</v>
      </c>
      <c r="M635">
        <f>UnilabUsage[[#This Row],[Max]]-UnilabUsage[[#This Row],[Used-MB]]</f>
        <v>26183</v>
      </c>
      <c r="N635" s="5">
        <f>IF($L635&gt;0,UnilabUsage[[#This Row],[Free-of-Max]]/UnilabUsage[[#This Row],[Usage-Delta-MB]],UnilabUsage[[#This Row],[Free-of-Max]])</f>
        <v>26183</v>
      </c>
    </row>
    <row r="636" spans="1:14" x14ac:dyDescent="0.25">
      <c r="A636" s="3">
        <v>44690</v>
      </c>
      <c r="B636" t="s">
        <v>3</v>
      </c>
      <c r="C636">
        <v>98</v>
      </c>
      <c r="D636">
        <v>413248</v>
      </c>
      <c r="E636">
        <v>7868</v>
      </c>
      <c r="F636">
        <v>405380</v>
      </c>
      <c r="G636">
        <v>2</v>
      </c>
      <c r="H636">
        <v>425984</v>
      </c>
      <c r="I636">
        <v>95</v>
      </c>
      <c r="J636" t="s">
        <v>1</v>
      </c>
      <c r="K636" t="s">
        <v>2</v>
      </c>
      <c r="L636" s="8">
        <f>UnilabUsage[[#This Row],[Used-MB]]-F626</f>
        <v>264</v>
      </c>
      <c r="M636">
        <f>UnilabUsage[[#This Row],[Max]]-UnilabUsage[[#This Row],[Used-MB]]</f>
        <v>20604</v>
      </c>
      <c r="N636" s="5">
        <f>IF($L636&gt;0,UnilabUsage[[#This Row],[Free-of-Max]]/UnilabUsage[[#This Row],[Usage-Delta-MB]],UnilabUsage[[#This Row],[Free-of-Max]])</f>
        <v>78.045454545454547</v>
      </c>
    </row>
    <row r="637" spans="1:14" x14ac:dyDescent="0.25">
      <c r="A637" s="3">
        <v>44690</v>
      </c>
      <c r="B637" t="s">
        <v>5</v>
      </c>
      <c r="C637">
        <v>95</v>
      </c>
      <c r="D637">
        <v>19300</v>
      </c>
      <c r="E637">
        <v>963</v>
      </c>
      <c r="F637">
        <v>18337</v>
      </c>
      <c r="G637">
        <v>5</v>
      </c>
      <c r="H637">
        <v>32768</v>
      </c>
      <c r="I637">
        <v>56</v>
      </c>
      <c r="J637" t="s">
        <v>1</v>
      </c>
      <c r="K637" t="s">
        <v>2</v>
      </c>
      <c r="L637" s="8">
        <f>UnilabUsage[[#This Row],[Used-MB]]-F627</f>
        <v>0</v>
      </c>
      <c r="M637">
        <f>UnilabUsage[[#This Row],[Max]]-UnilabUsage[[#This Row],[Used-MB]]</f>
        <v>14431</v>
      </c>
      <c r="N637" s="5">
        <f>IF($L637&gt;0,UnilabUsage[[#This Row],[Free-of-Max]]/UnilabUsage[[#This Row],[Usage-Delta-MB]],UnilabUsage[[#This Row],[Free-of-Max]])</f>
        <v>14431</v>
      </c>
    </row>
    <row r="638" spans="1:14" x14ac:dyDescent="0.25">
      <c r="A638" s="3">
        <v>44690</v>
      </c>
      <c r="B638" t="s">
        <v>8</v>
      </c>
      <c r="C638">
        <v>88</v>
      </c>
      <c r="D638">
        <v>294912</v>
      </c>
      <c r="E638">
        <v>35450</v>
      </c>
      <c r="F638">
        <v>259462</v>
      </c>
      <c r="G638">
        <v>12</v>
      </c>
      <c r="H638">
        <v>294912</v>
      </c>
      <c r="I638">
        <v>88</v>
      </c>
      <c r="J638" t="s">
        <v>1</v>
      </c>
      <c r="K638" t="s">
        <v>2</v>
      </c>
      <c r="L638" s="8">
        <f>UnilabUsage[[#This Row],[Used-MB]]-F628</f>
        <v>225</v>
      </c>
      <c r="M638">
        <f>UnilabUsage[[#This Row],[Max]]-UnilabUsage[[#This Row],[Used-MB]]</f>
        <v>35450</v>
      </c>
      <c r="N638" s="5">
        <f>IF($L638&gt;0,UnilabUsage[[#This Row],[Free-of-Max]]/UnilabUsage[[#This Row],[Usage-Delta-MB]],UnilabUsage[[#This Row],[Free-of-Max]])</f>
        <v>157.55555555555554</v>
      </c>
    </row>
    <row r="639" spans="1:14" x14ac:dyDescent="0.25">
      <c r="A639" s="3">
        <v>44690</v>
      </c>
      <c r="B639" t="s">
        <v>4</v>
      </c>
      <c r="C639">
        <v>97</v>
      </c>
      <c r="D639">
        <v>83925</v>
      </c>
      <c r="E639">
        <v>2800</v>
      </c>
      <c r="F639">
        <v>81125</v>
      </c>
      <c r="G639">
        <v>3</v>
      </c>
      <c r="H639">
        <v>98304</v>
      </c>
      <c r="I639">
        <v>83</v>
      </c>
      <c r="J639" t="s">
        <v>1</v>
      </c>
      <c r="K639" t="s">
        <v>2</v>
      </c>
      <c r="L639" s="8">
        <f>UnilabUsage[[#This Row],[Used-MB]]-F629</f>
        <v>128</v>
      </c>
      <c r="M639">
        <f>UnilabUsage[[#This Row],[Max]]-UnilabUsage[[#This Row],[Used-MB]]</f>
        <v>17179</v>
      </c>
      <c r="N639" s="5">
        <f>IF($L639&gt;0,UnilabUsage[[#This Row],[Free-of-Max]]/UnilabUsage[[#This Row],[Usage-Delta-MB]],UnilabUsage[[#This Row],[Free-of-Max]])</f>
        <v>134.2109375</v>
      </c>
    </row>
    <row r="640" spans="1:14" x14ac:dyDescent="0.25">
      <c r="A640" s="3">
        <v>44690</v>
      </c>
      <c r="B640" t="s">
        <v>12</v>
      </c>
      <c r="C640">
        <v>0</v>
      </c>
      <c r="D640">
        <v>30720</v>
      </c>
      <c r="E640">
        <v>30622</v>
      </c>
      <c r="F640">
        <v>98</v>
      </c>
      <c r="G640">
        <v>100</v>
      </c>
      <c r="H640">
        <v>30720</v>
      </c>
      <c r="I640">
        <v>0</v>
      </c>
      <c r="J640" t="s">
        <v>1</v>
      </c>
      <c r="K640" t="s">
        <v>13</v>
      </c>
      <c r="L640" s="8">
        <f>UnilabUsage[[#This Row],[Used-MB]]-F630</f>
        <v>28</v>
      </c>
      <c r="M640">
        <f>UnilabUsage[[#This Row],[Max]]-UnilabUsage[[#This Row],[Used-MB]]</f>
        <v>30622</v>
      </c>
      <c r="N640" s="5">
        <f>IF($L640&gt;0,UnilabUsage[[#This Row],[Free-of-Max]]/UnilabUsage[[#This Row],[Usage-Delta-MB]],UnilabUsage[[#This Row],[Free-of-Max]])</f>
        <v>1093.6428571428571</v>
      </c>
    </row>
    <row r="641" spans="1:14" x14ac:dyDescent="0.25">
      <c r="A641" s="3">
        <v>44690</v>
      </c>
      <c r="B641" t="s">
        <v>9</v>
      </c>
      <c r="C641">
        <v>2</v>
      </c>
      <c r="D641">
        <v>10440</v>
      </c>
      <c r="E641">
        <v>10253</v>
      </c>
      <c r="F641">
        <v>187</v>
      </c>
      <c r="G641">
        <v>98</v>
      </c>
      <c r="H641">
        <v>32768</v>
      </c>
      <c r="I641">
        <v>1</v>
      </c>
      <c r="J641" t="s">
        <v>1</v>
      </c>
      <c r="K641" t="s">
        <v>10</v>
      </c>
      <c r="L641" s="8">
        <f>UnilabUsage[[#This Row],[Used-MB]]-F631</f>
        <v>-15</v>
      </c>
      <c r="M641">
        <f>UnilabUsage[[#This Row],[Max]]-UnilabUsage[[#This Row],[Used-MB]]</f>
        <v>32581</v>
      </c>
      <c r="N641" s="5">
        <f>IF($L641&gt;0,UnilabUsage[[#This Row],[Free-of-Max]]/UnilabUsage[[#This Row],[Usage-Delta-MB]],UnilabUsage[[#This Row],[Free-of-Max]])</f>
        <v>32581</v>
      </c>
    </row>
    <row r="642" spans="1:14" x14ac:dyDescent="0.25">
      <c r="A642" s="3">
        <v>44697</v>
      </c>
      <c r="B642" t="s">
        <v>7</v>
      </c>
      <c r="C642">
        <v>96</v>
      </c>
      <c r="D642">
        <v>1630</v>
      </c>
      <c r="E642">
        <v>73</v>
      </c>
      <c r="F642">
        <v>1557</v>
      </c>
      <c r="G642">
        <v>4</v>
      </c>
      <c r="H642">
        <v>32768</v>
      </c>
      <c r="I642">
        <v>5</v>
      </c>
      <c r="J642" t="s">
        <v>1</v>
      </c>
      <c r="K642" t="s">
        <v>2</v>
      </c>
      <c r="L642" s="8">
        <f>UnilabUsage[[#This Row],[Used-MB]]-F632</f>
        <v>1</v>
      </c>
      <c r="M642">
        <f>UnilabUsage[[#This Row],[Max]]-UnilabUsage[[#This Row],[Used-MB]]</f>
        <v>31211</v>
      </c>
      <c r="N642" s="5">
        <f>IF($L642&gt;0,UnilabUsage[[#This Row],[Free-of-Max]]/UnilabUsage[[#This Row],[Usage-Delta-MB]],UnilabUsage[[#This Row],[Free-of-Max]])</f>
        <v>31211</v>
      </c>
    </row>
    <row r="643" spans="1:14" x14ac:dyDescent="0.25">
      <c r="A643" s="3">
        <v>44697</v>
      </c>
      <c r="B643" t="s">
        <v>0</v>
      </c>
      <c r="C643">
        <v>100</v>
      </c>
      <c r="D643">
        <v>18650</v>
      </c>
      <c r="E643">
        <v>79</v>
      </c>
      <c r="F643">
        <v>18571</v>
      </c>
      <c r="G643">
        <v>0</v>
      </c>
      <c r="H643">
        <v>32768</v>
      </c>
      <c r="I643">
        <v>57</v>
      </c>
      <c r="J643" t="s">
        <v>1</v>
      </c>
      <c r="K643" t="s">
        <v>2</v>
      </c>
      <c r="L643" s="8">
        <f>UnilabUsage[[#This Row],[Used-MB]]-F633</f>
        <v>64</v>
      </c>
      <c r="M643">
        <f>UnilabUsage[[#This Row],[Max]]-UnilabUsage[[#This Row],[Used-MB]]</f>
        <v>14197</v>
      </c>
      <c r="N643" s="5">
        <f>IF($L643&gt;0,UnilabUsage[[#This Row],[Free-of-Max]]/UnilabUsage[[#This Row],[Usage-Delta-MB]],UnilabUsage[[#This Row],[Free-of-Max]])</f>
        <v>221.828125</v>
      </c>
    </row>
    <row r="644" spans="1:14" x14ac:dyDescent="0.25">
      <c r="A644" s="3">
        <v>44697</v>
      </c>
      <c r="B644" t="s">
        <v>11</v>
      </c>
      <c r="C644">
        <v>1</v>
      </c>
      <c r="D644">
        <v>100</v>
      </c>
      <c r="E644">
        <v>99</v>
      </c>
      <c r="F644">
        <v>1</v>
      </c>
      <c r="G644">
        <v>99</v>
      </c>
      <c r="H644">
        <v>32768</v>
      </c>
      <c r="I644">
        <v>0</v>
      </c>
      <c r="J644" t="s">
        <v>1</v>
      </c>
      <c r="K644" t="s">
        <v>2</v>
      </c>
      <c r="L644" s="8">
        <f>UnilabUsage[[#This Row],[Used-MB]]-F634</f>
        <v>0</v>
      </c>
      <c r="M644">
        <f>UnilabUsage[[#This Row],[Max]]-UnilabUsage[[#This Row],[Used-MB]]</f>
        <v>32767</v>
      </c>
      <c r="N644" s="5">
        <f>IF($L644&gt;0,UnilabUsage[[#This Row],[Free-of-Max]]/UnilabUsage[[#This Row],[Usage-Delta-MB]],UnilabUsage[[#This Row],[Free-of-Max]])</f>
        <v>32767</v>
      </c>
    </row>
    <row r="645" spans="1:14" x14ac:dyDescent="0.25">
      <c r="A645" s="3">
        <v>44697</v>
      </c>
      <c r="B645" t="s">
        <v>6</v>
      </c>
      <c r="C645">
        <v>92</v>
      </c>
      <c r="D645">
        <v>7215</v>
      </c>
      <c r="E645">
        <v>605</v>
      </c>
      <c r="F645">
        <v>6610</v>
      </c>
      <c r="G645">
        <v>8</v>
      </c>
      <c r="H645">
        <v>32768</v>
      </c>
      <c r="I645">
        <v>20</v>
      </c>
      <c r="J645" t="s">
        <v>1</v>
      </c>
      <c r="K645" t="s">
        <v>2</v>
      </c>
      <c r="L645" s="8">
        <f>UnilabUsage[[#This Row],[Used-MB]]-F635</f>
        <v>25</v>
      </c>
      <c r="M645">
        <f>UnilabUsage[[#This Row],[Max]]-UnilabUsage[[#This Row],[Used-MB]]</f>
        <v>26158</v>
      </c>
      <c r="N645" s="5">
        <f>IF($L645&gt;0,UnilabUsage[[#This Row],[Free-of-Max]]/UnilabUsage[[#This Row],[Usage-Delta-MB]],UnilabUsage[[#This Row],[Free-of-Max]])</f>
        <v>1046.32</v>
      </c>
    </row>
    <row r="646" spans="1:14" x14ac:dyDescent="0.25">
      <c r="A646" s="3">
        <v>44697</v>
      </c>
      <c r="B646" t="s">
        <v>3</v>
      </c>
      <c r="C646">
        <v>98</v>
      </c>
      <c r="D646">
        <v>413248</v>
      </c>
      <c r="E646">
        <v>7371</v>
      </c>
      <c r="F646">
        <v>405876</v>
      </c>
      <c r="G646">
        <v>2</v>
      </c>
      <c r="H646">
        <v>425984</v>
      </c>
      <c r="I646">
        <v>95</v>
      </c>
      <c r="J646" t="s">
        <v>1</v>
      </c>
      <c r="K646" t="s">
        <v>2</v>
      </c>
      <c r="L646" s="8">
        <f>UnilabUsage[[#This Row],[Used-MB]]-F636</f>
        <v>496</v>
      </c>
      <c r="M646">
        <f>UnilabUsage[[#This Row],[Max]]-UnilabUsage[[#This Row],[Used-MB]]</f>
        <v>20108</v>
      </c>
      <c r="N646" s="5">
        <f>IF($L646&gt;0,UnilabUsage[[#This Row],[Free-of-Max]]/UnilabUsage[[#This Row],[Usage-Delta-MB]],UnilabUsage[[#This Row],[Free-of-Max]])</f>
        <v>40.54032258064516</v>
      </c>
    </row>
    <row r="647" spans="1:14" x14ac:dyDescent="0.25">
      <c r="A647" s="3">
        <v>44697</v>
      </c>
      <c r="B647" t="s">
        <v>5</v>
      </c>
      <c r="C647">
        <v>95</v>
      </c>
      <c r="D647">
        <v>19400</v>
      </c>
      <c r="E647">
        <v>928</v>
      </c>
      <c r="F647">
        <v>18472</v>
      </c>
      <c r="G647">
        <v>5</v>
      </c>
      <c r="H647">
        <v>32768</v>
      </c>
      <c r="I647">
        <v>56</v>
      </c>
      <c r="J647" t="s">
        <v>1</v>
      </c>
      <c r="K647" t="s">
        <v>2</v>
      </c>
      <c r="L647" s="8">
        <f>UnilabUsage[[#This Row],[Used-MB]]-F637</f>
        <v>135</v>
      </c>
      <c r="M647">
        <f>UnilabUsage[[#This Row],[Max]]-UnilabUsage[[#This Row],[Used-MB]]</f>
        <v>14296</v>
      </c>
      <c r="N647" s="5">
        <f>IF($L647&gt;0,UnilabUsage[[#This Row],[Free-of-Max]]/UnilabUsage[[#This Row],[Usage-Delta-MB]],UnilabUsage[[#This Row],[Free-of-Max]])</f>
        <v>105.8962962962963</v>
      </c>
    </row>
    <row r="648" spans="1:14" x14ac:dyDescent="0.25">
      <c r="A648" s="3">
        <v>44697</v>
      </c>
      <c r="B648" t="s">
        <v>8</v>
      </c>
      <c r="C648">
        <v>88</v>
      </c>
      <c r="D648">
        <v>294912</v>
      </c>
      <c r="E648">
        <v>35086</v>
      </c>
      <c r="F648">
        <v>259826</v>
      </c>
      <c r="G648">
        <v>12</v>
      </c>
      <c r="H648">
        <v>294912</v>
      </c>
      <c r="I648">
        <v>88</v>
      </c>
      <c r="J648" t="s">
        <v>1</v>
      </c>
      <c r="K648" t="s">
        <v>2</v>
      </c>
      <c r="L648" s="8">
        <f>UnilabUsage[[#This Row],[Used-MB]]-F638</f>
        <v>364</v>
      </c>
      <c r="M648">
        <f>UnilabUsage[[#This Row],[Max]]-UnilabUsage[[#This Row],[Used-MB]]</f>
        <v>35086</v>
      </c>
      <c r="N648" s="5">
        <f>IF($L648&gt;0,UnilabUsage[[#This Row],[Free-of-Max]]/UnilabUsage[[#This Row],[Usage-Delta-MB]],UnilabUsage[[#This Row],[Free-of-Max]])</f>
        <v>96.390109890109883</v>
      </c>
    </row>
    <row r="649" spans="1:14" x14ac:dyDescent="0.25">
      <c r="A649" s="3">
        <v>44697</v>
      </c>
      <c r="B649" t="s">
        <v>4</v>
      </c>
      <c r="C649">
        <v>97</v>
      </c>
      <c r="D649">
        <v>83925</v>
      </c>
      <c r="E649">
        <v>2672</v>
      </c>
      <c r="F649">
        <v>81253</v>
      </c>
      <c r="G649">
        <v>3</v>
      </c>
      <c r="H649">
        <v>98304</v>
      </c>
      <c r="I649">
        <v>83</v>
      </c>
      <c r="J649" t="s">
        <v>1</v>
      </c>
      <c r="K649" t="s">
        <v>2</v>
      </c>
      <c r="L649" s="8">
        <f>UnilabUsage[[#This Row],[Used-MB]]-F639</f>
        <v>128</v>
      </c>
      <c r="M649">
        <f>UnilabUsage[[#This Row],[Max]]-UnilabUsage[[#This Row],[Used-MB]]</f>
        <v>17051</v>
      </c>
      <c r="N649" s="5">
        <f>IF($L649&gt;0,UnilabUsage[[#This Row],[Free-of-Max]]/UnilabUsage[[#This Row],[Usage-Delta-MB]],UnilabUsage[[#This Row],[Free-of-Max]])</f>
        <v>133.2109375</v>
      </c>
    </row>
    <row r="650" spans="1:14" x14ac:dyDescent="0.25">
      <c r="A650" s="3">
        <v>44697</v>
      </c>
      <c r="B650" t="s">
        <v>12</v>
      </c>
      <c r="C650">
        <v>0</v>
      </c>
      <c r="D650">
        <v>30720</v>
      </c>
      <c r="E650">
        <v>30657</v>
      </c>
      <c r="F650">
        <v>63</v>
      </c>
      <c r="G650">
        <v>100</v>
      </c>
      <c r="H650">
        <v>30720</v>
      </c>
      <c r="I650">
        <v>0</v>
      </c>
      <c r="J650" t="s">
        <v>1</v>
      </c>
      <c r="K650" t="s">
        <v>13</v>
      </c>
      <c r="L650" s="8">
        <f>UnilabUsage[[#This Row],[Used-MB]]-F640</f>
        <v>-35</v>
      </c>
      <c r="M650">
        <f>UnilabUsage[[#This Row],[Max]]-UnilabUsage[[#This Row],[Used-MB]]</f>
        <v>30657</v>
      </c>
      <c r="N650" s="5">
        <f>IF($L650&gt;0,UnilabUsage[[#This Row],[Free-of-Max]]/UnilabUsage[[#This Row],[Usage-Delta-MB]],UnilabUsage[[#This Row],[Free-of-Max]])</f>
        <v>30657</v>
      </c>
    </row>
    <row r="651" spans="1:14" x14ac:dyDescent="0.25">
      <c r="A651" s="3">
        <v>44697</v>
      </c>
      <c r="B651" t="s">
        <v>9</v>
      </c>
      <c r="C651">
        <v>2</v>
      </c>
      <c r="D651">
        <v>10440</v>
      </c>
      <c r="E651">
        <v>10230</v>
      </c>
      <c r="F651">
        <v>210</v>
      </c>
      <c r="G651">
        <v>98</v>
      </c>
      <c r="H651">
        <v>32768</v>
      </c>
      <c r="I651">
        <v>1</v>
      </c>
      <c r="J651" t="s">
        <v>1</v>
      </c>
      <c r="K651" t="s">
        <v>10</v>
      </c>
      <c r="L651" s="8">
        <f>UnilabUsage[[#This Row],[Used-MB]]-F641</f>
        <v>23</v>
      </c>
      <c r="M651">
        <f>UnilabUsage[[#This Row],[Max]]-UnilabUsage[[#This Row],[Used-MB]]</f>
        <v>32558</v>
      </c>
      <c r="N651" s="5">
        <f>IF($L651&gt;0,UnilabUsage[[#This Row],[Free-of-Max]]/UnilabUsage[[#This Row],[Usage-Delta-MB]],UnilabUsage[[#This Row],[Free-of-Max]])</f>
        <v>1415.5652173913043</v>
      </c>
    </row>
    <row r="652" spans="1:14" x14ac:dyDescent="0.25">
      <c r="A652" s="3">
        <v>44705</v>
      </c>
      <c r="B652" t="s">
        <v>7</v>
      </c>
      <c r="C652">
        <v>95</v>
      </c>
      <c r="D652">
        <v>1650</v>
      </c>
      <c r="E652">
        <v>90</v>
      </c>
      <c r="F652">
        <v>1560</v>
      </c>
      <c r="G652">
        <v>5</v>
      </c>
      <c r="H652">
        <v>32768</v>
      </c>
      <c r="I652">
        <v>5</v>
      </c>
      <c r="J652" t="s">
        <v>1</v>
      </c>
      <c r="K652" t="s">
        <v>2</v>
      </c>
      <c r="L652" s="8">
        <f>UnilabUsage[[#This Row],[Used-MB]]-F642</f>
        <v>3</v>
      </c>
      <c r="M652">
        <f>UnilabUsage[[#This Row],[Max]]-UnilabUsage[[#This Row],[Used-MB]]</f>
        <v>31208</v>
      </c>
      <c r="N652" s="5">
        <f>IF($L652&gt;0,UnilabUsage[[#This Row],[Free-of-Max]]/UnilabUsage[[#This Row],[Usage-Delta-MB]],UnilabUsage[[#This Row],[Free-of-Max]])</f>
        <v>10402.666666666666</v>
      </c>
    </row>
    <row r="653" spans="1:14" x14ac:dyDescent="0.25">
      <c r="A653" s="3">
        <v>44705</v>
      </c>
      <c r="B653" t="s">
        <v>0</v>
      </c>
      <c r="C653">
        <v>100</v>
      </c>
      <c r="D653">
        <v>18650</v>
      </c>
      <c r="E653">
        <v>15</v>
      </c>
      <c r="F653">
        <v>18635</v>
      </c>
      <c r="G653">
        <v>0</v>
      </c>
      <c r="H653">
        <v>32768</v>
      </c>
      <c r="I653">
        <v>57</v>
      </c>
      <c r="J653" t="s">
        <v>1</v>
      </c>
      <c r="K653" t="s">
        <v>2</v>
      </c>
      <c r="L653" s="8">
        <f>UnilabUsage[[#This Row],[Used-MB]]-F643</f>
        <v>64</v>
      </c>
      <c r="M653">
        <f>UnilabUsage[[#This Row],[Max]]-UnilabUsage[[#This Row],[Used-MB]]</f>
        <v>14133</v>
      </c>
      <c r="N653" s="5">
        <f>IF($L653&gt;0,UnilabUsage[[#This Row],[Free-of-Max]]/UnilabUsage[[#This Row],[Usage-Delta-MB]],UnilabUsage[[#This Row],[Free-of-Max]])</f>
        <v>220.828125</v>
      </c>
    </row>
    <row r="654" spans="1:14" x14ac:dyDescent="0.25">
      <c r="A654" s="3">
        <v>44705</v>
      </c>
      <c r="B654" t="s">
        <v>11</v>
      </c>
      <c r="C654">
        <v>1</v>
      </c>
      <c r="D654">
        <v>100</v>
      </c>
      <c r="E654">
        <v>99</v>
      </c>
      <c r="F654">
        <v>1</v>
      </c>
      <c r="G654">
        <v>99</v>
      </c>
      <c r="H654">
        <v>32768</v>
      </c>
      <c r="I654">
        <v>0</v>
      </c>
      <c r="J654" t="s">
        <v>1</v>
      </c>
      <c r="K654" t="s">
        <v>2</v>
      </c>
      <c r="L654" s="8">
        <f>UnilabUsage[[#This Row],[Used-MB]]-F644</f>
        <v>0</v>
      </c>
      <c r="M654">
        <f>UnilabUsage[[#This Row],[Max]]-UnilabUsage[[#This Row],[Used-MB]]</f>
        <v>32767</v>
      </c>
      <c r="N654" s="5">
        <f>IF($L654&gt;0,UnilabUsage[[#This Row],[Free-of-Max]]/UnilabUsage[[#This Row],[Usage-Delta-MB]],UnilabUsage[[#This Row],[Free-of-Max]])</f>
        <v>32767</v>
      </c>
    </row>
    <row r="655" spans="1:14" x14ac:dyDescent="0.25">
      <c r="A655" s="3">
        <v>44705</v>
      </c>
      <c r="B655" t="s">
        <v>6</v>
      </c>
      <c r="C655">
        <v>92</v>
      </c>
      <c r="D655">
        <v>7215</v>
      </c>
      <c r="E655">
        <v>605</v>
      </c>
      <c r="F655">
        <v>6610</v>
      </c>
      <c r="G655">
        <v>8</v>
      </c>
      <c r="H655">
        <v>32768</v>
      </c>
      <c r="I655">
        <v>20</v>
      </c>
      <c r="J655" t="s">
        <v>1</v>
      </c>
      <c r="K655" t="s">
        <v>2</v>
      </c>
      <c r="L655" s="8">
        <f>UnilabUsage[[#This Row],[Used-MB]]-F645</f>
        <v>0</v>
      </c>
      <c r="M655">
        <f>UnilabUsage[[#This Row],[Max]]-UnilabUsage[[#This Row],[Used-MB]]</f>
        <v>26158</v>
      </c>
      <c r="N655" s="5">
        <f>IF($L655&gt;0,UnilabUsage[[#This Row],[Free-of-Max]]/UnilabUsage[[#This Row],[Usage-Delta-MB]],UnilabUsage[[#This Row],[Free-of-Max]])</f>
        <v>26158</v>
      </c>
    </row>
    <row r="656" spans="1:14" x14ac:dyDescent="0.25">
      <c r="A656" s="3">
        <v>44705</v>
      </c>
      <c r="B656" t="s">
        <v>3</v>
      </c>
      <c r="C656">
        <v>98</v>
      </c>
      <c r="D656">
        <v>413248</v>
      </c>
      <c r="E656">
        <v>6810</v>
      </c>
      <c r="F656">
        <v>406437</v>
      </c>
      <c r="G656">
        <v>2</v>
      </c>
      <c r="H656">
        <v>425984</v>
      </c>
      <c r="I656">
        <v>95</v>
      </c>
      <c r="J656" t="s">
        <v>1</v>
      </c>
      <c r="K656" t="s">
        <v>2</v>
      </c>
      <c r="L656" s="8">
        <f>UnilabUsage[[#This Row],[Used-MB]]-F646</f>
        <v>561</v>
      </c>
      <c r="M656">
        <f>UnilabUsage[[#This Row],[Max]]-UnilabUsage[[#This Row],[Used-MB]]</f>
        <v>19547</v>
      </c>
      <c r="N656" s="5">
        <f>IF($L656&gt;0,UnilabUsage[[#This Row],[Free-of-Max]]/UnilabUsage[[#This Row],[Usage-Delta-MB]],UnilabUsage[[#This Row],[Free-of-Max]])</f>
        <v>34.843137254901961</v>
      </c>
    </row>
    <row r="657" spans="1:14" x14ac:dyDescent="0.25">
      <c r="A657" s="3">
        <v>44705</v>
      </c>
      <c r="B657" t="s">
        <v>5</v>
      </c>
      <c r="C657">
        <v>95</v>
      </c>
      <c r="D657">
        <v>19450</v>
      </c>
      <c r="E657">
        <v>970</v>
      </c>
      <c r="F657">
        <v>18480</v>
      </c>
      <c r="G657">
        <v>5</v>
      </c>
      <c r="H657">
        <v>32768</v>
      </c>
      <c r="I657">
        <v>56</v>
      </c>
      <c r="J657" t="s">
        <v>1</v>
      </c>
      <c r="K657" t="s">
        <v>2</v>
      </c>
      <c r="L657" s="8">
        <f>UnilabUsage[[#This Row],[Used-MB]]-F647</f>
        <v>8</v>
      </c>
      <c r="M657">
        <f>UnilabUsage[[#This Row],[Max]]-UnilabUsage[[#This Row],[Used-MB]]</f>
        <v>14288</v>
      </c>
      <c r="N657" s="5">
        <f>IF($L657&gt;0,UnilabUsage[[#This Row],[Free-of-Max]]/UnilabUsage[[#This Row],[Usage-Delta-MB]],UnilabUsage[[#This Row],[Free-of-Max]])</f>
        <v>1786</v>
      </c>
    </row>
    <row r="658" spans="1:14" x14ac:dyDescent="0.25">
      <c r="A658" s="3">
        <v>44705</v>
      </c>
      <c r="B658" t="s">
        <v>8</v>
      </c>
      <c r="C658">
        <v>88</v>
      </c>
      <c r="D658">
        <v>294912</v>
      </c>
      <c r="E658">
        <v>36209</v>
      </c>
      <c r="F658">
        <v>258703</v>
      </c>
      <c r="G658">
        <v>12</v>
      </c>
      <c r="H658">
        <v>294912</v>
      </c>
      <c r="I658">
        <v>88</v>
      </c>
      <c r="J658" t="s">
        <v>1</v>
      </c>
      <c r="K658" t="s">
        <v>2</v>
      </c>
      <c r="L658" s="8">
        <f>UnilabUsage[[#This Row],[Used-MB]]-F648</f>
        <v>-1123</v>
      </c>
      <c r="M658">
        <f>UnilabUsage[[#This Row],[Max]]-UnilabUsage[[#This Row],[Used-MB]]</f>
        <v>36209</v>
      </c>
      <c r="N658" s="5">
        <f>IF($L658&gt;0,UnilabUsage[[#This Row],[Free-of-Max]]/UnilabUsage[[#This Row],[Usage-Delta-MB]],UnilabUsage[[#This Row],[Free-of-Max]])</f>
        <v>36209</v>
      </c>
    </row>
    <row r="659" spans="1:14" x14ac:dyDescent="0.25">
      <c r="A659" s="3">
        <v>44705</v>
      </c>
      <c r="B659" t="s">
        <v>4</v>
      </c>
      <c r="C659">
        <v>97</v>
      </c>
      <c r="D659">
        <v>83925</v>
      </c>
      <c r="E659">
        <v>2418</v>
      </c>
      <c r="F659">
        <v>81507</v>
      </c>
      <c r="G659">
        <v>3</v>
      </c>
      <c r="H659">
        <v>98304</v>
      </c>
      <c r="I659">
        <v>83</v>
      </c>
      <c r="J659" t="s">
        <v>1</v>
      </c>
      <c r="K659" t="s">
        <v>2</v>
      </c>
      <c r="L659" s="8">
        <f>UnilabUsage[[#This Row],[Used-MB]]-F649</f>
        <v>254</v>
      </c>
      <c r="M659">
        <f>UnilabUsage[[#This Row],[Max]]-UnilabUsage[[#This Row],[Used-MB]]</f>
        <v>16797</v>
      </c>
      <c r="N659" s="5">
        <f>IF($L659&gt;0,UnilabUsage[[#This Row],[Free-of-Max]]/UnilabUsage[[#This Row],[Usage-Delta-MB]],UnilabUsage[[#This Row],[Free-of-Max]])</f>
        <v>66.129921259842519</v>
      </c>
    </row>
    <row r="660" spans="1:14" x14ac:dyDescent="0.25">
      <c r="A660" s="3">
        <v>44705</v>
      </c>
      <c r="B660" t="s">
        <v>12</v>
      </c>
      <c r="C660">
        <v>0</v>
      </c>
      <c r="D660">
        <v>30720</v>
      </c>
      <c r="E660">
        <v>30675</v>
      </c>
      <c r="F660">
        <v>45</v>
      </c>
      <c r="G660">
        <v>100</v>
      </c>
      <c r="H660">
        <v>30720</v>
      </c>
      <c r="I660">
        <v>0</v>
      </c>
      <c r="J660" t="s">
        <v>1</v>
      </c>
      <c r="K660" t="s">
        <v>13</v>
      </c>
      <c r="L660" s="8">
        <f>UnilabUsage[[#This Row],[Used-MB]]-F650</f>
        <v>-18</v>
      </c>
      <c r="M660">
        <f>UnilabUsage[[#This Row],[Max]]-UnilabUsage[[#This Row],[Used-MB]]</f>
        <v>30675</v>
      </c>
      <c r="N660" s="5">
        <f>IF($L660&gt;0,UnilabUsage[[#This Row],[Free-of-Max]]/UnilabUsage[[#This Row],[Usage-Delta-MB]],UnilabUsage[[#This Row],[Free-of-Max]])</f>
        <v>30675</v>
      </c>
    </row>
    <row r="661" spans="1:14" x14ac:dyDescent="0.25">
      <c r="A661" s="3">
        <v>44705</v>
      </c>
      <c r="B661" t="s">
        <v>9</v>
      </c>
      <c r="C661">
        <v>1</v>
      </c>
      <c r="D661">
        <v>10440</v>
      </c>
      <c r="E661">
        <v>10297</v>
      </c>
      <c r="F661">
        <v>143</v>
      </c>
      <c r="G661">
        <v>99</v>
      </c>
      <c r="H661">
        <v>32768</v>
      </c>
      <c r="I661">
        <v>0</v>
      </c>
      <c r="J661" t="s">
        <v>1</v>
      </c>
      <c r="K661" t="s">
        <v>10</v>
      </c>
      <c r="L661" s="8">
        <f>UnilabUsage[[#This Row],[Used-MB]]-F651</f>
        <v>-67</v>
      </c>
      <c r="M661">
        <f>UnilabUsage[[#This Row],[Max]]-UnilabUsage[[#This Row],[Used-MB]]</f>
        <v>32625</v>
      </c>
      <c r="N661" s="5">
        <f>IF($L661&gt;0,UnilabUsage[[#This Row],[Free-of-Max]]/UnilabUsage[[#This Row],[Usage-Delta-MB]],UnilabUsage[[#This Row],[Free-of-Max]])</f>
        <v>32625</v>
      </c>
    </row>
    <row r="662" spans="1:14" x14ac:dyDescent="0.25">
      <c r="A662" s="3">
        <v>44719</v>
      </c>
      <c r="B662" t="s">
        <v>7</v>
      </c>
      <c r="C662">
        <v>95</v>
      </c>
      <c r="D662">
        <v>1670</v>
      </c>
      <c r="E662">
        <v>81</v>
      </c>
      <c r="F662">
        <v>1589</v>
      </c>
      <c r="G662">
        <v>5</v>
      </c>
      <c r="H662">
        <v>32768</v>
      </c>
      <c r="I662">
        <v>5</v>
      </c>
      <c r="J662" t="s">
        <v>1</v>
      </c>
      <c r="K662" t="s">
        <v>2</v>
      </c>
      <c r="L662" s="8">
        <f>UnilabUsage[[#This Row],[Used-MB]]-F652</f>
        <v>29</v>
      </c>
      <c r="M662">
        <f>UnilabUsage[[#This Row],[Max]]-UnilabUsage[[#This Row],[Used-MB]]</f>
        <v>31179</v>
      </c>
      <c r="N662" s="5">
        <f>IF($L662&gt;0,UnilabUsage[[#This Row],[Free-of-Max]]/UnilabUsage[[#This Row],[Usage-Delta-MB]],UnilabUsage[[#This Row],[Free-of-Max]])</f>
        <v>1075.1379310344828</v>
      </c>
    </row>
    <row r="663" spans="1:14" x14ac:dyDescent="0.25">
      <c r="A663" s="3">
        <v>44719</v>
      </c>
      <c r="B663" t="s">
        <v>0</v>
      </c>
      <c r="C663">
        <v>100</v>
      </c>
      <c r="D663">
        <v>18750</v>
      </c>
      <c r="E663">
        <v>51</v>
      </c>
      <c r="F663">
        <v>18699</v>
      </c>
      <c r="G663">
        <v>0</v>
      </c>
      <c r="H663">
        <v>32768</v>
      </c>
      <c r="I663">
        <v>57</v>
      </c>
      <c r="J663" t="s">
        <v>1</v>
      </c>
      <c r="K663" t="s">
        <v>2</v>
      </c>
      <c r="L663" s="8">
        <f>UnilabUsage[[#This Row],[Used-MB]]-F653</f>
        <v>64</v>
      </c>
      <c r="M663">
        <f>UnilabUsage[[#This Row],[Max]]-UnilabUsage[[#This Row],[Used-MB]]</f>
        <v>14069</v>
      </c>
      <c r="N663" s="5">
        <f>IF($L663&gt;0,UnilabUsage[[#This Row],[Free-of-Max]]/UnilabUsage[[#This Row],[Usage-Delta-MB]],UnilabUsage[[#This Row],[Free-of-Max]])</f>
        <v>219.828125</v>
      </c>
    </row>
    <row r="664" spans="1:14" x14ac:dyDescent="0.25">
      <c r="A664" s="3">
        <v>44719</v>
      </c>
      <c r="B664" t="s">
        <v>11</v>
      </c>
      <c r="C664">
        <v>1</v>
      </c>
      <c r="D664">
        <v>100</v>
      </c>
      <c r="E664">
        <v>99</v>
      </c>
      <c r="F664">
        <v>1</v>
      </c>
      <c r="G664">
        <v>99</v>
      </c>
      <c r="H664">
        <v>32768</v>
      </c>
      <c r="I664">
        <v>0</v>
      </c>
      <c r="J664" t="s">
        <v>1</v>
      </c>
      <c r="K664" t="s">
        <v>2</v>
      </c>
      <c r="L664" s="8">
        <f>UnilabUsage[[#This Row],[Used-MB]]-F654</f>
        <v>0</v>
      </c>
      <c r="M664">
        <f>UnilabUsage[[#This Row],[Max]]-UnilabUsage[[#This Row],[Used-MB]]</f>
        <v>32767</v>
      </c>
      <c r="N664" s="5">
        <f>IF($L664&gt;0,UnilabUsage[[#This Row],[Free-of-Max]]/UnilabUsage[[#This Row],[Usage-Delta-MB]],UnilabUsage[[#This Row],[Free-of-Max]])</f>
        <v>32767</v>
      </c>
    </row>
    <row r="665" spans="1:14" x14ac:dyDescent="0.25">
      <c r="A665" s="3">
        <v>44719</v>
      </c>
      <c r="B665" t="s">
        <v>6</v>
      </c>
      <c r="C665">
        <v>92</v>
      </c>
      <c r="D665">
        <v>7215</v>
      </c>
      <c r="E665">
        <v>604</v>
      </c>
      <c r="F665">
        <v>6611</v>
      </c>
      <c r="G665">
        <v>8</v>
      </c>
      <c r="H665">
        <v>32768</v>
      </c>
      <c r="I665">
        <v>20</v>
      </c>
      <c r="J665" t="s">
        <v>1</v>
      </c>
      <c r="K665" t="s">
        <v>2</v>
      </c>
      <c r="L665" s="8">
        <f>UnilabUsage[[#This Row],[Used-MB]]-F655</f>
        <v>1</v>
      </c>
      <c r="M665">
        <f>UnilabUsage[[#This Row],[Max]]-UnilabUsage[[#This Row],[Used-MB]]</f>
        <v>26157</v>
      </c>
      <c r="N665" s="5">
        <f>IF($L665&gt;0,UnilabUsage[[#This Row],[Free-of-Max]]/UnilabUsage[[#This Row],[Usage-Delta-MB]],UnilabUsage[[#This Row],[Free-of-Max]])</f>
        <v>26157</v>
      </c>
    </row>
    <row r="666" spans="1:14" x14ac:dyDescent="0.25">
      <c r="A666" s="3">
        <v>44719</v>
      </c>
      <c r="B666" t="s">
        <v>3</v>
      </c>
      <c r="C666">
        <v>99</v>
      </c>
      <c r="D666">
        <v>413248</v>
      </c>
      <c r="E666">
        <v>5878</v>
      </c>
      <c r="F666">
        <v>407370</v>
      </c>
      <c r="G666">
        <v>1</v>
      </c>
      <c r="H666">
        <v>425984</v>
      </c>
      <c r="I666">
        <v>96</v>
      </c>
      <c r="J666" t="s">
        <v>1</v>
      </c>
      <c r="K666" t="s">
        <v>2</v>
      </c>
      <c r="L666" s="8">
        <f>UnilabUsage[[#This Row],[Used-MB]]-F656</f>
        <v>933</v>
      </c>
      <c r="M666">
        <f>UnilabUsage[[#This Row],[Max]]-UnilabUsage[[#This Row],[Used-MB]]</f>
        <v>18614</v>
      </c>
      <c r="N666" s="5">
        <f>IF($L666&gt;0,UnilabUsage[[#This Row],[Free-of-Max]]/UnilabUsage[[#This Row],[Usage-Delta-MB]],UnilabUsage[[#This Row],[Free-of-Max]])</f>
        <v>19.95069667738478</v>
      </c>
    </row>
    <row r="667" spans="1:14" x14ac:dyDescent="0.25">
      <c r="A667" s="3">
        <v>44719</v>
      </c>
      <c r="B667" t="s">
        <v>5</v>
      </c>
      <c r="C667">
        <v>95</v>
      </c>
      <c r="D667">
        <v>19550</v>
      </c>
      <c r="E667">
        <v>942</v>
      </c>
      <c r="F667">
        <v>18608</v>
      </c>
      <c r="G667">
        <v>5</v>
      </c>
      <c r="H667">
        <v>32768</v>
      </c>
      <c r="I667">
        <v>57</v>
      </c>
      <c r="J667" t="s">
        <v>1</v>
      </c>
      <c r="K667" t="s">
        <v>2</v>
      </c>
      <c r="L667" s="8">
        <f>UnilabUsage[[#This Row],[Used-MB]]-F657</f>
        <v>128</v>
      </c>
      <c r="M667">
        <f>UnilabUsage[[#This Row],[Max]]-UnilabUsage[[#This Row],[Used-MB]]</f>
        <v>14160</v>
      </c>
      <c r="N667" s="5">
        <f>IF($L667&gt;0,UnilabUsage[[#This Row],[Free-of-Max]]/UnilabUsage[[#This Row],[Usage-Delta-MB]],UnilabUsage[[#This Row],[Free-of-Max]])</f>
        <v>110.625</v>
      </c>
    </row>
    <row r="668" spans="1:14" x14ac:dyDescent="0.25">
      <c r="A668" s="3">
        <v>44719</v>
      </c>
      <c r="B668" t="s">
        <v>8</v>
      </c>
      <c r="C668">
        <v>89</v>
      </c>
      <c r="D668">
        <v>294912</v>
      </c>
      <c r="E668">
        <v>33680</v>
      </c>
      <c r="F668">
        <v>261232</v>
      </c>
      <c r="G668">
        <v>11</v>
      </c>
      <c r="H668">
        <v>294912</v>
      </c>
      <c r="I668">
        <v>89</v>
      </c>
      <c r="J668" t="s">
        <v>1</v>
      </c>
      <c r="K668" t="s">
        <v>2</v>
      </c>
      <c r="L668" s="8">
        <f>UnilabUsage[[#This Row],[Used-MB]]-F658</f>
        <v>2529</v>
      </c>
      <c r="M668">
        <f>UnilabUsage[[#This Row],[Max]]-UnilabUsage[[#This Row],[Used-MB]]</f>
        <v>33680</v>
      </c>
      <c r="N668" s="5">
        <f>IF($L668&gt;0,UnilabUsage[[#This Row],[Free-of-Max]]/UnilabUsage[[#This Row],[Usage-Delta-MB]],UnilabUsage[[#This Row],[Free-of-Max]])</f>
        <v>13.317516805061288</v>
      </c>
    </row>
    <row r="669" spans="1:14" x14ac:dyDescent="0.25">
      <c r="A669" s="3">
        <v>44719</v>
      </c>
      <c r="B669" t="s">
        <v>4</v>
      </c>
      <c r="C669">
        <v>97</v>
      </c>
      <c r="D669">
        <v>83925</v>
      </c>
      <c r="E669">
        <v>2226</v>
      </c>
      <c r="F669">
        <v>81699</v>
      </c>
      <c r="G669">
        <v>3</v>
      </c>
      <c r="H669">
        <v>98304</v>
      </c>
      <c r="I669">
        <v>83</v>
      </c>
      <c r="J669" t="s">
        <v>1</v>
      </c>
      <c r="K669" t="s">
        <v>2</v>
      </c>
      <c r="L669" s="8">
        <f>UnilabUsage[[#This Row],[Used-MB]]-F659</f>
        <v>192</v>
      </c>
      <c r="M669">
        <f>UnilabUsage[[#This Row],[Max]]-UnilabUsage[[#This Row],[Used-MB]]</f>
        <v>16605</v>
      </c>
      <c r="N669" s="5">
        <f>IF($L669&gt;0,UnilabUsage[[#This Row],[Free-of-Max]]/UnilabUsage[[#This Row],[Usage-Delta-MB]],UnilabUsage[[#This Row],[Free-of-Max]])</f>
        <v>86.484375</v>
      </c>
    </row>
    <row r="670" spans="1:14" x14ac:dyDescent="0.25">
      <c r="A670" s="3">
        <v>44719</v>
      </c>
      <c r="B670" t="s">
        <v>12</v>
      </c>
      <c r="C670">
        <v>0</v>
      </c>
      <c r="D670">
        <v>30720</v>
      </c>
      <c r="E670">
        <v>30622</v>
      </c>
      <c r="F670">
        <v>98</v>
      </c>
      <c r="G670">
        <v>100</v>
      </c>
      <c r="H670">
        <v>30720</v>
      </c>
      <c r="I670">
        <v>0</v>
      </c>
      <c r="J670" t="s">
        <v>1</v>
      </c>
      <c r="K670" t="s">
        <v>13</v>
      </c>
      <c r="L670" s="8">
        <f>UnilabUsage[[#This Row],[Used-MB]]-F660</f>
        <v>53</v>
      </c>
      <c r="M670">
        <f>UnilabUsage[[#This Row],[Max]]-UnilabUsage[[#This Row],[Used-MB]]</f>
        <v>30622</v>
      </c>
      <c r="N670" s="5">
        <f>IF($L670&gt;0,UnilabUsage[[#This Row],[Free-of-Max]]/UnilabUsage[[#This Row],[Usage-Delta-MB]],UnilabUsage[[#This Row],[Free-of-Max]])</f>
        <v>577.77358490566041</v>
      </c>
    </row>
    <row r="671" spans="1:14" x14ac:dyDescent="0.25">
      <c r="A671" s="3">
        <v>44719</v>
      </c>
      <c r="B671" t="s">
        <v>9</v>
      </c>
      <c r="C671">
        <v>1</v>
      </c>
      <c r="D671">
        <v>10440</v>
      </c>
      <c r="E671">
        <v>10315</v>
      </c>
      <c r="F671">
        <v>125</v>
      </c>
      <c r="G671">
        <v>99</v>
      </c>
      <c r="H671">
        <v>32768</v>
      </c>
      <c r="I671">
        <v>0</v>
      </c>
      <c r="J671" t="s">
        <v>1</v>
      </c>
      <c r="K671" t="s">
        <v>10</v>
      </c>
      <c r="L671" s="8">
        <f>UnilabUsage[[#This Row],[Used-MB]]-F661</f>
        <v>-18</v>
      </c>
      <c r="M671">
        <f>UnilabUsage[[#This Row],[Max]]-UnilabUsage[[#This Row],[Used-MB]]</f>
        <v>32643</v>
      </c>
      <c r="N671" s="5">
        <f>IF($L671&gt;0,UnilabUsage[[#This Row],[Free-of-Max]]/UnilabUsage[[#This Row],[Usage-Delta-MB]],UnilabUsage[[#This Row],[Free-of-Max]])</f>
        <v>32643</v>
      </c>
    </row>
    <row r="672" spans="1:14" x14ac:dyDescent="0.25">
      <c r="A672" s="3">
        <v>44726</v>
      </c>
      <c r="B672" t="s">
        <v>7</v>
      </c>
      <c r="C672">
        <v>95</v>
      </c>
      <c r="D672">
        <v>1670</v>
      </c>
      <c r="E672">
        <v>82</v>
      </c>
      <c r="F672">
        <v>1588</v>
      </c>
      <c r="G672">
        <v>5</v>
      </c>
      <c r="H672">
        <v>32768</v>
      </c>
      <c r="I672">
        <v>5</v>
      </c>
      <c r="J672" t="s">
        <v>1</v>
      </c>
      <c r="K672" t="s">
        <v>2</v>
      </c>
      <c r="L672" s="8">
        <f>UnilabUsage[[#This Row],[Used-MB]]-F662</f>
        <v>-1</v>
      </c>
      <c r="M672">
        <f>UnilabUsage[[#This Row],[Max]]-UnilabUsage[[#This Row],[Used-MB]]</f>
        <v>31180</v>
      </c>
      <c r="N672" s="5">
        <f>IF($L672&gt;0,UnilabUsage[[#This Row],[Free-of-Max]]/UnilabUsage[[#This Row],[Usage-Delta-MB]],UnilabUsage[[#This Row],[Free-of-Max]])</f>
        <v>31180</v>
      </c>
    </row>
    <row r="673" spans="1:14" x14ac:dyDescent="0.25">
      <c r="A673" s="3">
        <v>44726</v>
      </c>
      <c r="B673" t="s">
        <v>0</v>
      </c>
      <c r="C673">
        <v>100</v>
      </c>
      <c r="D673">
        <v>18850</v>
      </c>
      <c r="E673">
        <v>87</v>
      </c>
      <c r="F673">
        <v>18763</v>
      </c>
      <c r="G673">
        <v>0</v>
      </c>
      <c r="H673">
        <v>32768</v>
      </c>
      <c r="I673">
        <v>57</v>
      </c>
      <c r="J673" t="s">
        <v>1</v>
      </c>
      <c r="K673" t="s">
        <v>2</v>
      </c>
      <c r="L673" s="8">
        <f>UnilabUsage[[#This Row],[Used-MB]]-F663</f>
        <v>64</v>
      </c>
      <c r="M673">
        <f>UnilabUsage[[#This Row],[Max]]-UnilabUsage[[#This Row],[Used-MB]]</f>
        <v>14005</v>
      </c>
      <c r="N673" s="5">
        <f>IF($L673&gt;0,UnilabUsage[[#This Row],[Free-of-Max]]/UnilabUsage[[#This Row],[Usage-Delta-MB]],UnilabUsage[[#This Row],[Free-of-Max]])</f>
        <v>218.828125</v>
      </c>
    </row>
    <row r="674" spans="1:14" x14ac:dyDescent="0.25">
      <c r="A674" s="3">
        <v>44726</v>
      </c>
      <c r="B674" t="s">
        <v>11</v>
      </c>
      <c r="C674">
        <v>1</v>
      </c>
      <c r="D674">
        <v>100</v>
      </c>
      <c r="E674">
        <v>99</v>
      </c>
      <c r="F674">
        <v>1</v>
      </c>
      <c r="G674">
        <v>99</v>
      </c>
      <c r="H674">
        <v>32768</v>
      </c>
      <c r="I674">
        <v>0</v>
      </c>
      <c r="J674" t="s">
        <v>1</v>
      </c>
      <c r="K674" t="s">
        <v>2</v>
      </c>
      <c r="L674" s="8">
        <f>UnilabUsage[[#This Row],[Used-MB]]-F664</f>
        <v>0</v>
      </c>
      <c r="M674">
        <f>UnilabUsage[[#This Row],[Max]]-UnilabUsage[[#This Row],[Used-MB]]</f>
        <v>32767</v>
      </c>
      <c r="N674" s="5">
        <f>IF($L674&gt;0,UnilabUsage[[#This Row],[Free-of-Max]]/UnilabUsage[[#This Row],[Usage-Delta-MB]],UnilabUsage[[#This Row],[Free-of-Max]])</f>
        <v>32767</v>
      </c>
    </row>
    <row r="675" spans="1:14" x14ac:dyDescent="0.25">
      <c r="A675" s="3">
        <v>44726</v>
      </c>
      <c r="B675" t="s">
        <v>6</v>
      </c>
      <c r="C675">
        <v>92</v>
      </c>
      <c r="D675">
        <v>7215</v>
      </c>
      <c r="E675">
        <v>603</v>
      </c>
      <c r="F675">
        <v>6612</v>
      </c>
      <c r="G675">
        <v>8</v>
      </c>
      <c r="H675">
        <v>32768</v>
      </c>
      <c r="I675">
        <v>20</v>
      </c>
      <c r="J675" t="s">
        <v>1</v>
      </c>
      <c r="K675" t="s">
        <v>2</v>
      </c>
      <c r="L675" s="8">
        <f>UnilabUsage[[#This Row],[Used-MB]]-F665</f>
        <v>1</v>
      </c>
      <c r="M675">
        <f>UnilabUsage[[#This Row],[Max]]-UnilabUsage[[#This Row],[Used-MB]]</f>
        <v>26156</v>
      </c>
      <c r="N675" s="5">
        <f>IF($L675&gt;0,UnilabUsage[[#This Row],[Free-of-Max]]/UnilabUsage[[#This Row],[Usage-Delta-MB]],UnilabUsage[[#This Row],[Free-of-Max]])</f>
        <v>26156</v>
      </c>
    </row>
    <row r="676" spans="1:14" x14ac:dyDescent="0.25">
      <c r="A676" s="3">
        <v>44726</v>
      </c>
      <c r="B676" t="s">
        <v>3</v>
      </c>
      <c r="C676">
        <v>99</v>
      </c>
      <c r="D676">
        <v>413248</v>
      </c>
      <c r="E676">
        <v>5285</v>
      </c>
      <c r="F676">
        <v>407963</v>
      </c>
      <c r="G676">
        <v>1</v>
      </c>
      <c r="H676">
        <v>425984</v>
      </c>
      <c r="I676">
        <v>96</v>
      </c>
      <c r="J676" t="s">
        <v>1</v>
      </c>
      <c r="K676" t="s">
        <v>2</v>
      </c>
      <c r="L676" s="8">
        <f>UnilabUsage[[#This Row],[Used-MB]]-F666</f>
        <v>593</v>
      </c>
      <c r="M676">
        <f>UnilabUsage[[#This Row],[Max]]-UnilabUsage[[#This Row],[Used-MB]]</f>
        <v>18021</v>
      </c>
      <c r="N676" s="5">
        <f>IF($L676&gt;0,UnilabUsage[[#This Row],[Free-of-Max]]/UnilabUsage[[#This Row],[Usage-Delta-MB]],UnilabUsage[[#This Row],[Free-of-Max]])</f>
        <v>30.38954468802698</v>
      </c>
    </row>
    <row r="677" spans="1:14" x14ac:dyDescent="0.25">
      <c r="A677" s="3">
        <v>44726</v>
      </c>
      <c r="B677" t="s">
        <v>5</v>
      </c>
      <c r="C677">
        <v>95</v>
      </c>
      <c r="D677">
        <v>19550</v>
      </c>
      <c r="E677">
        <v>942</v>
      </c>
      <c r="F677">
        <v>18608</v>
      </c>
      <c r="G677">
        <v>5</v>
      </c>
      <c r="H677">
        <v>32768</v>
      </c>
      <c r="I677">
        <v>57</v>
      </c>
      <c r="J677" t="s">
        <v>1</v>
      </c>
      <c r="K677" t="s">
        <v>2</v>
      </c>
      <c r="L677" s="8">
        <f>UnilabUsage[[#This Row],[Used-MB]]-F667</f>
        <v>0</v>
      </c>
      <c r="M677">
        <f>UnilabUsage[[#This Row],[Max]]-UnilabUsage[[#This Row],[Used-MB]]</f>
        <v>14160</v>
      </c>
      <c r="N677" s="5">
        <f>IF($L677&gt;0,UnilabUsage[[#This Row],[Free-of-Max]]/UnilabUsage[[#This Row],[Usage-Delta-MB]],UnilabUsage[[#This Row],[Free-of-Max]])</f>
        <v>14160</v>
      </c>
    </row>
    <row r="678" spans="1:14" x14ac:dyDescent="0.25">
      <c r="A678" s="3">
        <v>44726</v>
      </c>
      <c r="B678" t="s">
        <v>8</v>
      </c>
      <c r="C678">
        <v>89</v>
      </c>
      <c r="D678">
        <v>294912</v>
      </c>
      <c r="E678">
        <v>33334</v>
      </c>
      <c r="F678">
        <v>261578</v>
      </c>
      <c r="G678">
        <v>11</v>
      </c>
      <c r="H678">
        <v>294912</v>
      </c>
      <c r="I678">
        <v>89</v>
      </c>
      <c r="J678" t="s">
        <v>1</v>
      </c>
      <c r="K678" t="s">
        <v>2</v>
      </c>
      <c r="L678" s="8">
        <f>UnilabUsage[[#This Row],[Used-MB]]-F668</f>
        <v>346</v>
      </c>
      <c r="M678">
        <f>UnilabUsage[[#This Row],[Max]]-UnilabUsage[[#This Row],[Used-MB]]</f>
        <v>33334</v>
      </c>
      <c r="N678" s="5">
        <f>IF($L678&gt;0,UnilabUsage[[#This Row],[Free-of-Max]]/UnilabUsage[[#This Row],[Usage-Delta-MB]],UnilabUsage[[#This Row],[Free-of-Max]])</f>
        <v>96.341040462427742</v>
      </c>
    </row>
    <row r="679" spans="1:14" x14ac:dyDescent="0.25">
      <c r="A679" s="3">
        <v>44726</v>
      </c>
      <c r="B679" t="s">
        <v>4</v>
      </c>
      <c r="C679">
        <v>98</v>
      </c>
      <c r="D679">
        <v>83925</v>
      </c>
      <c r="E679">
        <v>1969</v>
      </c>
      <c r="F679">
        <v>81956</v>
      </c>
      <c r="G679">
        <v>2</v>
      </c>
      <c r="H679">
        <v>98304</v>
      </c>
      <c r="I679">
        <v>83</v>
      </c>
      <c r="J679" t="s">
        <v>1</v>
      </c>
      <c r="K679" t="s">
        <v>2</v>
      </c>
      <c r="L679" s="8">
        <f>UnilabUsage[[#This Row],[Used-MB]]-F669</f>
        <v>257</v>
      </c>
      <c r="M679">
        <f>UnilabUsage[[#This Row],[Max]]-UnilabUsage[[#This Row],[Used-MB]]</f>
        <v>16348</v>
      </c>
      <c r="N679" s="5">
        <f>IF($L679&gt;0,UnilabUsage[[#This Row],[Free-of-Max]]/UnilabUsage[[#This Row],[Usage-Delta-MB]],UnilabUsage[[#This Row],[Free-of-Max]])</f>
        <v>63.610894941634243</v>
      </c>
    </row>
    <row r="680" spans="1:14" x14ac:dyDescent="0.25">
      <c r="A680" s="3">
        <v>44726</v>
      </c>
      <c r="B680" t="s">
        <v>12</v>
      </c>
      <c r="C680">
        <v>0</v>
      </c>
      <c r="D680">
        <v>30720</v>
      </c>
      <c r="E680">
        <v>30648</v>
      </c>
      <c r="F680">
        <v>72</v>
      </c>
      <c r="G680">
        <v>100</v>
      </c>
      <c r="H680">
        <v>30720</v>
      </c>
      <c r="I680">
        <v>0</v>
      </c>
      <c r="J680" t="s">
        <v>1</v>
      </c>
      <c r="K680" t="s">
        <v>13</v>
      </c>
      <c r="L680" s="8">
        <f>UnilabUsage[[#This Row],[Used-MB]]-F670</f>
        <v>-26</v>
      </c>
      <c r="M680">
        <f>UnilabUsage[[#This Row],[Max]]-UnilabUsage[[#This Row],[Used-MB]]</f>
        <v>30648</v>
      </c>
      <c r="N680" s="5">
        <f>IF($L680&gt;0,UnilabUsage[[#This Row],[Free-of-Max]]/UnilabUsage[[#This Row],[Usage-Delta-MB]],UnilabUsage[[#This Row],[Free-of-Max]])</f>
        <v>30648</v>
      </c>
    </row>
    <row r="681" spans="1:14" x14ac:dyDescent="0.25">
      <c r="A681" s="3">
        <v>44726</v>
      </c>
      <c r="B681" t="s">
        <v>9</v>
      </c>
      <c r="C681">
        <v>3</v>
      </c>
      <c r="D681">
        <v>10440</v>
      </c>
      <c r="E681">
        <v>10103</v>
      </c>
      <c r="F681">
        <v>337</v>
      </c>
      <c r="G681">
        <v>97</v>
      </c>
      <c r="H681">
        <v>32768</v>
      </c>
      <c r="I681">
        <v>1</v>
      </c>
      <c r="J681" t="s">
        <v>1</v>
      </c>
      <c r="K681" t="s">
        <v>10</v>
      </c>
      <c r="L681" s="8">
        <f>UnilabUsage[[#This Row],[Used-MB]]-F671</f>
        <v>212</v>
      </c>
      <c r="M681">
        <f>UnilabUsage[[#This Row],[Max]]-UnilabUsage[[#This Row],[Used-MB]]</f>
        <v>32431</v>
      </c>
      <c r="N681" s="5">
        <f>IF($L681&gt;0,UnilabUsage[[#This Row],[Free-of-Max]]/UnilabUsage[[#This Row],[Usage-Delta-MB]],UnilabUsage[[#This Row],[Free-of-Max]])</f>
        <v>152.97641509433961</v>
      </c>
    </row>
    <row r="682" spans="1:14" x14ac:dyDescent="0.25">
      <c r="A682" s="3">
        <v>44739</v>
      </c>
      <c r="B682" t="s">
        <v>7</v>
      </c>
      <c r="C682">
        <v>95</v>
      </c>
      <c r="D682">
        <v>1690</v>
      </c>
      <c r="E682">
        <v>78</v>
      </c>
      <c r="F682">
        <v>1612</v>
      </c>
      <c r="G682">
        <v>5</v>
      </c>
      <c r="H682">
        <v>32768</v>
      </c>
      <c r="I682">
        <v>5</v>
      </c>
      <c r="J682" t="s">
        <v>1</v>
      </c>
      <c r="K682" t="s">
        <v>2</v>
      </c>
      <c r="L682" s="8">
        <f>UnilabUsage[[#This Row],[Used-MB]]-F672</f>
        <v>24</v>
      </c>
      <c r="M682">
        <f>UnilabUsage[[#This Row],[Max]]-UnilabUsage[[#This Row],[Used-MB]]</f>
        <v>31156</v>
      </c>
      <c r="N682" s="5">
        <f>IF($L682&gt;0,UnilabUsage[[#This Row],[Free-of-Max]]/UnilabUsage[[#This Row],[Usage-Delta-MB]],UnilabUsage[[#This Row],[Free-of-Max]])</f>
        <v>1298.1666666666667</v>
      </c>
    </row>
    <row r="683" spans="1:14" x14ac:dyDescent="0.25">
      <c r="A683" s="3">
        <v>44739</v>
      </c>
      <c r="B683" t="s">
        <v>0</v>
      </c>
      <c r="C683">
        <v>100</v>
      </c>
      <c r="D683">
        <v>18950</v>
      </c>
      <c r="E683">
        <v>59</v>
      </c>
      <c r="F683">
        <v>18891</v>
      </c>
      <c r="G683">
        <v>0</v>
      </c>
      <c r="H683">
        <v>32768</v>
      </c>
      <c r="I683">
        <v>58</v>
      </c>
      <c r="J683" t="s">
        <v>1</v>
      </c>
      <c r="K683" t="s">
        <v>2</v>
      </c>
      <c r="L683" s="8">
        <f>UnilabUsage[[#This Row],[Used-MB]]-F673</f>
        <v>128</v>
      </c>
      <c r="M683">
        <f>UnilabUsage[[#This Row],[Max]]-UnilabUsage[[#This Row],[Used-MB]]</f>
        <v>13877</v>
      </c>
      <c r="N683" s="5">
        <f>IF($L683&gt;0,UnilabUsage[[#This Row],[Free-of-Max]]/UnilabUsage[[#This Row],[Usage-Delta-MB]],UnilabUsage[[#This Row],[Free-of-Max]])</f>
        <v>108.4140625</v>
      </c>
    </row>
    <row r="684" spans="1:14" x14ac:dyDescent="0.25">
      <c r="A684" s="3">
        <v>44739</v>
      </c>
      <c r="B684" t="s">
        <v>11</v>
      </c>
      <c r="C684">
        <v>1</v>
      </c>
      <c r="D684">
        <v>100</v>
      </c>
      <c r="E684">
        <v>99</v>
      </c>
      <c r="F684">
        <v>1</v>
      </c>
      <c r="G684">
        <v>99</v>
      </c>
      <c r="H684">
        <v>32768</v>
      </c>
      <c r="I684">
        <v>0</v>
      </c>
      <c r="J684" t="s">
        <v>1</v>
      </c>
      <c r="K684" t="s">
        <v>2</v>
      </c>
      <c r="L684" s="8">
        <f>UnilabUsage[[#This Row],[Used-MB]]-F674</f>
        <v>0</v>
      </c>
      <c r="M684">
        <f>UnilabUsage[[#This Row],[Max]]-UnilabUsage[[#This Row],[Used-MB]]</f>
        <v>32767</v>
      </c>
      <c r="N684" s="5">
        <f>IF($L684&gt;0,UnilabUsage[[#This Row],[Free-of-Max]]/UnilabUsage[[#This Row],[Usage-Delta-MB]],UnilabUsage[[#This Row],[Free-of-Max]])</f>
        <v>32767</v>
      </c>
    </row>
    <row r="685" spans="1:14" x14ac:dyDescent="0.25">
      <c r="A685" s="3">
        <v>44739</v>
      </c>
      <c r="B685" t="s">
        <v>6</v>
      </c>
      <c r="C685">
        <v>92</v>
      </c>
      <c r="D685">
        <v>7215</v>
      </c>
      <c r="E685">
        <v>601</v>
      </c>
      <c r="F685">
        <v>6614</v>
      </c>
      <c r="G685">
        <v>8</v>
      </c>
      <c r="H685">
        <v>32768</v>
      </c>
      <c r="I685">
        <v>20</v>
      </c>
      <c r="J685" t="s">
        <v>1</v>
      </c>
      <c r="K685" t="s">
        <v>2</v>
      </c>
      <c r="L685" s="8">
        <f>UnilabUsage[[#This Row],[Used-MB]]-F675</f>
        <v>2</v>
      </c>
      <c r="M685">
        <f>UnilabUsage[[#This Row],[Max]]-UnilabUsage[[#This Row],[Used-MB]]</f>
        <v>26154</v>
      </c>
      <c r="N685" s="5">
        <f>IF($L685&gt;0,UnilabUsage[[#This Row],[Free-of-Max]]/UnilabUsage[[#This Row],[Usage-Delta-MB]],UnilabUsage[[#This Row],[Free-of-Max]])</f>
        <v>13077</v>
      </c>
    </row>
    <row r="686" spans="1:14" x14ac:dyDescent="0.25">
      <c r="A686" s="3">
        <v>44739</v>
      </c>
      <c r="B686" t="s">
        <v>3</v>
      </c>
      <c r="C686">
        <v>99</v>
      </c>
      <c r="D686">
        <v>413248</v>
      </c>
      <c r="E686">
        <v>4161</v>
      </c>
      <c r="F686">
        <v>409087</v>
      </c>
      <c r="G686">
        <v>1</v>
      </c>
      <c r="H686">
        <v>425984</v>
      </c>
      <c r="I686">
        <v>96</v>
      </c>
      <c r="J686" t="s">
        <v>1</v>
      </c>
      <c r="K686" t="s">
        <v>2</v>
      </c>
      <c r="L686" s="8">
        <f>UnilabUsage[[#This Row],[Used-MB]]-F676</f>
        <v>1124</v>
      </c>
      <c r="M686">
        <f>UnilabUsage[[#This Row],[Max]]-UnilabUsage[[#This Row],[Used-MB]]</f>
        <v>16897</v>
      </c>
      <c r="N686" s="5">
        <f>IF($L686&gt;0,UnilabUsage[[#This Row],[Free-of-Max]]/UnilabUsage[[#This Row],[Usage-Delta-MB]],UnilabUsage[[#This Row],[Free-of-Max]])</f>
        <v>15.032918149466193</v>
      </c>
    </row>
    <row r="687" spans="1:14" x14ac:dyDescent="0.25">
      <c r="A687" s="3">
        <v>44739</v>
      </c>
      <c r="B687" t="s">
        <v>5</v>
      </c>
      <c r="C687">
        <v>95</v>
      </c>
      <c r="D687">
        <v>19650</v>
      </c>
      <c r="E687">
        <v>967</v>
      </c>
      <c r="F687">
        <v>18683</v>
      </c>
      <c r="G687">
        <v>5</v>
      </c>
      <c r="H687">
        <v>32768</v>
      </c>
      <c r="I687">
        <v>57</v>
      </c>
      <c r="J687" t="s">
        <v>1</v>
      </c>
      <c r="K687" t="s">
        <v>2</v>
      </c>
      <c r="L687" s="8">
        <f>UnilabUsage[[#This Row],[Used-MB]]-F677</f>
        <v>75</v>
      </c>
      <c r="M687">
        <f>UnilabUsage[[#This Row],[Max]]-UnilabUsage[[#This Row],[Used-MB]]</f>
        <v>14085</v>
      </c>
      <c r="N687" s="5">
        <f>IF($L687&gt;0,UnilabUsage[[#This Row],[Free-of-Max]]/UnilabUsage[[#This Row],[Usage-Delta-MB]],UnilabUsage[[#This Row],[Free-of-Max]])</f>
        <v>187.8</v>
      </c>
    </row>
    <row r="688" spans="1:14" x14ac:dyDescent="0.25">
      <c r="A688" s="3">
        <v>44739</v>
      </c>
      <c r="B688" t="s">
        <v>8</v>
      </c>
      <c r="C688">
        <v>89</v>
      </c>
      <c r="D688">
        <v>294912</v>
      </c>
      <c r="E688">
        <v>32441</v>
      </c>
      <c r="F688">
        <v>262471</v>
      </c>
      <c r="G688">
        <v>11</v>
      </c>
      <c r="H688">
        <v>294912</v>
      </c>
      <c r="I688">
        <v>89</v>
      </c>
      <c r="J688" t="s">
        <v>1</v>
      </c>
      <c r="K688" t="s">
        <v>2</v>
      </c>
      <c r="L688" s="8">
        <f>UnilabUsage[[#This Row],[Used-MB]]-F678</f>
        <v>893</v>
      </c>
      <c r="M688">
        <f>UnilabUsage[[#This Row],[Max]]-UnilabUsage[[#This Row],[Used-MB]]</f>
        <v>32441</v>
      </c>
      <c r="N688" s="5">
        <f>IF($L688&gt;0,UnilabUsage[[#This Row],[Free-of-Max]]/UnilabUsage[[#This Row],[Usage-Delta-MB]],UnilabUsage[[#This Row],[Free-of-Max]])</f>
        <v>36.328107502799554</v>
      </c>
    </row>
    <row r="689" spans="1:14" x14ac:dyDescent="0.25">
      <c r="A689" s="3">
        <v>44739</v>
      </c>
      <c r="B689" t="s">
        <v>4</v>
      </c>
      <c r="C689">
        <v>98</v>
      </c>
      <c r="D689">
        <v>83925</v>
      </c>
      <c r="E689">
        <v>1713</v>
      </c>
      <c r="F689">
        <v>82212</v>
      </c>
      <c r="G689">
        <v>2</v>
      </c>
      <c r="H689">
        <v>98304</v>
      </c>
      <c r="I689">
        <v>84</v>
      </c>
      <c r="J689" t="s">
        <v>1</v>
      </c>
      <c r="K689" t="s">
        <v>2</v>
      </c>
      <c r="L689" s="8">
        <f>UnilabUsage[[#This Row],[Used-MB]]-F679</f>
        <v>256</v>
      </c>
      <c r="M689">
        <f>UnilabUsage[[#This Row],[Max]]-UnilabUsage[[#This Row],[Used-MB]]</f>
        <v>16092</v>
      </c>
      <c r="N689" s="5">
        <f>IF($L689&gt;0,UnilabUsage[[#This Row],[Free-of-Max]]/UnilabUsage[[#This Row],[Usage-Delta-MB]],UnilabUsage[[#This Row],[Free-of-Max]])</f>
        <v>62.859375</v>
      </c>
    </row>
    <row r="690" spans="1:14" x14ac:dyDescent="0.25">
      <c r="A690" s="3">
        <v>44739</v>
      </c>
      <c r="B690" t="s">
        <v>12</v>
      </c>
      <c r="C690">
        <v>0</v>
      </c>
      <c r="D690">
        <v>30720</v>
      </c>
      <c r="E690">
        <v>30640</v>
      </c>
      <c r="F690">
        <v>80</v>
      </c>
      <c r="G690">
        <v>100</v>
      </c>
      <c r="H690">
        <v>30720</v>
      </c>
      <c r="I690">
        <v>0</v>
      </c>
      <c r="J690" t="s">
        <v>1</v>
      </c>
      <c r="K690" t="s">
        <v>13</v>
      </c>
      <c r="L690" s="8">
        <f>UnilabUsage[[#This Row],[Used-MB]]-F680</f>
        <v>8</v>
      </c>
      <c r="M690">
        <f>UnilabUsage[[#This Row],[Max]]-UnilabUsage[[#This Row],[Used-MB]]</f>
        <v>30640</v>
      </c>
      <c r="N690" s="5">
        <f>IF($L690&gt;0,UnilabUsage[[#This Row],[Free-of-Max]]/UnilabUsage[[#This Row],[Usage-Delta-MB]],UnilabUsage[[#This Row],[Free-of-Max]])</f>
        <v>3830</v>
      </c>
    </row>
    <row r="691" spans="1:14" x14ac:dyDescent="0.25">
      <c r="A691" s="3">
        <v>44739</v>
      </c>
      <c r="B691" t="s">
        <v>9</v>
      </c>
      <c r="C691">
        <v>1</v>
      </c>
      <c r="D691">
        <v>10440</v>
      </c>
      <c r="E691">
        <v>10302</v>
      </c>
      <c r="F691">
        <v>139</v>
      </c>
      <c r="G691">
        <v>99</v>
      </c>
      <c r="H691">
        <v>32768</v>
      </c>
      <c r="I691">
        <v>0</v>
      </c>
      <c r="J691" t="s">
        <v>1</v>
      </c>
      <c r="K691" t="s">
        <v>10</v>
      </c>
      <c r="L691" s="8">
        <f>UnilabUsage[[#This Row],[Used-MB]]-F681</f>
        <v>-198</v>
      </c>
      <c r="M691">
        <f>UnilabUsage[[#This Row],[Max]]-UnilabUsage[[#This Row],[Used-MB]]</f>
        <v>32629</v>
      </c>
      <c r="N691" s="5">
        <f>IF($L691&gt;0,UnilabUsage[[#This Row],[Free-of-Max]]/UnilabUsage[[#This Row],[Usage-Delta-MB]],UnilabUsage[[#This Row],[Free-of-Max]])</f>
        <v>32629</v>
      </c>
    </row>
    <row r="692" spans="1:14" x14ac:dyDescent="0.25">
      <c r="A692" s="3">
        <v>44745</v>
      </c>
      <c r="B692" t="s">
        <v>7</v>
      </c>
      <c r="C692">
        <v>95</v>
      </c>
      <c r="D692">
        <v>1690</v>
      </c>
      <c r="E692">
        <v>78</v>
      </c>
      <c r="F692">
        <v>1612</v>
      </c>
      <c r="G692">
        <v>5</v>
      </c>
      <c r="H692">
        <v>32768</v>
      </c>
      <c r="I692">
        <v>5</v>
      </c>
      <c r="J692" t="s">
        <v>1</v>
      </c>
      <c r="K692" t="s">
        <v>2</v>
      </c>
      <c r="L692" s="8">
        <f>UnilabUsage[[#This Row],[Used-MB]]-F682</f>
        <v>0</v>
      </c>
      <c r="M692">
        <f>UnilabUsage[[#This Row],[Max]]-UnilabUsage[[#This Row],[Used-MB]]</f>
        <v>31156</v>
      </c>
      <c r="N692" s="5">
        <f>IF($L692&gt;0,UnilabUsage[[#This Row],[Free-of-Max]]/UnilabUsage[[#This Row],[Usage-Delta-MB]],UnilabUsage[[#This Row],[Free-of-Max]])</f>
        <v>31156</v>
      </c>
    </row>
    <row r="693" spans="1:14" x14ac:dyDescent="0.25">
      <c r="A693" s="3">
        <v>44745</v>
      </c>
      <c r="B693" t="s">
        <v>0</v>
      </c>
      <c r="C693">
        <v>100</v>
      </c>
      <c r="D693">
        <v>19050</v>
      </c>
      <c r="E693">
        <v>95</v>
      </c>
      <c r="F693">
        <v>18955</v>
      </c>
      <c r="G693">
        <v>0</v>
      </c>
      <c r="H693">
        <v>32768</v>
      </c>
      <c r="I693">
        <v>58</v>
      </c>
      <c r="J693" t="s">
        <v>1</v>
      </c>
      <c r="K693" t="s">
        <v>2</v>
      </c>
      <c r="L693" s="8">
        <f>UnilabUsage[[#This Row],[Used-MB]]-F683</f>
        <v>64</v>
      </c>
      <c r="M693">
        <f>UnilabUsage[[#This Row],[Max]]-UnilabUsage[[#This Row],[Used-MB]]</f>
        <v>13813</v>
      </c>
      <c r="N693" s="5">
        <f>IF($L693&gt;0,UnilabUsage[[#This Row],[Free-of-Max]]/UnilabUsage[[#This Row],[Usage-Delta-MB]],UnilabUsage[[#This Row],[Free-of-Max]])</f>
        <v>215.828125</v>
      </c>
    </row>
    <row r="694" spans="1:14" x14ac:dyDescent="0.25">
      <c r="A694" s="3">
        <v>44745</v>
      </c>
      <c r="B694" t="s">
        <v>11</v>
      </c>
      <c r="C694">
        <v>1</v>
      </c>
      <c r="D694">
        <v>100</v>
      </c>
      <c r="E694">
        <v>99</v>
      </c>
      <c r="F694">
        <v>1</v>
      </c>
      <c r="G694">
        <v>99</v>
      </c>
      <c r="H694">
        <v>32768</v>
      </c>
      <c r="I694">
        <v>0</v>
      </c>
      <c r="J694" t="s">
        <v>1</v>
      </c>
      <c r="K694" t="s">
        <v>2</v>
      </c>
      <c r="L694" s="8">
        <f>UnilabUsage[[#This Row],[Used-MB]]-F684</f>
        <v>0</v>
      </c>
      <c r="M694">
        <f>UnilabUsage[[#This Row],[Max]]-UnilabUsage[[#This Row],[Used-MB]]</f>
        <v>32767</v>
      </c>
      <c r="N694" s="5">
        <f>IF($L694&gt;0,UnilabUsage[[#This Row],[Free-of-Max]]/UnilabUsage[[#This Row],[Usage-Delta-MB]],UnilabUsage[[#This Row],[Free-of-Max]])</f>
        <v>32767</v>
      </c>
    </row>
    <row r="695" spans="1:14" x14ac:dyDescent="0.25">
      <c r="A695" s="3">
        <v>44745</v>
      </c>
      <c r="B695" t="s">
        <v>6</v>
      </c>
      <c r="C695">
        <v>92</v>
      </c>
      <c r="D695">
        <v>7215</v>
      </c>
      <c r="E695">
        <v>600</v>
      </c>
      <c r="F695">
        <v>6615</v>
      </c>
      <c r="G695">
        <v>8</v>
      </c>
      <c r="H695">
        <v>32768</v>
      </c>
      <c r="I695">
        <v>20</v>
      </c>
      <c r="J695" t="s">
        <v>1</v>
      </c>
      <c r="K695" t="s">
        <v>2</v>
      </c>
      <c r="L695" s="8">
        <f>UnilabUsage[[#This Row],[Used-MB]]-F685</f>
        <v>1</v>
      </c>
      <c r="M695">
        <f>UnilabUsage[[#This Row],[Max]]-UnilabUsage[[#This Row],[Used-MB]]</f>
        <v>26153</v>
      </c>
      <c r="N695" s="5">
        <f>IF($L695&gt;0,UnilabUsage[[#This Row],[Free-of-Max]]/UnilabUsage[[#This Row],[Usage-Delta-MB]],UnilabUsage[[#This Row],[Free-of-Max]])</f>
        <v>26153</v>
      </c>
    </row>
    <row r="696" spans="1:14" x14ac:dyDescent="0.25">
      <c r="A696" s="3">
        <v>44745</v>
      </c>
      <c r="B696" t="s">
        <v>3</v>
      </c>
      <c r="C696">
        <v>99</v>
      </c>
      <c r="D696">
        <v>413248</v>
      </c>
      <c r="E696">
        <v>3823</v>
      </c>
      <c r="F696">
        <v>409425</v>
      </c>
      <c r="G696">
        <v>1</v>
      </c>
      <c r="H696">
        <v>425984</v>
      </c>
      <c r="I696">
        <v>96</v>
      </c>
      <c r="J696" t="s">
        <v>1</v>
      </c>
      <c r="K696" t="s">
        <v>2</v>
      </c>
      <c r="L696" s="8">
        <f>UnilabUsage[[#This Row],[Used-MB]]-F686</f>
        <v>338</v>
      </c>
      <c r="M696">
        <f>UnilabUsage[[#This Row],[Max]]-UnilabUsage[[#This Row],[Used-MB]]</f>
        <v>16559</v>
      </c>
      <c r="N696" s="5">
        <f>IF($L696&gt;0,UnilabUsage[[#This Row],[Free-of-Max]]/UnilabUsage[[#This Row],[Usage-Delta-MB]],UnilabUsage[[#This Row],[Free-of-Max]])</f>
        <v>48.991124260355029</v>
      </c>
    </row>
    <row r="697" spans="1:14" x14ac:dyDescent="0.25">
      <c r="A697" s="3">
        <v>44745</v>
      </c>
      <c r="B697" t="s">
        <v>5</v>
      </c>
      <c r="C697">
        <v>95</v>
      </c>
      <c r="D697">
        <v>19650</v>
      </c>
      <c r="E697">
        <v>967</v>
      </c>
      <c r="F697">
        <v>18683</v>
      </c>
      <c r="G697">
        <v>5</v>
      </c>
      <c r="H697">
        <v>32768</v>
      </c>
      <c r="I697">
        <v>57</v>
      </c>
      <c r="J697" t="s">
        <v>1</v>
      </c>
      <c r="K697" t="s">
        <v>2</v>
      </c>
      <c r="L697" s="8">
        <f>UnilabUsage[[#This Row],[Used-MB]]-F687</f>
        <v>0</v>
      </c>
      <c r="M697">
        <f>UnilabUsage[[#This Row],[Max]]-UnilabUsage[[#This Row],[Used-MB]]</f>
        <v>14085</v>
      </c>
      <c r="N697" s="5">
        <f>IF($L697&gt;0,UnilabUsage[[#This Row],[Free-of-Max]]/UnilabUsage[[#This Row],[Usage-Delta-MB]],UnilabUsage[[#This Row],[Free-of-Max]])</f>
        <v>14085</v>
      </c>
    </row>
    <row r="698" spans="1:14" x14ac:dyDescent="0.25">
      <c r="A698" s="3">
        <v>44745</v>
      </c>
      <c r="B698" t="s">
        <v>8</v>
      </c>
      <c r="C698">
        <v>89</v>
      </c>
      <c r="D698">
        <v>294912</v>
      </c>
      <c r="E698">
        <v>31989</v>
      </c>
      <c r="F698">
        <v>262922</v>
      </c>
      <c r="G698">
        <v>11</v>
      </c>
      <c r="H698">
        <v>294912</v>
      </c>
      <c r="I698">
        <v>89</v>
      </c>
      <c r="J698" t="s">
        <v>1</v>
      </c>
      <c r="K698" t="s">
        <v>2</v>
      </c>
      <c r="L698" s="8">
        <f>UnilabUsage[[#This Row],[Used-MB]]-F688</f>
        <v>451</v>
      </c>
      <c r="M698">
        <f>UnilabUsage[[#This Row],[Max]]-UnilabUsage[[#This Row],[Used-MB]]</f>
        <v>31990</v>
      </c>
      <c r="N698" s="5">
        <f>IF($L698&gt;0,UnilabUsage[[#This Row],[Free-of-Max]]/UnilabUsage[[#This Row],[Usage-Delta-MB]],UnilabUsage[[#This Row],[Free-of-Max]])</f>
        <v>70.931263858093132</v>
      </c>
    </row>
    <row r="699" spans="1:14" x14ac:dyDescent="0.25">
      <c r="A699" s="3">
        <v>44745</v>
      </c>
      <c r="B699" t="s">
        <v>4</v>
      </c>
      <c r="C699">
        <v>98</v>
      </c>
      <c r="D699">
        <v>83925</v>
      </c>
      <c r="E699">
        <v>1713</v>
      </c>
      <c r="F699">
        <v>82212</v>
      </c>
      <c r="G699">
        <v>2</v>
      </c>
      <c r="H699">
        <v>98304</v>
      </c>
      <c r="I699">
        <v>84</v>
      </c>
      <c r="J699" t="s">
        <v>1</v>
      </c>
      <c r="K699" t="s">
        <v>2</v>
      </c>
      <c r="L699" s="8">
        <f>UnilabUsage[[#This Row],[Used-MB]]-F689</f>
        <v>0</v>
      </c>
      <c r="M699">
        <f>UnilabUsage[[#This Row],[Max]]-UnilabUsage[[#This Row],[Used-MB]]</f>
        <v>16092</v>
      </c>
      <c r="N699" s="5">
        <f>IF($L699&gt;0,UnilabUsage[[#This Row],[Free-of-Max]]/UnilabUsage[[#This Row],[Usage-Delta-MB]],UnilabUsage[[#This Row],[Free-of-Max]])</f>
        <v>16092</v>
      </c>
    </row>
    <row r="700" spans="1:14" x14ac:dyDescent="0.25">
      <c r="A700" s="3">
        <v>44745</v>
      </c>
      <c r="B700" t="s">
        <v>12</v>
      </c>
      <c r="C700">
        <v>0</v>
      </c>
      <c r="D700">
        <v>30720</v>
      </c>
      <c r="E700">
        <v>30613</v>
      </c>
      <c r="F700">
        <v>107</v>
      </c>
      <c r="G700">
        <v>100</v>
      </c>
      <c r="H700">
        <v>30720</v>
      </c>
      <c r="I700">
        <v>0</v>
      </c>
      <c r="J700" t="s">
        <v>1</v>
      </c>
      <c r="K700" t="s">
        <v>13</v>
      </c>
      <c r="L700" s="8">
        <f>UnilabUsage[[#This Row],[Used-MB]]-F690</f>
        <v>27</v>
      </c>
      <c r="M700">
        <f>UnilabUsage[[#This Row],[Max]]-UnilabUsage[[#This Row],[Used-MB]]</f>
        <v>30613</v>
      </c>
      <c r="N700" s="5">
        <f>IF($L700&gt;0,UnilabUsage[[#This Row],[Free-of-Max]]/UnilabUsage[[#This Row],[Usage-Delta-MB]],UnilabUsage[[#This Row],[Free-of-Max]])</f>
        <v>1133.8148148148148</v>
      </c>
    </row>
    <row r="701" spans="1:14" x14ac:dyDescent="0.25">
      <c r="A701" s="3">
        <v>44745</v>
      </c>
      <c r="B701" t="s">
        <v>9</v>
      </c>
      <c r="C701">
        <v>1</v>
      </c>
      <c r="D701">
        <v>10440</v>
      </c>
      <c r="E701">
        <v>10286</v>
      </c>
      <c r="F701">
        <v>154</v>
      </c>
      <c r="G701">
        <v>99</v>
      </c>
      <c r="H701">
        <v>32768</v>
      </c>
      <c r="I701">
        <v>0</v>
      </c>
      <c r="J701" t="s">
        <v>1</v>
      </c>
      <c r="K701" t="s">
        <v>10</v>
      </c>
      <c r="L701" s="8">
        <f>UnilabUsage[[#This Row],[Used-MB]]-F691</f>
        <v>15</v>
      </c>
      <c r="M701">
        <f>UnilabUsage[[#This Row],[Max]]-UnilabUsage[[#This Row],[Used-MB]]</f>
        <v>32614</v>
      </c>
      <c r="N701" s="5">
        <f>IF($L701&gt;0,UnilabUsage[[#This Row],[Free-of-Max]]/UnilabUsage[[#This Row],[Usage-Delta-MB]],UnilabUsage[[#This Row],[Free-of-Max]])</f>
        <v>2174.2666666666669</v>
      </c>
    </row>
    <row r="702" spans="1:14" x14ac:dyDescent="0.25">
      <c r="A702" s="3">
        <v>44760</v>
      </c>
      <c r="B702" t="s">
        <v>7</v>
      </c>
      <c r="C702">
        <v>96</v>
      </c>
      <c r="D702">
        <v>1710</v>
      </c>
      <c r="E702">
        <v>73</v>
      </c>
      <c r="F702">
        <v>1637</v>
      </c>
      <c r="G702">
        <v>4</v>
      </c>
      <c r="H702">
        <v>32768</v>
      </c>
      <c r="I702">
        <v>5</v>
      </c>
      <c r="J702" t="s">
        <v>1</v>
      </c>
      <c r="K702" t="s">
        <v>2</v>
      </c>
      <c r="L702" s="8">
        <f>UnilabUsage[[#This Row],[Used-MB]]-F692</f>
        <v>25</v>
      </c>
      <c r="M702">
        <f>UnilabUsage[[#This Row],[Max]]-UnilabUsage[[#This Row],[Used-MB]]</f>
        <v>31131</v>
      </c>
      <c r="N702" s="5">
        <f>IF($L702&gt;0,UnilabUsage[[#This Row],[Free-of-Max]]/UnilabUsage[[#This Row],[Usage-Delta-MB]],UnilabUsage[[#This Row],[Free-of-Max]])</f>
        <v>1245.24</v>
      </c>
    </row>
    <row r="703" spans="1:14" x14ac:dyDescent="0.25">
      <c r="A703" s="3">
        <v>44760</v>
      </c>
      <c r="B703" t="s">
        <v>0</v>
      </c>
      <c r="C703">
        <v>100</v>
      </c>
      <c r="D703">
        <v>19150</v>
      </c>
      <c r="E703">
        <v>66</v>
      </c>
      <c r="F703">
        <v>19084</v>
      </c>
      <c r="G703">
        <v>0</v>
      </c>
      <c r="H703">
        <v>32768</v>
      </c>
      <c r="I703">
        <v>58</v>
      </c>
      <c r="J703" t="s">
        <v>1</v>
      </c>
      <c r="K703" t="s">
        <v>2</v>
      </c>
      <c r="L703" s="8">
        <f>UnilabUsage[[#This Row],[Used-MB]]-F693</f>
        <v>129</v>
      </c>
      <c r="M703">
        <f>UnilabUsage[[#This Row],[Max]]-UnilabUsage[[#This Row],[Used-MB]]</f>
        <v>13684</v>
      </c>
      <c r="N703" s="5">
        <f>IF($L703&gt;0,UnilabUsage[[#This Row],[Free-of-Max]]/UnilabUsage[[#This Row],[Usage-Delta-MB]],UnilabUsage[[#This Row],[Free-of-Max]])</f>
        <v>106.07751937984496</v>
      </c>
    </row>
    <row r="704" spans="1:14" x14ac:dyDescent="0.25">
      <c r="A704" s="3">
        <v>44760</v>
      </c>
      <c r="B704" t="s">
        <v>11</v>
      </c>
      <c r="C704">
        <v>1</v>
      </c>
      <c r="D704">
        <v>100</v>
      </c>
      <c r="E704">
        <v>99</v>
      </c>
      <c r="F704">
        <v>1</v>
      </c>
      <c r="G704">
        <v>99</v>
      </c>
      <c r="H704">
        <v>32768</v>
      </c>
      <c r="I704">
        <v>0</v>
      </c>
      <c r="J704" t="s">
        <v>1</v>
      </c>
      <c r="K704" t="s">
        <v>2</v>
      </c>
      <c r="L704" s="8">
        <f>UnilabUsage[[#This Row],[Used-MB]]-F694</f>
        <v>0</v>
      </c>
      <c r="M704">
        <f>UnilabUsage[[#This Row],[Max]]-UnilabUsage[[#This Row],[Used-MB]]</f>
        <v>32767</v>
      </c>
      <c r="N704" s="5">
        <f>IF($L704&gt;0,UnilabUsage[[#This Row],[Free-of-Max]]/UnilabUsage[[#This Row],[Usage-Delta-MB]],UnilabUsage[[#This Row],[Free-of-Max]])</f>
        <v>32767</v>
      </c>
    </row>
    <row r="705" spans="1:14" x14ac:dyDescent="0.25">
      <c r="A705" s="3">
        <v>44760</v>
      </c>
      <c r="B705" t="s">
        <v>6</v>
      </c>
      <c r="C705">
        <v>93</v>
      </c>
      <c r="D705">
        <v>7215</v>
      </c>
      <c r="E705">
        <v>473</v>
      </c>
      <c r="F705">
        <v>6742</v>
      </c>
      <c r="G705">
        <v>7</v>
      </c>
      <c r="H705">
        <v>32768</v>
      </c>
      <c r="I705">
        <v>21</v>
      </c>
      <c r="J705" t="s">
        <v>1</v>
      </c>
      <c r="K705" t="s">
        <v>2</v>
      </c>
      <c r="L705" s="8">
        <f>UnilabUsage[[#This Row],[Used-MB]]-F695</f>
        <v>127</v>
      </c>
      <c r="M705">
        <f>UnilabUsage[[#This Row],[Max]]-UnilabUsage[[#This Row],[Used-MB]]</f>
        <v>26026</v>
      </c>
      <c r="N705" s="5">
        <f>IF($L705&gt;0,UnilabUsage[[#This Row],[Free-of-Max]]/UnilabUsage[[#This Row],[Usage-Delta-MB]],UnilabUsage[[#This Row],[Free-of-Max]])</f>
        <v>204.9291338582677</v>
      </c>
    </row>
    <row r="706" spans="1:14" x14ac:dyDescent="0.25">
      <c r="A706" s="3">
        <v>44760</v>
      </c>
      <c r="B706" t="s">
        <v>3</v>
      </c>
      <c r="C706">
        <v>99</v>
      </c>
      <c r="D706">
        <v>413248</v>
      </c>
      <c r="E706">
        <v>3077</v>
      </c>
      <c r="F706">
        <v>410171</v>
      </c>
      <c r="G706">
        <v>1</v>
      </c>
      <c r="H706">
        <v>425984</v>
      </c>
      <c r="I706">
        <v>96</v>
      </c>
      <c r="J706" t="s">
        <v>1</v>
      </c>
      <c r="K706" t="s">
        <v>2</v>
      </c>
      <c r="L706" s="8">
        <f>UnilabUsage[[#This Row],[Used-MB]]-F696</f>
        <v>746</v>
      </c>
      <c r="M706">
        <f>UnilabUsage[[#This Row],[Max]]-UnilabUsage[[#This Row],[Used-MB]]</f>
        <v>15813</v>
      </c>
      <c r="N706" s="5">
        <f>IF($L706&gt;0,UnilabUsage[[#This Row],[Free-of-Max]]/UnilabUsage[[#This Row],[Usage-Delta-MB]],UnilabUsage[[#This Row],[Free-of-Max]])</f>
        <v>21.197050938337803</v>
      </c>
    </row>
    <row r="707" spans="1:14" x14ac:dyDescent="0.25">
      <c r="A707" s="3">
        <v>44760</v>
      </c>
      <c r="B707" t="s">
        <v>5</v>
      </c>
      <c r="C707">
        <v>95</v>
      </c>
      <c r="D707">
        <v>19950</v>
      </c>
      <c r="E707">
        <v>982</v>
      </c>
      <c r="F707">
        <v>18968</v>
      </c>
      <c r="G707">
        <v>5</v>
      </c>
      <c r="H707">
        <v>32768</v>
      </c>
      <c r="I707">
        <v>58</v>
      </c>
      <c r="J707" t="s">
        <v>1</v>
      </c>
      <c r="K707" t="s">
        <v>2</v>
      </c>
      <c r="L707" s="8">
        <f>UnilabUsage[[#This Row],[Used-MB]]-F697</f>
        <v>285</v>
      </c>
      <c r="M707">
        <f>UnilabUsage[[#This Row],[Max]]-UnilabUsage[[#This Row],[Used-MB]]</f>
        <v>13800</v>
      </c>
      <c r="N707" s="5">
        <f>IF($L707&gt;0,UnilabUsage[[#This Row],[Free-of-Max]]/UnilabUsage[[#This Row],[Usage-Delta-MB]],UnilabUsage[[#This Row],[Free-of-Max]])</f>
        <v>48.421052631578945</v>
      </c>
    </row>
    <row r="708" spans="1:14" x14ac:dyDescent="0.25">
      <c r="A708" s="3">
        <v>44760</v>
      </c>
      <c r="B708" t="s">
        <v>8</v>
      </c>
      <c r="C708">
        <v>89</v>
      </c>
      <c r="D708">
        <v>294912</v>
      </c>
      <c r="E708">
        <v>31227</v>
      </c>
      <c r="F708">
        <v>263684</v>
      </c>
      <c r="G708">
        <v>11</v>
      </c>
      <c r="H708">
        <v>294912</v>
      </c>
      <c r="I708">
        <v>89</v>
      </c>
      <c r="J708" t="s">
        <v>1</v>
      </c>
      <c r="K708" t="s">
        <v>2</v>
      </c>
      <c r="L708" s="8">
        <f>UnilabUsage[[#This Row],[Used-MB]]-F698</f>
        <v>762</v>
      </c>
      <c r="M708">
        <f>UnilabUsage[[#This Row],[Max]]-UnilabUsage[[#This Row],[Used-MB]]</f>
        <v>31228</v>
      </c>
      <c r="N708" s="5">
        <f>IF($L708&gt;0,UnilabUsage[[#This Row],[Free-of-Max]]/UnilabUsage[[#This Row],[Usage-Delta-MB]],UnilabUsage[[#This Row],[Free-of-Max]])</f>
        <v>40.981627296587924</v>
      </c>
    </row>
    <row r="709" spans="1:14" x14ac:dyDescent="0.25">
      <c r="A709" s="3">
        <v>44760</v>
      </c>
      <c r="B709" t="s">
        <v>4</v>
      </c>
      <c r="C709">
        <v>98</v>
      </c>
      <c r="D709">
        <v>83925</v>
      </c>
      <c r="E709">
        <v>1457</v>
      </c>
      <c r="F709">
        <v>82468</v>
      </c>
      <c r="G709">
        <v>2</v>
      </c>
      <c r="H709">
        <v>98304</v>
      </c>
      <c r="I709">
        <v>84</v>
      </c>
      <c r="J709" t="s">
        <v>1</v>
      </c>
      <c r="K709" t="s">
        <v>2</v>
      </c>
      <c r="L709" s="8">
        <f>UnilabUsage[[#This Row],[Used-MB]]-F699</f>
        <v>256</v>
      </c>
      <c r="M709">
        <f>UnilabUsage[[#This Row],[Max]]-UnilabUsage[[#This Row],[Used-MB]]</f>
        <v>15836</v>
      </c>
      <c r="N709" s="5">
        <f>IF($L709&gt;0,UnilabUsage[[#This Row],[Free-of-Max]]/UnilabUsage[[#This Row],[Usage-Delta-MB]],UnilabUsage[[#This Row],[Free-of-Max]])</f>
        <v>61.859375</v>
      </c>
    </row>
    <row r="710" spans="1:14" x14ac:dyDescent="0.25">
      <c r="A710" s="3">
        <v>44760</v>
      </c>
      <c r="B710" t="s">
        <v>12</v>
      </c>
      <c r="C710">
        <v>0</v>
      </c>
      <c r="D710">
        <v>30720</v>
      </c>
      <c r="E710">
        <v>30583</v>
      </c>
      <c r="F710">
        <v>137</v>
      </c>
      <c r="G710">
        <v>100</v>
      </c>
      <c r="H710">
        <v>30720</v>
      </c>
      <c r="I710">
        <v>0</v>
      </c>
      <c r="J710" t="s">
        <v>1</v>
      </c>
      <c r="K710" t="s">
        <v>13</v>
      </c>
      <c r="L710" s="8">
        <f>UnilabUsage[[#This Row],[Used-MB]]-F700</f>
        <v>30</v>
      </c>
      <c r="M710">
        <f>UnilabUsage[[#This Row],[Max]]-UnilabUsage[[#This Row],[Used-MB]]</f>
        <v>30583</v>
      </c>
      <c r="N710" s="5">
        <f>IF($L710&gt;0,UnilabUsage[[#This Row],[Free-of-Max]]/UnilabUsage[[#This Row],[Usage-Delta-MB]],UnilabUsage[[#This Row],[Free-of-Max]])</f>
        <v>1019.4333333333333</v>
      </c>
    </row>
    <row r="711" spans="1:14" x14ac:dyDescent="0.25">
      <c r="A711" s="3">
        <v>44760</v>
      </c>
      <c r="B711" t="s">
        <v>9</v>
      </c>
      <c r="C711">
        <v>1</v>
      </c>
      <c r="D711">
        <v>10440</v>
      </c>
      <c r="E711">
        <v>10294</v>
      </c>
      <c r="F711">
        <v>146</v>
      </c>
      <c r="G711">
        <v>99</v>
      </c>
      <c r="H711">
        <v>32768</v>
      </c>
      <c r="I711">
        <v>0</v>
      </c>
      <c r="J711" t="s">
        <v>1</v>
      </c>
      <c r="K711" t="s">
        <v>10</v>
      </c>
      <c r="L711" s="8">
        <f>UnilabUsage[[#This Row],[Used-MB]]-F701</f>
        <v>-8</v>
      </c>
      <c r="M711">
        <f>UnilabUsage[[#This Row],[Max]]-UnilabUsage[[#This Row],[Used-MB]]</f>
        <v>32622</v>
      </c>
      <c r="N711" s="5">
        <f>IF($L711&gt;0,UnilabUsage[[#This Row],[Free-of-Max]]/UnilabUsage[[#This Row],[Usage-Delta-MB]],UnilabUsage[[#This Row],[Free-of-Max]])</f>
        <v>32622</v>
      </c>
    </row>
    <row r="712" spans="1:14" x14ac:dyDescent="0.25">
      <c r="A712" s="3">
        <v>44767</v>
      </c>
      <c r="B712" t="s">
        <v>7</v>
      </c>
      <c r="C712">
        <v>96</v>
      </c>
      <c r="D712">
        <v>1710</v>
      </c>
      <c r="E712">
        <v>73</v>
      </c>
      <c r="F712">
        <v>1637</v>
      </c>
      <c r="G712">
        <v>4</v>
      </c>
      <c r="H712">
        <v>32768</v>
      </c>
      <c r="I712">
        <v>5</v>
      </c>
      <c r="J712" t="s">
        <v>1</v>
      </c>
      <c r="K712" t="s">
        <v>2</v>
      </c>
      <c r="L712" s="8">
        <f>UnilabUsage[[#This Row],[Used-MB]]-F702</f>
        <v>0</v>
      </c>
      <c r="M712">
        <f>UnilabUsage[[#This Row],[Max]]-UnilabUsage[[#This Row],[Used-MB]]</f>
        <v>31131</v>
      </c>
      <c r="N712" s="5">
        <f>IF($L712&gt;0,UnilabUsage[[#This Row],[Free-of-Max]]/UnilabUsage[[#This Row],[Usage-Delta-MB]],UnilabUsage[[#This Row],[Free-of-Max]])</f>
        <v>31131</v>
      </c>
    </row>
    <row r="713" spans="1:14" x14ac:dyDescent="0.25">
      <c r="A713" s="3">
        <v>44767</v>
      </c>
      <c r="B713" t="s">
        <v>0</v>
      </c>
      <c r="C713">
        <v>100</v>
      </c>
      <c r="D713">
        <v>19150</v>
      </c>
      <c r="E713">
        <v>2</v>
      </c>
      <c r="F713">
        <v>19148</v>
      </c>
      <c r="G713">
        <v>0</v>
      </c>
      <c r="H713">
        <v>32768</v>
      </c>
      <c r="I713">
        <v>58</v>
      </c>
      <c r="J713" t="s">
        <v>1</v>
      </c>
      <c r="K713" t="s">
        <v>2</v>
      </c>
      <c r="L713" s="8">
        <f>UnilabUsage[[#This Row],[Used-MB]]-F703</f>
        <v>64</v>
      </c>
      <c r="M713">
        <f>UnilabUsage[[#This Row],[Max]]-UnilabUsage[[#This Row],[Used-MB]]</f>
        <v>13620</v>
      </c>
      <c r="N713" s="5">
        <f>IF($L713&gt;0,UnilabUsage[[#This Row],[Free-of-Max]]/UnilabUsage[[#This Row],[Usage-Delta-MB]],UnilabUsage[[#This Row],[Free-of-Max]])</f>
        <v>212.8125</v>
      </c>
    </row>
    <row r="714" spans="1:14" x14ac:dyDescent="0.25">
      <c r="A714" s="3">
        <v>44767</v>
      </c>
      <c r="B714" t="s">
        <v>11</v>
      </c>
      <c r="C714">
        <v>1</v>
      </c>
      <c r="D714">
        <v>100</v>
      </c>
      <c r="E714">
        <v>99</v>
      </c>
      <c r="F714">
        <v>1</v>
      </c>
      <c r="G714">
        <v>99</v>
      </c>
      <c r="H714">
        <v>32768</v>
      </c>
      <c r="I714">
        <v>0</v>
      </c>
      <c r="J714" t="s">
        <v>1</v>
      </c>
      <c r="K714" t="s">
        <v>2</v>
      </c>
      <c r="L714" s="8">
        <f>UnilabUsage[[#This Row],[Used-MB]]-F704</f>
        <v>0</v>
      </c>
      <c r="M714">
        <f>UnilabUsage[[#This Row],[Max]]-UnilabUsage[[#This Row],[Used-MB]]</f>
        <v>32767</v>
      </c>
      <c r="N714" s="5">
        <f>IF($L714&gt;0,UnilabUsage[[#This Row],[Free-of-Max]]/UnilabUsage[[#This Row],[Usage-Delta-MB]],UnilabUsage[[#This Row],[Free-of-Max]])</f>
        <v>32767</v>
      </c>
    </row>
    <row r="715" spans="1:14" x14ac:dyDescent="0.25">
      <c r="A715" s="3">
        <v>44767</v>
      </c>
      <c r="B715" t="s">
        <v>6</v>
      </c>
      <c r="C715">
        <v>93</v>
      </c>
      <c r="D715">
        <v>7215</v>
      </c>
      <c r="E715">
        <v>473</v>
      </c>
      <c r="F715">
        <v>6743</v>
      </c>
      <c r="G715">
        <v>7</v>
      </c>
      <c r="H715">
        <v>32768</v>
      </c>
      <c r="I715">
        <v>21</v>
      </c>
      <c r="J715" t="s">
        <v>1</v>
      </c>
      <c r="K715" t="s">
        <v>2</v>
      </c>
      <c r="L715" s="8">
        <f>UnilabUsage[[#This Row],[Used-MB]]-F705</f>
        <v>1</v>
      </c>
      <c r="M715">
        <f>UnilabUsage[[#This Row],[Max]]-UnilabUsage[[#This Row],[Used-MB]]</f>
        <v>26025</v>
      </c>
      <c r="N715" s="5">
        <f>IF($L715&gt;0,UnilabUsage[[#This Row],[Free-of-Max]]/UnilabUsage[[#This Row],[Usage-Delta-MB]],UnilabUsage[[#This Row],[Free-of-Max]])</f>
        <v>26025</v>
      </c>
    </row>
    <row r="716" spans="1:14" x14ac:dyDescent="0.25">
      <c r="A716" s="3">
        <v>44767</v>
      </c>
      <c r="B716" t="s">
        <v>3</v>
      </c>
      <c r="C716">
        <v>99</v>
      </c>
      <c r="D716">
        <v>413248</v>
      </c>
      <c r="E716">
        <v>2684</v>
      </c>
      <c r="F716">
        <v>410564</v>
      </c>
      <c r="G716">
        <v>1</v>
      </c>
      <c r="H716">
        <v>425984</v>
      </c>
      <c r="I716">
        <v>96</v>
      </c>
      <c r="J716" t="s">
        <v>1</v>
      </c>
      <c r="K716" t="s">
        <v>2</v>
      </c>
      <c r="L716" s="8">
        <f>UnilabUsage[[#This Row],[Used-MB]]-F706</f>
        <v>393</v>
      </c>
      <c r="M716">
        <f>UnilabUsage[[#This Row],[Max]]-UnilabUsage[[#This Row],[Used-MB]]</f>
        <v>15420</v>
      </c>
      <c r="N716" s="5">
        <f>IF($L716&gt;0,UnilabUsage[[#This Row],[Free-of-Max]]/UnilabUsage[[#This Row],[Usage-Delta-MB]],UnilabUsage[[#This Row],[Free-of-Max]])</f>
        <v>39.236641221374043</v>
      </c>
    </row>
    <row r="717" spans="1:14" x14ac:dyDescent="0.25">
      <c r="A717" s="3">
        <v>44767</v>
      </c>
      <c r="B717" t="s">
        <v>5</v>
      </c>
      <c r="C717">
        <v>95</v>
      </c>
      <c r="D717">
        <v>20100</v>
      </c>
      <c r="E717">
        <v>1004</v>
      </c>
      <c r="F717">
        <v>19096</v>
      </c>
      <c r="G717">
        <v>5</v>
      </c>
      <c r="H717">
        <v>32768</v>
      </c>
      <c r="I717">
        <v>58</v>
      </c>
      <c r="J717" t="s">
        <v>1</v>
      </c>
      <c r="K717" t="s">
        <v>2</v>
      </c>
      <c r="L717" s="8">
        <f>UnilabUsage[[#This Row],[Used-MB]]-F707</f>
        <v>128</v>
      </c>
      <c r="M717">
        <f>UnilabUsage[[#This Row],[Max]]-UnilabUsage[[#This Row],[Used-MB]]</f>
        <v>13672</v>
      </c>
      <c r="N717" s="5">
        <f>IF($L717&gt;0,UnilabUsage[[#This Row],[Free-of-Max]]/UnilabUsage[[#This Row],[Usage-Delta-MB]],UnilabUsage[[#This Row],[Free-of-Max]])</f>
        <v>106.8125</v>
      </c>
    </row>
    <row r="718" spans="1:14" x14ac:dyDescent="0.25">
      <c r="A718" s="3">
        <v>44767</v>
      </c>
      <c r="B718" t="s">
        <v>8</v>
      </c>
      <c r="C718">
        <v>89</v>
      </c>
      <c r="D718">
        <v>294912</v>
      </c>
      <c r="E718">
        <v>31017</v>
      </c>
      <c r="F718">
        <v>263895</v>
      </c>
      <c r="G718">
        <v>11</v>
      </c>
      <c r="H718">
        <v>294912</v>
      </c>
      <c r="I718">
        <v>89</v>
      </c>
      <c r="J718" t="s">
        <v>1</v>
      </c>
      <c r="K718" t="s">
        <v>2</v>
      </c>
      <c r="L718" s="8">
        <f>UnilabUsage[[#This Row],[Used-MB]]-F708</f>
        <v>211</v>
      </c>
      <c r="M718">
        <f>UnilabUsage[[#This Row],[Max]]-UnilabUsage[[#This Row],[Used-MB]]</f>
        <v>31017</v>
      </c>
      <c r="N718" s="5">
        <f>IF($L718&gt;0,UnilabUsage[[#This Row],[Free-of-Max]]/UnilabUsage[[#This Row],[Usage-Delta-MB]],UnilabUsage[[#This Row],[Free-of-Max]])</f>
        <v>147</v>
      </c>
    </row>
    <row r="719" spans="1:14" x14ac:dyDescent="0.25">
      <c r="A719" s="3">
        <v>44767</v>
      </c>
      <c r="B719" t="s">
        <v>4</v>
      </c>
      <c r="C719">
        <v>98</v>
      </c>
      <c r="D719">
        <v>83925</v>
      </c>
      <c r="E719">
        <v>1265</v>
      </c>
      <c r="F719">
        <v>82660</v>
      </c>
      <c r="G719">
        <v>2</v>
      </c>
      <c r="H719">
        <v>98304</v>
      </c>
      <c r="I719">
        <v>84</v>
      </c>
      <c r="J719" t="s">
        <v>1</v>
      </c>
      <c r="K719" t="s">
        <v>2</v>
      </c>
      <c r="L719" s="8">
        <f>UnilabUsage[[#This Row],[Used-MB]]-F709</f>
        <v>192</v>
      </c>
      <c r="M719">
        <f>UnilabUsage[[#This Row],[Max]]-UnilabUsage[[#This Row],[Used-MB]]</f>
        <v>15644</v>
      </c>
      <c r="N719" s="5">
        <f>IF($L719&gt;0,UnilabUsage[[#This Row],[Free-of-Max]]/UnilabUsage[[#This Row],[Usage-Delta-MB]],UnilabUsage[[#This Row],[Free-of-Max]])</f>
        <v>81.479166666666671</v>
      </c>
    </row>
    <row r="720" spans="1:14" x14ac:dyDescent="0.25">
      <c r="A720" s="3">
        <v>44767</v>
      </c>
      <c r="B720" t="s">
        <v>12</v>
      </c>
      <c r="C720">
        <v>0</v>
      </c>
      <c r="D720">
        <v>30720</v>
      </c>
      <c r="E720">
        <v>30625</v>
      </c>
      <c r="F720">
        <v>95</v>
      </c>
      <c r="G720">
        <v>100</v>
      </c>
      <c r="H720">
        <v>30720</v>
      </c>
      <c r="I720">
        <v>0</v>
      </c>
      <c r="J720" t="s">
        <v>1</v>
      </c>
      <c r="K720" t="s">
        <v>13</v>
      </c>
      <c r="L720" s="8">
        <f>UnilabUsage[[#This Row],[Used-MB]]-F710</f>
        <v>-42</v>
      </c>
      <c r="M720">
        <f>UnilabUsage[[#This Row],[Max]]-UnilabUsage[[#This Row],[Used-MB]]</f>
        <v>30625</v>
      </c>
      <c r="N720" s="5">
        <f>IF($L720&gt;0,UnilabUsage[[#This Row],[Free-of-Max]]/UnilabUsage[[#This Row],[Usage-Delta-MB]],UnilabUsage[[#This Row],[Free-of-Max]])</f>
        <v>30625</v>
      </c>
    </row>
    <row r="721" spans="1:14" x14ac:dyDescent="0.25">
      <c r="A721" s="3">
        <v>44767</v>
      </c>
      <c r="B721" t="s">
        <v>9</v>
      </c>
      <c r="C721">
        <v>1</v>
      </c>
      <c r="D721">
        <v>10440</v>
      </c>
      <c r="E721">
        <v>10326</v>
      </c>
      <c r="F721">
        <v>114</v>
      </c>
      <c r="G721">
        <v>99</v>
      </c>
      <c r="H721">
        <v>32768</v>
      </c>
      <c r="I721">
        <v>0</v>
      </c>
      <c r="J721" t="s">
        <v>1</v>
      </c>
      <c r="K721" t="s">
        <v>10</v>
      </c>
      <c r="L721" s="8">
        <f>UnilabUsage[[#This Row],[Used-MB]]-F711</f>
        <v>-32</v>
      </c>
      <c r="M721">
        <f>UnilabUsage[[#This Row],[Max]]-UnilabUsage[[#This Row],[Used-MB]]</f>
        <v>32654</v>
      </c>
      <c r="N721" s="5">
        <f>IF($L721&gt;0,UnilabUsage[[#This Row],[Free-of-Max]]/UnilabUsage[[#This Row],[Usage-Delta-MB]],UnilabUsage[[#This Row],[Free-of-Max]])</f>
        <v>32654</v>
      </c>
    </row>
    <row r="722" spans="1:14" x14ac:dyDescent="0.25">
      <c r="A722" s="3">
        <v>44781</v>
      </c>
      <c r="B722" t="s">
        <v>7</v>
      </c>
      <c r="C722">
        <v>95</v>
      </c>
      <c r="D722">
        <v>1750</v>
      </c>
      <c r="E722">
        <v>90</v>
      </c>
      <c r="F722">
        <v>1660</v>
      </c>
      <c r="G722">
        <v>5</v>
      </c>
      <c r="H722">
        <v>32768</v>
      </c>
      <c r="I722">
        <v>5</v>
      </c>
      <c r="J722" t="s">
        <v>1</v>
      </c>
      <c r="K722" t="s">
        <v>2</v>
      </c>
      <c r="L722" s="8">
        <f>UnilabUsage[[#This Row],[Used-MB]]-F712</f>
        <v>23</v>
      </c>
      <c r="M722">
        <f>UnilabUsage[[#This Row],[Max]]-UnilabUsage[[#This Row],[Used-MB]]</f>
        <v>31108</v>
      </c>
      <c r="N722" s="5">
        <f>IF($L722&gt;0,UnilabUsage[[#This Row],[Free-of-Max]]/UnilabUsage[[#This Row],[Usage-Delta-MB]],UnilabUsage[[#This Row],[Free-of-Max]])</f>
        <v>1352.5217391304348</v>
      </c>
    </row>
    <row r="723" spans="1:14" x14ac:dyDescent="0.25">
      <c r="A723" s="3">
        <v>44781</v>
      </c>
      <c r="B723" t="s">
        <v>0</v>
      </c>
      <c r="C723">
        <v>100</v>
      </c>
      <c r="D723">
        <v>19250</v>
      </c>
      <c r="E723">
        <v>38</v>
      </c>
      <c r="F723">
        <v>19212</v>
      </c>
      <c r="G723">
        <v>0</v>
      </c>
      <c r="H723">
        <v>32768</v>
      </c>
      <c r="I723">
        <v>59</v>
      </c>
      <c r="J723" t="s">
        <v>1</v>
      </c>
      <c r="K723" t="s">
        <v>2</v>
      </c>
      <c r="L723" s="8">
        <f>UnilabUsage[[#This Row],[Used-MB]]-F713</f>
        <v>64</v>
      </c>
      <c r="M723">
        <f>UnilabUsage[[#This Row],[Max]]-UnilabUsage[[#This Row],[Used-MB]]</f>
        <v>13556</v>
      </c>
      <c r="N723" s="5">
        <f>IF($L723&gt;0,UnilabUsage[[#This Row],[Free-of-Max]]/UnilabUsage[[#This Row],[Usage-Delta-MB]],UnilabUsage[[#This Row],[Free-of-Max]])</f>
        <v>211.8125</v>
      </c>
    </row>
    <row r="724" spans="1:14" x14ac:dyDescent="0.25">
      <c r="A724" s="3">
        <v>44781</v>
      </c>
      <c r="B724" t="s">
        <v>11</v>
      </c>
      <c r="C724">
        <v>1</v>
      </c>
      <c r="D724">
        <v>100</v>
      </c>
      <c r="E724">
        <v>99</v>
      </c>
      <c r="F724">
        <v>1</v>
      </c>
      <c r="G724">
        <v>99</v>
      </c>
      <c r="H724">
        <v>32768</v>
      </c>
      <c r="I724">
        <v>0</v>
      </c>
      <c r="J724" t="s">
        <v>1</v>
      </c>
      <c r="K724" t="s">
        <v>2</v>
      </c>
      <c r="L724" s="8">
        <f>UnilabUsage[[#This Row],[Used-MB]]-F714</f>
        <v>0</v>
      </c>
      <c r="M724">
        <f>UnilabUsage[[#This Row],[Max]]-UnilabUsage[[#This Row],[Used-MB]]</f>
        <v>32767</v>
      </c>
      <c r="N724" s="5">
        <f>IF($L724&gt;0,UnilabUsage[[#This Row],[Free-of-Max]]/UnilabUsage[[#This Row],[Usage-Delta-MB]],UnilabUsage[[#This Row],[Free-of-Max]])</f>
        <v>32767</v>
      </c>
    </row>
    <row r="725" spans="1:14" x14ac:dyDescent="0.25">
      <c r="A725" s="3">
        <v>44781</v>
      </c>
      <c r="B725" t="s">
        <v>6</v>
      </c>
      <c r="C725">
        <v>94</v>
      </c>
      <c r="D725">
        <v>7215</v>
      </c>
      <c r="E725">
        <v>456</v>
      </c>
      <c r="F725">
        <v>6760</v>
      </c>
      <c r="G725">
        <v>6</v>
      </c>
      <c r="H725">
        <v>32768</v>
      </c>
      <c r="I725">
        <v>21</v>
      </c>
      <c r="J725" t="s">
        <v>1</v>
      </c>
      <c r="K725" t="s">
        <v>2</v>
      </c>
      <c r="L725" s="8">
        <f>UnilabUsage[[#This Row],[Used-MB]]-F715</f>
        <v>17</v>
      </c>
      <c r="M725">
        <f>UnilabUsage[[#This Row],[Max]]-UnilabUsage[[#This Row],[Used-MB]]</f>
        <v>26008</v>
      </c>
      <c r="N725" s="5">
        <f>IF($L725&gt;0,UnilabUsage[[#This Row],[Free-of-Max]]/UnilabUsage[[#This Row],[Usage-Delta-MB]],UnilabUsage[[#This Row],[Free-of-Max]])</f>
        <v>1529.8823529411766</v>
      </c>
    </row>
    <row r="726" spans="1:14" x14ac:dyDescent="0.25">
      <c r="A726" s="3">
        <v>44781</v>
      </c>
      <c r="B726" t="s">
        <v>3</v>
      </c>
      <c r="C726">
        <v>100</v>
      </c>
      <c r="D726">
        <v>413248</v>
      </c>
      <c r="E726">
        <v>1992</v>
      </c>
      <c r="F726">
        <v>411256</v>
      </c>
      <c r="G726">
        <v>0</v>
      </c>
      <c r="H726">
        <v>425984</v>
      </c>
      <c r="I726">
        <v>97</v>
      </c>
      <c r="J726" t="s">
        <v>1</v>
      </c>
      <c r="K726" t="s">
        <v>2</v>
      </c>
      <c r="L726" s="8">
        <f>UnilabUsage[[#This Row],[Used-MB]]-F716</f>
        <v>692</v>
      </c>
      <c r="M726">
        <f>UnilabUsage[[#This Row],[Max]]-UnilabUsage[[#This Row],[Used-MB]]</f>
        <v>14728</v>
      </c>
      <c r="N726" s="5">
        <f>IF($L726&gt;0,UnilabUsage[[#This Row],[Free-of-Max]]/UnilabUsage[[#This Row],[Usage-Delta-MB]],UnilabUsage[[#This Row],[Free-of-Max]])</f>
        <v>21.283236994219653</v>
      </c>
    </row>
    <row r="727" spans="1:14" x14ac:dyDescent="0.25">
      <c r="A727" s="3">
        <v>44781</v>
      </c>
      <c r="B727" t="s">
        <v>5</v>
      </c>
      <c r="C727">
        <v>95</v>
      </c>
      <c r="D727">
        <v>20150</v>
      </c>
      <c r="E727">
        <v>990</v>
      </c>
      <c r="F727">
        <v>19160</v>
      </c>
      <c r="G727">
        <v>5</v>
      </c>
      <c r="H727">
        <v>32768</v>
      </c>
      <c r="I727">
        <v>58</v>
      </c>
      <c r="J727" t="s">
        <v>1</v>
      </c>
      <c r="K727" t="s">
        <v>2</v>
      </c>
      <c r="L727" s="8">
        <f>UnilabUsage[[#This Row],[Used-MB]]-F717</f>
        <v>64</v>
      </c>
      <c r="M727">
        <f>UnilabUsage[[#This Row],[Max]]-UnilabUsage[[#This Row],[Used-MB]]</f>
        <v>13608</v>
      </c>
      <c r="N727" s="5">
        <f>IF($L727&gt;0,UnilabUsage[[#This Row],[Free-of-Max]]/UnilabUsage[[#This Row],[Usage-Delta-MB]],UnilabUsage[[#This Row],[Free-of-Max]])</f>
        <v>212.625</v>
      </c>
    </row>
    <row r="728" spans="1:14" x14ac:dyDescent="0.25">
      <c r="A728" s="3">
        <v>44781</v>
      </c>
      <c r="B728" t="s">
        <v>8</v>
      </c>
      <c r="C728">
        <v>90</v>
      </c>
      <c r="D728">
        <v>294912</v>
      </c>
      <c r="E728">
        <v>30631</v>
      </c>
      <c r="F728">
        <v>264281</v>
      </c>
      <c r="G728">
        <v>10</v>
      </c>
      <c r="H728">
        <v>294912</v>
      </c>
      <c r="I728">
        <v>90</v>
      </c>
      <c r="J728" t="s">
        <v>1</v>
      </c>
      <c r="K728" t="s">
        <v>2</v>
      </c>
      <c r="L728" s="8">
        <f>UnilabUsage[[#This Row],[Used-MB]]-F718</f>
        <v>386</v>
      </c>
      <c r="M728">
        <f>UnilabUsage[[#This Row],[Max]]-UnilabUsage[[#This Row],[Used-MB]]</f>
        <v>30631</v>
      </c>
      <c r="N728" s="5">
        <f>IF($L728&gt;0,UnilabUsage[[#This Row],[Free-of-Max]]/UnilabUsage[[#This Row],[Usage-Delta-MB]],UnilabUsage[[#This Row],[Free-of-Max]])</f>
        <v>79.354922279792746</v>
      </c>
    </row>
    <row r="729" spans="1:14" x14ac:dyDescent="0.25">
      <c r="A729" s="3">
        <v>44781</v>
      </c>
      <c r="B729" t="s">
        <v>4</v>
      </c>
      <c r="C729">
        <v>95</v>
      </c>
      <c r="D729">
        <v>87509</v>
      </c>
      <c r="E729">
        <v>4465</v>
      </c>
      <c r="F729">
        <v>83044</v>
      </c>
      <c r="G729">
        <v>5</v>
      </c>
      <c r="H729">
        <v>98304</v>
      </c>
      <c r="I729">
        <v>84</v>
      </c>
      <c r="J729" t="s">
        <v>1</v>
      </c>
      <c r="K729" t="s">
        <v>2</v>
      </c>
      <c r="L729" s="8">
        <f>UnilabUsage[[#This Row],[Used-MB]]-F719</f>
        <v>384</v>
      </c>
      <c r="M729">
        <f>UnilabUsage[[#This Row],[Max]]-UnilabUsage[[#This Row],[Used-MB]]</f>
        <v>15260</v>
      </c>
      <c r="N729" s="5">
        <f>IF($L729&gt;0,UnilabUsage[[#This Row],[Free-of-Max]]/UnilabUsage[[#This Row],[Usage-Delta-MB]],UnilabUsage[[#This Row],[Free-of-Max]])</f>
        <v>39.739583333333336</v>
      </c>
    </row>
    <row r="730" spans="1:14" x14ac:dyDescent="0.25">
      <c r="A730" s="3">
        <v>44781</v>
      </c>
      <c r="B730" t="s">
        <v>12</v>
      </c>
      <c r="C730">
        <v>0</v>
      </c>
      <c r="D730">
        <v>30720</v>
      </c>
      <c r="E730">
        <v>30665</v>
      </c>
      <c r="F730">
        <v>55</v>
      </c>
      <c r="G730">
        <v>100</v>
      </c>
      <c r="H730">
        <v>30720</v>
      </c>
      <c r="I730">
        <v>0</v>
      </c>
      <c r="J730" t="s">
        <v>1</v>
      </c>
      <c r="K730" t="s">
        <v>13</v>
      </c>
      <c r="L730" s="8">
        <f>UnilabUsage[[#This Row],[Used-MB]]-F720</f>
        <v>-40</v>
      </c>
      <c r="M730">
        <f>UnilabUsage[[#This Row],[Max]]-UnilabUsage[[#This Row],[Used-MB]]</f>
        <v>30665</v>
      </c>
      <c r="N730" s="5">
        <f>IF($L730&gt;0,UnilabUsage[[#This Row],[Free-of-Max]]/UnilabUsage[[#This Row],[Usage-Delta-MB]],UnilabUsage[[#This Row],[Free-of-Max]])</f>
        <v>30665</v>
      </c>
    </row>
    <row r="731" spans="1:14" x14ac:dyDescent="0.25">
      <c r="A731" s="3">
        <v>44781</v>
      </c>
      <c r="B731" t="s">
        <v>9</v>
      </c>
      <c r="C731">
        <v>2</v>
      </c>
      <c r="D731">
        <v>10440</v>
      </c>
      <c r="E731">
        <v>10264</v>
      </c>
      <c r="F731">
        <v>176</v>
      </c>
      <c r="G731">
        <v>98</v>
      </c>
      <c r="H731">
        <v>32768</v>
      </c>
      <c r="I731">
        <v>1</v>
      </c>
      <c r="J731" t="s">
        <v>1</v>
      </c>
      <c r="K731" t="s">
        <v>10</v>
      </c>
      <c r="L731" s="8">
        <f>UnilabUsage[[#This Row],[Used-MB]]-F721</f>
        <v>62</v>
      </c>
      <c r="M731">
        <f>UnilabUsage[[#This Row],[Max]]-UnilabUsage[[#This Row],[Used-MB]]</f>
        <v>32592</v>
      </c>
      <c r="N731" s="5">
        <f>IF($L731&gt;0,UnilabUsage[[#This Row],[Free-of-Max]]/UnilabUsage[[#This Row],[Usage-Delta-MB]],UnilabUsage[[#This Row],[Free-of-Max]])</f>
        <v>525.67741935483866</v>
      </c>
    </row>
    <row r="732" spans="1:14" x14ac:dyDescent="0.25">
      <c r="A732" s="3">
        <v>44786</v>
      </c>
      <c r="B732" t="s">
        <v>7</v>
      </c>
      <c r="C732">
        <v>95</v>
      </c>
      <c r="D732">
        <v>1750</v>
      </c>
      <c r="E732">
        <v>82</v>
      </c>
      <c r="F732">
        <v>1668</v>
      </c>
      <c r="G732">
        <v>5</v>
      </c>
      <c r="H732">
        <v>32768</v>
      </c>
      <c r="I732">
        <v>5</v>
      </c>
      <c r="J732" t="s">
        <v>1</v>
      </c>
      <c r="K732" t="s">
        <v>2</v>
      </c>
      <c r="L732" s="8">
        <f>UnilabUsage[[#This Row],[Used-MB]]-F722</f>
        <v>8</v>
      </c>
      <c r="M732">
        <f>UnilabUsage[[#This Row],[Max]]-UnilabUsage[[#This Row],[Used-MB]]</f>
        <v>31100</v>
      </c>
      <c r="N732" s="5">
        <f>IF($L732&gt;0,UnilabUsage[[#This Row],[Free-of-Max]]/UnilabUsage[[#This Row],[Usage-Delta-MB]],UnilabUsage[[#This Row],[Free-of-Max]])</f>
        <v>3887.5</v>
      </c>
    </row>
    <row r="733" spans="1:14" x14ac:dyDescent="0.25">
      <c r="A733" s="3">
        <v>44786</v>
      </c>
      <c r="B733" t="s">
        <v>0</v>
      </c>
      <c r="C733">
        <v>100</v>
      </c>
      <c r="D733">
        <v>19350</v>
      </c>
      <c r="E733">
        <v>10</v>
      </c>
      <c r="F733">
        <v>19340</v>
      </c>
      <c r="G733">
        <v>0</v>
      </c>
      <c r="H733">
        <v>32768</v>
      </c>
      <c r="I733">
        <v>59</v>
      </c>
      <c r="J733" t="s">
        <v>1</v>
      </c>
      <c r="K733" t="s">
        <v>2</v>
      </c>
      <c r="L733" s="8">
        <f>UnilabUsage[[#This Row],[Used-MB]]-F723</f>
        <v>128</v>
      </c>
      <c r="M733">
        <f>UnilabUsage[[#This Row],[Max]]-UnilabUsage[[#This Row],[Used-MB]]</f>
        <v>13428</v>
      </c>
      <c r="N733" s="5">
        <f>IF($L733&gt;0,UnilabUsage[[#This Row],[Free-of-Max]]/UnilabUsage[[#This Row],[Usage-Delta-MB]],UnilabUsage[[#This Row],[Free-of-Max]])</f>
        <v>104.90625</v>
      </c>
    </row>
    <row r="734" spans="1:14" x14ac:dyDescent="0.25">
      <c r="A734" s="3">
        <v>44786</v>
      </c>
      <c r="B734" t="s">
        <v>11</v>
      </c>
      <c r="C734">
        <v>1</v>
      </c>
      <c r="D734">
        <v>100</v>
      </c>
      <c r="E734">
        <v>99</v>
      </c>
      <c r="F734">
        <v>1</v>
      </c>
      <c r="G734">
        <v>99</v>
      </c>
      <c r="H734">
        <v>32768</v>
      </c>
      <c r="I734">
        <v>0</v>
      </c>
      <c r="J734" t="s">
        <v>1</v>
      </c>
      <c r="K734" t="s">
        <v>2</v>
      </c>
      <c r="L734" s="8">
        <f>UnilabUsage[[#This Row],[Used-MB]]-F724</f>
        <v>0</v>
      </c>
      <c r="M734">
        <f>UnilabUsage[[#This Row],[Max]]-UnilabUsage[[#This Row],[Used-MB]]</f>
        <v>32767</v>
      </c>
      <c r="N734" s="5">
        <f>IF($L734&gt;0,UnilabUsage[[#This Row],[Free-of-Max]]/UnilabUsage[[#This Row],[Usage-Delta-MB]],UnilabUsage[[#This Row],[Free-of-Max]])</f>
        <v>32767</v>
      </c>
    </row>
    <row r="735" spans="1:14" x14ac:dyDescent="0.25">
      <c r="A735" s="3">
        <v>44786</v>
      </c>
      <c r="B735" t="s">
        <v>6</v>
      </c>
      <c r="C735">
        <v>94</v>
      </c>
      <c r="D735">
        <v>7215</v>
      </c>
      <c r="E735">
        <v>452</v>
      </c>
      <c r="F735">
        <v>6764</v>
      </c>
      <c r="G735">
        <v>6</v>
      </c>
      <c r="H735">
        <v>32768</v>
      </c>
      <c r="I735">
        <v>21</v>
      </c>
      <c r="J735" t="s">
        <v>1</v>
      </c>
      <c r="K735" t="s">
        <v>2</v>
      </c>
      <c r="L735" s="8">
        <f>UnilabUsage[[#This Row],[Used-MB]]-F725</f>
        <v>4</v>
      </c>
      <c r="M735">
        <f>UnilabUsage[[#This Row],[Max]]-UnilabUsage[[#This Row],[Used-MB]]</f>
        <v>26004</v>
      </c>
      <c r="N735" s="5">
        <f>IF($L735&gt;0,UnilabUsage[[#This Row],[Free-of-Max]]/UnilabUsage[[#This Row],[Usage-Delta-MB]],UnilabUsage[[#This Row],[Free-of-Max]])</f>
        <v>6501</v>
      </c>
    </row>
    <row r="736" spans="1:14" x14ac:dyDescent="0.25">
      <c r="A736" s="3">
        <v>44786</v>
      </c>
      <c r="B736" t="s">
        <v>3</v>
      </c>
      <c r="C736">
        <v>97</v>
      </c>
      <c r="D736">
        <v>425984</v>
      </c>
      <c r="E736">
        <v>13648</v>
      </c>
      <c r="F736">
        <v>412336</v>
      </c>
      <c r="G736">
        <v>3</v>
      </c>
      <c r="H736">
        <v>425984</v>
      </c>
      <c r="I736">
        <v>97</v>
      </c>
      <c r="J736" t="s">
        <v>1</v>
      </c>
      <c r="K736" t="s">
        <v>2</v>
      </c>
      <c r="L736" s="8">
        <f>UnilabUsage[[#This Row],[Used-MB]]-F726</f>
        <v>1080</v>
      </c>
      <c r="M736">
        <f>UnilabUsage[[#This Row],[Max]]-UnilabUsage[[#This Row],[Used-MB]]</f>
        <v>13648</v>
      </c>
      <c r="N736" s="5">
        <f>IF($L736&gt;0,UnilabUsage[[#This Row],[Free-of-Max]]/UnilabUsage[[#This Row],[Usage-Delta-MB]],UnilabUsage[[#This Row],[Free-of-Max]])</f>
        <v>12.637037037037038</v>
      </c>
    </row>
    <row r="737" spans="1:14" x14ac:dyDescent="0.25">
      <c r="A737" s="3">
        <v>44786</v>
      </c>
      <c r="B737" t="s">
        <v>5</v>
      </c>
      <c r="C737">
        <v>95</v>
      </c>
      <c r="D737">
        <v>20300</v>
      </c>
      <c r="E737">
        <v>979</v>
      </c>
      <c r="F737">
        <v>19321</v>
      </c>
      <c r="G737">
        <v>5</v>
      </c>
      <c r="H737">
        <v>32768</v>
      </c>
      <c r="I737">
        <v>59</v>
      </c>
      <c r="J737" t="s">
        <v>1</v>
      </c>
      <c r="K737" t="s">
        <v>2</v>
      </c>
      <c r="L737" s="8">
        <f>UnilabUsage[[#This Row],[Used-MB]]-F727</f>
        <v>161</v>
      </c>
      <c r="M737">
        <f>UnilabUsage[[#This Row],[Max]]-UnilabUsage[[#This Row],[Used-MB]]</f>
        <v>13447</v>
      </c>
      <c r="N737" s="5">
        <f>IF($L737&gt;0,UnilabUsage[[#This Row],[Free-of-Max]]/UnilabUsage[[#This Row],[Usage-Delta-MB]],UnilabUsage[[#This Row],[Free-of-Max]])</f>
        <v>83.521739130434781</v>
      </c>
    </row>
    <row r="738" spans="1:14" x14ac:dyDescent="0.25">
      <c r="A738" s="3">
        <v>44786</v>
      </c>
      <c r="B738" t="s">
        <v>8</v>
      </c>
      <c r="C738">
        <v>90</v>
      </c>
      <c r="D738">
        <v>294912</v>
      </c>
      <c r="E738">
        <v>29844</v>
      </c>
      <c r="F738">
        <v>265068</v>
      </c>
      <c r="G738">
        <v>10</v>
      </c>
      <c r="H738">
        <v>294912</v>
      </c>
      <c r="I738">
        <v>90</v>
      </c>
      <c r="J738" t="s">
        <v>1</v>
      </c>
      <c r="K738" t="s">
        <v>2</v>
      </c>
      <c r="L738" s="8">
        <f>UnilabUsage[[#This Row],[Used-MB]]-F728</f>
        <v>787</v>
      </c>
      <c r="M738">
        <f>UnilabUsage[[#This Row],[Max]]-UnilabUsage[[#This Row],[Used-MB]]</f>
        <v>29844</v>
      </c>
      <c r="N738" s="5">
        <f>IF($L738&gt;0,UnilabUsage[[#This Row],[Free-of-Max]]/UnilabUsage[[#This Row],[Usage-Delta-MB]],UnilabUsage[[#This Row],[Free-of-Max]])</f>
        <v>37.921219822109279</v>
      </c>
    </row>
    <row r="739" spans="1:14" x14ac:dyDescent="0.25">
      <c r="A739" s="3">
        <v>44786</v>
      </c>
      <c r="B739" t="s">
        <v>4</v>
      </c>
      <c r="C739">
        <v>95</v>
      </c>
      <c r="D739">
        <v>87509</v>
      </c>
      <c r="E739">
        <v>4273</v>
      </c>
      <c r="F739">
        <v>83236</v>
      </c>
      <c r="G739">
        <v>5</v>
      </c>
      <c r="H739">
        <v>98304</v>
      </c>
      <c r="I739">
        <v>85</v>
      </c>
      <c r="J739" t="s">
        <v>1</v>
      </c>
      <c r="K739" t="s">
        <v>2</v>
      </c>
      <c r="L739" s="8">
        <f>UnilabUsage[[#This Row],[Used-MB]]-F729</f>
        <v>192</v>
      </c>
      <c r="M739">
        <f>UnilabUsage[[#This Row],[Max]]-UnilabUsage[[#This Row],[Used-MB]]</f>
        <v>15068</v>
      </c>
      <c r="N739" s="5">
        <f>IF($L739&gt;0,UnilabUsage[[#This Row],[Free-of-Max]]/UnilabUsage[[#This Row],[Usage-Delta-MB]],UnilabUsage[[#This Row],[Free-of-Max]])</f>
        <v>78.479166666666671</v>
      </c>
    </row>
    <row r="740" spans="1:14" x14ac:dyDescent="0.25">
      <c r="A740" s="3">
        <v>44786</v>
      </c>
      <c r="B740" t="s">
        <v>12</v>
      </c>
      <c r="C740">
        <v>0</v>
      </c>
      <c r="D740">
        <v>30720</v>
      </c>
      <c r="E740">
        <v>30660</v>
      </c>
      <c r="F740">
        <v>60</v>
      </c>
      <c r="G740">
        <v>100</v>
      </c>
      <c r="H740">
        <v>30720</v>
      </c>
      <c r="I740">
        <v>0</v>
      </c>
      <c r="J740" t="s">
        <v>1</v>
      </c>
      <c r="K740" t="s">
        <v>13</v>
      </c>
      <c r="L740" s="8">
        <f>UnilabUsage[[#This Row],[Used-MB]]-F730</f>
        <v>5</v>
      </c>
      <c r="M740">
        <f>UnilabUsage[[#This Row],[Max]]-UnilabUsage[[#This Row],[Used-MB]]</f>
        <v>30660</v>
      </c>
      <c r="N740" s="5">
        <f>IF($L740&gt;0,UnilabUsage[[#This Row],[Free-of-Max]]/UnilabUsage[[#This Row],[Usage-Delta-MB]],UnilabUsage[[#This Row],[Free-of-Max]])</f>
        <v>6132</v>
      </c>
    </row>
    <row r="741" spans="1:14" x14ac:dyDescent="0.25">
      <c r="A741" s="3">
        <v>44786</v>
      </c>
      <c r="B741" t="s">
        <v>9</v>
      </c>
      <c r="C741">
        <v>2</v>
      </c>
      <c r="D741">
        <v>10440</v>
      </c>
      <c r="E741">
        <v>10278</v>
      </c>
      <c r="F741">
        <v>162</v>
      </c>
      <c r="G741">
        <v>98</v>
      </c>
      <c r="H741">
        <v>32768</v>
      </c>
      <c r="I741">
        <v>0</v>
      </c>
      <c r="J741" t="s">
        <v>1</v>
      </c>
      <c r="K741" t="s">
        <v>10</v>
      </c>
      <c r="L741" s="8">
        <f>UnilabUsage[[#This Row],[Used-MB]]-F731</f>
        <v>-14</v>
      </c>
      <c r="M741">
        <f>UnilabUsage[[#This Row],[Max]]-UnilabUsage[[#This Row],[Used-MB]]</f>
        <v>32606</v>
      </c>
      <c r="N741" s="5">
        <f>IF($L741&gt;0,UnilabUsage[[#This Row],[Free-of-Max]]/UnilabUsage[[#This Row],[Usage-Delta-MB]],UnilabUsage[[#This Row],[Free-of-Max]])</f>
        <v>32606</v>
      </c>
    </row>
    <row r="742" spans="1:14" x14ac:dyDescent="0.25">
      <c r="A742" s="3">
        <v>44809</v>
      </c>
      <c r="B742" t="s">
        <v>7</v>
      </c>
      <c r="C742">
        <v>95</v>
      </c>
      <c r="D742">
        <v>1770</v>
      </c>
      <c r="E742">
        <v>84</v>
      </c>
      <c r="F742">
        <v>1686</v>
      </c>
      <c r="G742">
        <v>5</v>
      </c>
      <c r="H742">
        <v>32768</v>
      </c>
      <c r="I742">
        <v>5</v>
      </c>
      <c r="J742" t="s">
        <v>1</v>
      </c>
      <c r="K742" t="s">
        <v>2</v>
      </c>
      <c r="L742" s="8">
        <f>UnilabUsage[[#This Row],[Used-MB]]-F732</f>
        <v>18</v>
      </c>
      <c r="M742">
        <f>UnilabUsage[[#This Row],[Max]]-UnilabUsage[[#This Row],[Used-MB]]</f>
        <v>31082</v>
      </c>
      <c r="N742" s="5">
        <f>IF($L742&gt;0,UnilabUsage[[#This Row],[Free-of-Max]]/UnilabUsage[[#This Row],[Usage-Delta-MB]],UnilabUsage[[#This Row],[Free-of-Max]])</f>
        <v>1726.7777777777778</v>
      </c>
    </row>
    <row r="743" spans="1:14" x14ac:dyDescent="0.25">
      <c r="A743" s="3">
        <v>44809</v>
      </c>
      <c r="B743" t="s">
        <v>0</v>
      </c>
      <c r="C743">
        <v>100</v>
      </c>
      <c r="D743">
        <v>19550</v>
      </c>
      <c r="E743">
        <v>81</v>
      </c>
      <c r="F743">
        <v>19469</v>
      </c>
      <c r="G743">
        <v>0</v>
      </c>
      <c r="H743">
        <v>32768</v>
      </c>
      <c r="I743">
        <v>59</v>
      </c>
      <c r="J743" t="s">
        <v>1</v>
      </c>
      <c r="K743" t="s">
        <v>2</v>
      </c>
      <c r="L743" s="8">
        <f>UnilabUsage[[#This Row],[Used-MB]]-F733</f>
        <v>129</v>
      </c>
      <c r="M743">
        <f>UnilabUsage[[#This Row],[Max]]-UnilabUsage[[#This Row],[Used-MB]]</f>
        <v>13299</v>
      </c>
      <c r="N743" s="5">
        <f>IF($L743&gt;0,UnilabUsage[[#This Row],[Free-of-Max]]/UnilabUsage[[#This Row],[Usage-Delta-MB]],UnilabUsage[[#This Row],[Free-of-Max]])</f>
        <v>103.09302325581395</v>
      </c>
    </row>
    <row r="744" spans="1:14" x14ac:dyDescent="0.25">
      <c r="A744" s="3">
        <v>44809</v>
      </c>
      <c r="B744" t="s">
        <v>11</v>
      </c>
      <c r="C744">
        <v>1</v>
      </c>
      <c r="D744">
        <v>100</v>
      </c>
      <c r="E744">
        <v>99</v>
      </c>
      <c r="F744">
        <v>1</v>
      </c>
      <c r="G744">
        <v>99</v>
      </c>
      <c r="H744">
        <v>32768</v>
      </c>
      <c r="I744">
        <v>0</v>
      </c>
      <c r="J744" t="s">
        <v>1</v>
      </c>
      <c r="K744" t="s">
        <v>2</v>
      </c>
      <c r="L744" s="8">
        <f>UnilabUsage[[#This Row],[Used-MB]]-F734</f>
        <v>0</v>
      </c>
      <c r="M744">
        <f>UnilabUsage[[#This Row],[Max]]-UnilabUsage[[#This Row],[Used-MB]]</f>
        <v>32767</v>
      </c>
      <c r="N744" s="5">
        <f>IF($L744&gt;0,UnilabUsage[[#This Row],[Free-of-Max]]/UnilabUsage[[#This Row],[Usage-Delta-MB]],UnilabUsage[[#This Row],[Free-of-Max]])</f>
        <v>32767</v>
      </c>
    </row>
    <row r="745" spans="1:14" x14ac:dyDescent="0.25">
      <c r="A745" s="3">
        <v>44809</v>
      </c>
      <c r="B745" t="s">
        <v>6</v>
      </c>
      <c r="C745">
        <v>94</v>
      </c>
      <c r="D745">
        <v>7215</v>
      </c>
      <c r="E745">
        <v>449</v>
      </c>
      <c r="F745">
        <v>6767</v>
      </c>
      <c r="G745">
        <v>6</v>
      </c>
      <c r="H745">
        <v>32768</v>
      </c>
      <c r="I745">
        <v>21</v>
      </c>
      <c r="J745" t="s">
        <v>1</v>
      </c>
      <c r="K745" t="s">
        <v>2</v>
      </c>
      <c r="L745" s="8">
        <f>UnilabUsage[[#This Row],[Used-MB]]-F735</f>
        <v>3</v>
      </c>
      <c r="M745">
        <f>UnilabUsage[[#This Row],[Max]]-UnilabUsage[[#This Row],[Used-MB]]</f>
        <v>26001</v>
      </c>
      <c r="N745" s="5">
        <f>IF($L745&gt;0,UnilabUsage[[#This Row],[Free-of-Max]]/UnilabUsage[[#This Row],[Usage-Delta-MB]],UnilabUsage[[#This Row],[Free-of-Max]])</f>
        <v>8667</v>
      </c>
    </row>
    <row r="746" spans="1:14" x14ac:dyDescent="0.25">
      <c r="A746" s="3">
        <v>44809</v>
      </c>
      <c r="B746" t="s">
        <v>3</v>
      </c>
      <c r="C746">
        <v>97</v>
      </c>
      <c r="D746">
        <v>425984</v>
      </c>
      <c r="E746">
        <v>12593</v>
      </c>
      <c r="F746">
        <v>413391</v>
      </c>
      <c r="G746">
        <v>3</v>
      </c>
      <c r="H746">
        <v>425984</v>
      </c>
      <c r="I746">
        <v>97</v>
      </c>
      <c r="J746" t="s">
        <v>1</v>
      </c>
      <c r="K746" t="s">
        <v>2</v>
      </c>
      <c r="L746" s="8">
        <f>UnilabUsage[[#This Row],[Used-MB]]-F736</f>
        <v>1055</v>
      </c>
      <c r="M746">
        <f>UnilabUsage[[#This Row],[Max]]-UnilabUsage[[#This Row],[Used-MB]]</f>
        <v>12593</v>
      </c>
      <c r="N746" s="5">
        <f>IF($L746&gt;0,UnilabUsage[[#This Row],[Free-of-Max]]/UnilabUsage[[#This Row],[Usage-Delta-MB]],UnilabUsage[[#This Row],[Free-of-Max]])</f>
        <v>11.936492890995261</v>
      </c>
    </row>
    <row r="747" spans="1:14" x14ac:dyDescent="0.25">
      <c r="A747" s="3">
        <v>44809</v>
      </c>
      <c r="B747" t="s">
        <v>5</v>
      </c>
      <c r="C747">
        <v>95</v>
      </c>
      <c r="D747">
        <v>20300</v>
      </c>
      <c r="E747">
        <v>976</v>
      </c>
      <c r="F747">
        <v>19324</v>
      </c>
      <c r="G747">
        <v>5</v>
      </c>
      <c r="H747">
        <v>32768</v>
      </c>
      <c r="I747">
        <v>59</v>
      </c>
      <c r="J747" t="s">
        <v>1</v>
      </c>
      <c r="K747" t="s">
        <v>2</v>
      </c>
      <c r="L747" s="8">
        <f>UnilabUsage[[#This Row],[Used-MB]]-F737</f>
        <v>3</v>
      </c>
      <c r="M747">
        <f>UnilabUsage[[#This Row],[Max]]-UnilabUsage[[#This Row],[Used-MB]]</f>
        <v>13444</v>
      </c>
      <c r="N747" s="5">
        <f>IF($L747&gt;0,UnilabUsage[[#This Row],[Free-of-Max]]/UnilabUsage[[#This Row],[Usage-Delta-MB]],UnilabUsage[[#This Row],[Free-of-Max]])</f>
        <v>4481.333333333333</v>
      </c>
    </row>
    <row r="748" spans="1:14" x14ac:dyDescent="0.25">
      <c r="A748" s="3">
        <v>44809</v>
      </c>
      <c r="B748" t="s">
        <v>8</v>
      </c>
      <c r="C748">
        <v>90</v>
      </c>
      <c r="D748">
        <v>294912</v>
      </c>
      <c r="E748">
        <v>28958</v>
      </c>
      <c r="F748">
        <v>265954</v>
      </c>
      <c r="G748">
        <v>10</v>
      </c>
      <c r="H748">
        <v>294912</v>
      </c>
      <c r="I748">
        <v>90</v>
      </c>
      <c r="J748" t="s">
        <v>1</v>
      </c>
      <c r="K748" t="s">
        <v>2</v>
      </c>
      <c r="L748" s="8">
        <f>UnilabUsage[[#This Row],[Used-MB]]-F738</f>
        <v>886</v>
      </c>
      <c r="M748">
        <f>UnilabUsage[[#This Row],[Max]]-UnilabUsage[[#This Row],[Used-MB]]</f>
        <v>28958</v>
      </c>
      <c r="N748" s="5">
        <f>IF($L748&gt;0,UnilabUsage[[#This Row],[Free-of-Max]]/UnilabUsage[[#This Row],[Usage-Delta-MB]],UnilabUsage[[#This Row],[Free-of-Max]])</f>
        <v>32.683972911963885</v>
      </c>
    </row>
    <row r="749" spans="1:14" x14ac:dyDescent="0.25">
      <c r="A749" s="3">
        <v>44809</v>
      </c>
      <c r="B749" t="s">
        <v>4</v>
      </c>
      <c r="C749">
        <v>96</v>
      </c>
      <c r="D749">
        <v>87509</v>
      </c>
      <c r="E749">
        <v>3880</v>
      </c>
      <c r="F749">
        <v>83629</v>
      </c>
      <c r="G749">
        <v>4</v>
      </c>
      <c r="H749">
        <v>98304</v>
      </c>
      <c r="I749">
        <v>85</v>
      </c>
      <c r="J749" t="s">
        <v>1</v>
      </c>
      <c r="K749" t="s">
        <v>2</v>
      </c>
      <c r="L749" s="8">
        <f>UnilabUsage[[#This Row],[Used-MB]]-F739</f>
        <v>393</v>
      </c>
      <c r="M749">
        <f>UnilabUsage[[#This Row],[Max]]-UnilabUsage[[#This Row],[Used-MB]]</f>
        <v>14675</v>
      </c>
      <c r="N749" s="5">
        <f>IF($L749&gt;0,UnilabUsage[[#This Row],[Free-of-Max]]/UnilabUsage[[#This Row],[Usage-Delta-MB]],UnilabUsage[[#This Row],[Free-of-Max]])</f>
        <v>37.340966921119595</v>
      </c>
    </row>
    <row r="750" spans="1:14" x14ac:dyDescent="0.25">
      <c r="A750" s="3">
        <v>44809</v>
      </c>
      <c r="B750" t="s">
        <v>12</v>
      </c>
      <c r="C750">
        <v>0</v>
      </c>
      <c r="D750">
        <v>30720</v>
      </c>
      <c r="E750">
        <v>30633</v>
      </c>
      <c r="F750">
        <v>87</v>
      </c>
      <c r="G750">
        <v>100</v>
      </c>
      <c r="H750">
        <v>30720</v>
      </c>
      <c r="I750">
        <v>0</v>
      </c>
      <c r="J750" t="s">
        <v>1</v>
      </c>
      <c r="K750" t="s">
        <v>13</v>
      </c>
      <c r="L750" s="8">
        <f>UnilabUsage[[#This Row],[Used-MB]]-F740</f>
        <v>27</v>
      </c>
      <c r="M750">
        <f>UnilabUsage[[#This Row],[Max]]-UnilabUsage[[#This Row],[Used-MB]]</f>
        <v>30633</v>
      </c>
      <c r="N750" s="5">
        <f>IF($L750&gt;0,UnilabUsage[[#This Row],[Free-of-Max]]/UnilabUsage[[#This Row],[Usage-Delta-MB]],UnilabUsage[[#This Row],[Free-of-Max]])</f>
        <v>1134.5555555555557</v>
      </c>
    </row>
    <row r="751" spans="1:14" x14ac:dyDescent="0.25">
      <c r="A751" s="3">
        <v>44809</v>
      </c>
      <c r="B751" t="s">
        <v>9</v>
      </c>
      <c r="C751">
        <v>2</v>
      </c>
      <c r="D751">
        <v>10440</v>
      </c>
      <c r="E751">
        <v>10228</v>
      </c>
      <c r="F751">
        <v>212</v>
      </c>
      <c r="G751">
        <v>98</v>
      </c>
      <c r="H751">
        <v>32768</v>
      </c>
      <c r="I751">
        <v>1</v>
      </c>
      <c r="J751" t="s">
        <v>1</v>
      </c>
      <c r="K751" t="s">
        <v>10</v>
      </c>
      <c r="L751" s="8">
        <f>UnilabUsage[[#This Row],[Used-MB]]-F741</f>
        <v>50</v>
      </c>
      <c r="M751">
        <f>UnilabUsage[[#This Row],[Max]]-UnilabUsage[[#This Row],[Used-MB]]</f>
        <v>32556</v>
      </c>
      <c r="N751" s="5">
        <f>IF($L751&gt;0,UnilabUsage[[#This Row],[Free-of-Max]]/UnilabUsage[[#This Row],[Usage-Delta-MB]],UnilabUsage[[#This Row],[Free-of-Max]])</f>
        <v>651.12</v>
      </c>
    </row>
    <row r="752" spans="1:14" x14ac:dyDescent="0.25">
      <c r="A752" s="3">
        <v>44817</v>
      </c>
      <c r="B752" t="s">
        <v>7</v>
      </c>
      <c r="C752">
        <v>96</v>
      </c>
      <c r="D752">
        <v>1770</v>
      </c>
      <c r="E752">
        <v>76</v>
      </c>
      <c r="F752">
        <v>1694</v>
      </c>
      <c r="G752">
        <v>4</v>
      </c>
      <c r="H752">
        <v>32768</v>
      </c>
      <c r="I752">
        <v>5</v>
      </c>
      <c r="J752" t="s">
        <v>1</v>
      </c>
      <c r="K752" t="s">
        <v>2</v>
      </c>
      <c r="L752" s="8">
        <f>UnilabUsage[[#This Row],[Used-MB]]-F742</f>
        <v>8</v>
      </c>
      <c r="M752">
        <f>UnilabUsage[[#This Row],[Max]]-UnilabUsage[[#This Row],[Used-MB]]</f>
        <v>31074</v>
      </c>
      <c r="N752" s="5">
        <f>IF($L752&gt;0,UnilabUsage[[#This Row],[Free-of-Max]]/UnilabUsage[[#This Row],[Usage-Delta-MB]],UnilabUsage[[#This Row],[Free-of-Max]])</f>
        <v>3884.25</v>
      </c>
    </row>
    <row r="753" spans="1:14" x14ac:dyDescent="0.25">
      <c r="A753" s="3">
        <v>44817</v>
      </c>
      <c r="B753" t="s">
        <v>0</v>
      </c>
      <c r="C753">
        <v>100</v>
      </c>
      <c r="D753">
        <v>19550</v>
      </c>
      <c r="E753">
        <v>17</v>
      </c>
      <c r="F753">
        <v>19534</v>
      </c>
      <c r="G753">
        <v>0</v>
      </c>
      <c r="H753">
        <v>32768</v>
      </c>
      <c r="I753">
        <v>60</v>
      </c>
      <c r="J753" t="s">
        <v>1</v>
      </c>
      <c r="K753" t="s">
        <v>2</v>
      </c>
      <c r="L753" s="8">
        <f>UnilabUsage[[#This Row],[Used-MB]]-F743</f>
        <v>65</v>
      </c>
      <c r="M753">
        <f>UnilabUsage[[#This Row],[Max]]-UnilabUsage[[#This Row],[Used-MB]]</f>
        <v>13234</v>
      </c>
      <c r="N753" s="5">
        <f>IF($L753&gt;0,UnilabUsage[[#This Row],[Free-of-Max]]/UnilabUsage[[#This Row],[Usage-Delta-MB]],UnilabUsage[[#This Row],[Free-of-Max]])</f>
        <v>203.6</v>
      </c>
    </row>
    <row r="754" spans="1:14" x14ac:dyDescent="0.25">
      <c r="A754" s="3">
        <v>44817</v>
      </c>
      <c r="B754" t="s">
        <v>11</v>
      </c>
      <c r="C754">
        <v>1</v>
      </c>
      <c r="D754">
        <v>100</v>
      </c>
      <c r="E754">
        <v>99</v>
      </c>
      <c r="F754">
        <v>1</v>
      </c>
      <c r="G754">
        <v>99</v>
      </c>
      <c r="H754">
        <v>32768</v>
      </c>
      <c r="I754">
        <v>0</v>
      </c>
      <c r="J754" t="s">
        <v>1</v>
      </c>
      <c r="K754" t="s">
        <v>2</v>
      </c>
      <c r="L754" s="8">
        <f>UnilabUsage[[#This Row],[Used-MB]]-F744</f>
        <v>0</v>
      </c>
      <c r="M754">
        <f>UnilabUsage[[#This Row],[Max]]-UnilabUsage[[#This Row],[Used-MB]]</f>
        <v>32767</v>
      </c>
      <c r="N754" s="5">
        <f>IF($L754&gt;0,UnilabUsage[[#This Row],[Free-of-Max]]/UnilabUsage[[#This Row],[Usage-Delta-MB]],UnilabUsage[[#This Row],[Free-of-Max]])</f>
        <v>32767</v>
      </c>
    </row>
    <row r="755" spans="1:14" x14ac:dyDescent="0.25">
      <c r="A755" s="3">
        <v>44817</v>
      </c>
      <c r="B755" t="s">
        <v>6</v>
      </c>
      <c r="C755">
        <v>94</v>
      </c>
      <c r="D755">
        <v>7215</v>
      </c>
      <c r="E755">
        <v>448</v>
      </c>
      <c r="F755">
        <v>6767</v>
      </c>
      <c r="G755">
        <v>6</v>
      </c>
      <c r="H755">
        <v>32768</v>
      </c>
      <c r="I755">
        <v>21</v>
      </c>
      <c r="J755" t="s">
        <v>1</v>
      </c>
      <c r="K755" t="s">
        <v>2</v>
      </c>
      <c r="L755" s="8">
        <f>UnilabUsage[[#This Row],[Used-MB]]-F745</f>
        <v>0</v>
      </c>
      <c r="M755">
        <f>UnilabUsage[[#This Row],[Max]]-UnilabUsage[[#This Row],[Used-MB]]</f>
        <v>26001</v>
      </c>
      <c r="N755" s="5">
        <f>IF($L755&gt;0,UnilabUsage[[#This Row],[Free-of-Max]]/UnilabUsage[[#This Row],[Usage-Delta-MB]],UnilabUsage[[#This Row],[Free-of-Max]])</f>
        <v>26001</v>
      </c>
    </row>
    <row r="756" spans="1:14" x14ac:dyDescent="0.25">
      <c r="A756" s="3">
        <v>44817</v>
      </c>
      <c r="B756" t="s">
        <v>3</v>
      </c>
      <c r="C756">
        <v>97</v>
      </c>
      <c r="D756">
        <v>425984</v>
      </c>
      <c r="E756">
        <v>12057</v>
      </c>
      <c r="F756">
        <v>413927</v>
      </c>
      <c r="G756">
        <v>3</v>
      </c>
      <c r="H756">
        <v>425984</v>
      </c>
      <c r="I756">
        <v>97</v>
      </c>
      <c r="J756" t="s">
        <v>1</v>
      </c>
      <c r="K756" t="s">
        <v>2</v>
      </c>
      <c r="L756" s="8">
        <f>UnilabUsage[[#This Row],[Used-MB]]-F746</f>
        <v>536</v>
      </c>
      <c r="M756">
        <f>UnilabUsage[[#This Row],[Max]]-UnilabUsage[[#This Row],[Used-MB]]</f>
        <v>12057</v>
      </c>
      <c r="N756" s="5">
        <f>IF($L756&gt;0,UnilabUsage[[#This Row],[Free-of-Max]]/UnilabUsage[[#This Row],[Usage-Delta-MB]],UnilabUsage[[#This Row],[Free-of-Max]])</f>
        <v>22.494402985074625</v>
      </c>
    </row>
    <row r="757" spans="1:14" x14ac:dyDescent="0.25">
      <c r="A757" s="3">
        <v>44817</v>
      </c>
      <c r="B757" t="s">
        <v>5</v>
      </c>
      <c r="C757">
        <v>95</v>
      </c>
      <c r="D757">
        <v>20300</v>
      </c>
      <c r="E757">
        <v>968</v>
      </c>
      <c r="F757">
        <v>19332</v>
      </c>
      <c r="G757">
        <v>5</v>
      </c>
      <c r="H757">
        <v>32768</v>
      </c>
      <c r="I757">
        <v>59</v>
      </c>
      <c r="J757" t="s">
        <v>1</v>
      </c>
      <c r="K757" t="s">
        <v>2</v>
      </c>
      <c r="L757" s="8">
        <f>UnilabUsage[[#This Row],[Used-MB]]-F747</f>
        <v>8</v>
      </c>
      <c r="M757">
        <f>UnilabUsage[[#This Row],[Max]]-UnilabUsage[[#This Row],[Used-MB]]</f>
        <v>13436</v>
      </c>
      <c r="N757" s="5">
        <f>IF($L757&gt;0,UnilabUsage[[#This Row],[Free-of-Max]]/UnilabUsage[[#This Row],[Usage-Delta-MB]],UnilabUsage[[#This Row],[Free-of-Max]])</f>
        <v>1679.5</v>
      </c>
    </row>
    <row r="758" spans="1:14" x14ac:dyDescent="0.25">
      <c r="A758" s="3">
        <v>44817</v>
      </c>
      <c r="B758" t="s">
        <v>8</v>
      </c>
      <c r="C758">
        <v>90</v>
      </c>
      <c r="D758">
        <v>294912</v>
      </c>
      <c r="E758">
        <v>28395</v>
      </c>
      <c r="F758">
        <v>266517</v>
      </c>
      <c r="G758">
        <v>10</v>
      </c>
      <c r="H758">
        <v>294912</v>
      </c>
      <c r="I758">
        <v>90</v>
      </c>
      <c r="J758" t="s">
        <v>1</v>
      </c>
      <c r="K758" t="s">
        <v>2</v>
      </c>
      <c r="L758" s="8">
        <f>UnilabUsage[[#This Row],[Used-MB]]-F748</f>
        <v>563</v>
      </c>
      <c r="M758">
        <f>UnilabUsage[[#This Row],[Max]]-UnilabUsage[[#This Row],[Used-MB]]</f>
        <v>28395</v>
      </c>
      <c r="N758" s="5">
        <f>IF($L758&gt;0,UnilabUsage[[#This Row],[Free-of-Max]]/UnilabUsage[[#This Row],[Usage-Delta-MB]],UnilabUsage[[#This Row],[Free-of-Max]])</f>
        <v>50.43516873889876</v>
      </c>
    </row>
    <row r="759" spans="1:14" x14ac:dyDescent="0.25">
      <c r="A759" s="3">
        <v>44817</v>
      </c>
      <c r="B759" t="s">
        <v>4</v>
      </c>
      <c r="C759">
        <v>96</v>
      </c>
      <c r="D759">
        <v>87509</v>
      </c>
      <c r="E759">
        <v>3752</v>
      </c>
      <c r="F759">
        <v>83757</v>
      </c>
      <c r="G759">
        <v>4</v>
      </c>
      <c r="H759">
        <v>98304</v>
      </c>
      <c r="I759">
        <v>85</v>
      </c>
      <c r="J759" t="s">
        <v>1</v>
      </c>
      <c r="K759" t="s">
        <v>2</v>
      </c>
      <c r="L759" s="8">
        <f>UnilabUsage[[#This Row],[Used-MB]]-F749</f>
        <v>128</v>
      </c>
      <c r="M759">
        <f>UnilabUsage[[#This Row],[Max]]-UnilabUsage[[#This Row],[Used-MB]]</f>
        <v>14547</v>
      </c>
      <c r="N759" s="5">
        <f>IF($L759&gt;0,UnilabUsage[[#This Row],[Free-of-Max]]/UnilabUsage[[#This Row],[Usage-Delta-MB]],UnilabUsage[[#This Row],[Free-of-Max]])</f>
        <v>113.6484375</v>
      </c>
    </row>
    <row r="760" spans="1:14" x14ac:dyDescent="0.25">
      <c r="A760" s="3">
        <v>44817</v>
      </c>
      <c r="B760" t="s">
        <v>12</v>
      </c>
      <c r="C760">
        <v>0</v>
      </c>
      <c r="D760">
        <v>30720</v>
      </c>
      <c r="E760">
        <v>30599</v>
      </c>
      <c r="F760">
        <v>121</v>
      </c>
      <c r="G760">
        <v>100</v>
      </c>
      <c r="H760">
        <v>30720</v>
      </c>
      <c r="I760">
        <v>0</v>
      </c>
      <c r="J760" t="s">
        <v>1</v>
      </c>
      <c r="K760" t="s">
        <v>13</v>
      </c>
      <c r="L760" s="8">
        <f>UnilabUsage[[#This Row],[Used-MB]]-F750</f>
        <v>34</v>
      </c>
      <c r="M760">
        <f>UnilabUsage[[#This Row],[Max]]-UnilabUsage[[#This Row],[Used-MB]]</f>
        <v>30599</v>
      </c>
      <c r="N760" s="5">
        <f>IF($L760&gt;0,UnilabUsage[[#This Row],[Free-of-Max]]/UnilabUsage[[#This Row],[Usage-Delta-MB]],UnilabUsage[[#This Row],[Free-of-Max]])</f>
        <v>899.97058823529414</v>
      </c>
    </row>
    <row r="761" spans="1:14" x14ac:dyDescent="0.25">
      <c r="A761" s="3">
        <v>44817</v>
      </c>
      <c r="B761" t="s">
        <v>9</v>
      </c>
      <c r="C761">
        <v>1</v>
      </c>
      <c r="D761">
        <v>10440</v>
      </c>
      <c r="E761">
        <v>10324</v>
      </c>
      <c r="F761">
        <v>116</v>
      </c>
      <c r="G761">
        <v>99</v>
      </c>
      <c r="H761">
        <v>32768</v>
      </c>
      <c r="I761">
        <v>0</v>
      </c>
      <c r="J761" t="s">
        <v>1</v>
      </c>
      <c r="K761" t="s">
        <v>10</v>
      </c>
      <c r="L761" s="8">
        <f>UnilabUsage[[#This Row],[Used-MB]]-F751</f>
        <v>-96</v>
      </c>
      <c r="M761">
        <f>UnilabUsage[[#This Row],[Max]]-UnilabUsage[[#This Row],[Used-MB]]</f>
        <v>32652</v>
      </c>
      <c r="N761" s="5">
        <f>IF($L761&gt;0,UnilabUsage[[#This Row],[Free-of-Max]]/UnilabUsage[[#This Row],[Usage-Delta-MB]],UnilabUsage[[#This Row],[Free-of-Max]])</f>
        <v>32652</v>
      </c>
    </row>
    <row r="762" spans="1:14" x14ac:dyDescent="0.25">
      <c r="A762" s="3">
        <v>44823</v>
      </c>
      <c r="B762" t="s">
        <v>7</v>
      </c>
      <c r="C762">
        <v>96</v>
      </c>
      <c r="D762">
        <v>1790</v>
      </c>
      <c r="E762">
        <v>80</v>
      </c>
      <c r="F762">
        <v>1710</v>
      </c>
      <c r="G762">
        <v>4</v>
      </c>
      <c r="H762">
        <v>32768</v>
      </c>
      <c r="I762">
        <v>5</v>
      </c>
      <c r="J762" t="s">
        <v>1</v>
      </c>
      <c r="K762" t="s">
        <v>2</v>
      </c>
      <c r="L762" s="8">
        <f>UnilabUsage[[#This Row],[Used-MB]]-F752</f>
        <v>16</v>
      </c>
      <c r="M762">
        <f>UnilabUsage[[#This Row],[Max]]-UnilabUsage[[#This Row],[Used-MB]]</f>
        <v>31058</v>
      </c>
      <c r="N762" s="5">
        <f>IF($L762&gt;0,UnilabUsage[[#This Row],[Free-of-Max]]/UnilabUsage[[#This Row],[Usage-Delta-MB]],UnilabUsage[[#This Row],[Free-of-Max]])</f>
        <v>1941.125</v>
      </c>
    </row>
    <row r="763" spans="1:14" x14ac:dyDescent="0.25">
      <c r="A763" s="3">
        <v>44823</v>
      </c>
      <c r="B763" t="s">
        <v>0</v>
      </c>
      <c r="C763">
        <v>100</v>
      </c>
      <c r="D763">
        <v>19650</v>
      </c>
      <c r="E763">
        <v>53</v>
      </c>
      <c r="F763">
        <v>19598</v>
      </c>
      <c r="G763">
        <v>0</v>
      </c>
      <c r="H763">
        <v>32768</v>
      </c>
      <c r="I763">
        <v>60</v>
      </c>
      <c r="J763" t="s">
        <v>1</v>
      </c>
      <c r="K763" t="s">
        <v>2</v>
      </c>
      <c r="L763" s="8">
        <f>UnilabUsage[[#This Row],[Used-MB]]-F753</f>
        <v>64</v>
      </c>
      <c r="M763">
        <f>UnilabUsage[[#This Row],[Max]]-UnilabUsage[[#This Row],[Used-MB]]</f>
        <v>13170</v>
      </c>
      <c r="N763" s="5">
        <f>IF($L763&gt;0,UnilabUsage[[#This Row],[Free-of-Max]]/UnilabUsage[[#This Row],[Usage-Delta-MB]],UnilabUsage[[#This Row],[Free-of-Max]])</f>
        <v>205.78125</v>
      </c>
    </row>
    <row r="764" spans="1:14" x14ac:dyDescent="0.25">
      <c r="A764" s="3">
        <v>44823</v>
      </c>
      <c r="B764" t="s">
        <v>11</v>
      </c>
      <c r="C764">
        <v>1</v>
      </c>
      <c r="D764">
        <v>100</v>
      </c>
      <c r="E764">
        <v>99</v>
      </c>
      <c r="F764">
        <v>1</v>
      </c>
      <c r="G764">
        <v>99</v>
      </c>
      <c r="H764">
        <v>32768</v>
      </c>
      <c r="I764">
        <v>0</v>
      </c>
      <c r="J764" t="s">
        <v>1</v>
      </c>
      <c r="K764" t="s">
        <v>2</v>
      </c>
      <c r="L764" s="8">
        <f>UnilabUsage[[#This Row],[Used-MB]]-F754</f>
        <v>0</v>
      </c>
      <c r="M764">
        <f>UnilabUsage[[#This Row],[Max]]-UnilabUsage[[#This Row],[Used-MB]]</f>
        <v>32767</v>
      </c>
      <c r="N764" s="5">
        <f>IF($L764&gt;0,UnilabUsage[[#This Row],[Free-of-Max]]/UnilabUsage[[#This Row],[Usage-Delta-MB]],UnilabUsage[[#This Row],[Free-of-Max]])</f>
        <v>32767</v>
      </c>
    </row>
    <row r="765" spans="1:14" x14ac:dyDescent="0.25">
      <c r="A765" s="3">
        <v>44823</v>
      </c>
      <c r="B765" t="s">
        <v>6</v>
      </c>
      <c r="C765">
        <v>94</v>
      </c>
      <c r="D765">
        <v>7215</v>
      </c>
      <c r="E765">
        <v>448</v>
      </c>
      <c r="F765">
        <v>6767</v>
      </c>
      <c r="G765">
        <v>6</v>
      </c>
      <c r="H765">
        <v>32768</v>
      </c>
      <c r="I765">
        <v>21</v>
      </c>
      <c r="J765" t="s">
        <v>1</v>
      </c>
      <c r="K765" t="s">
        <v>2</v>
      </c>
      <c r="L765" s="8">
        <f>UnilabUsage[[#This Row],[Used-MB]]-F755</f>
        <v>0</v>
      </c>
      <c r="M765">
        <f>UnilabUsage[[#This Row],[Max]]-UnilabUsage[[#This Row],[Used-MB]]</f>
        <v>26001</v>
      </c>
      <c r="N765" s="5">
        <f>IF($L765&gt;0,UnilabUsage[[#This Row],[Free-of-Max]]/UnilabUsage[[#This Row],[Usage-Delta-MB]],UnilabUsage[[#This Row],[Free-of-Max]])</f>
        <v>26001</v>
      </c>
    </row>
    <row r="766" spans="1:14" x14ac:dyDescent="0.25">
      <c r="A766" s="3">
        <v>44823</v>
      </c>
      <c r="B766" t="s">
        <v>3</v>
      </c>
      <c r="C766">
        <v>97</v>
      </c>
      <c r="D766">
        <v>425984</v>
      </c>
      <c r="E766">
        <v>11465</v>
      </c>
      <c r="F766">
        <v>414519</v>
      </c>
      <c r="G766">
        <v>3</v>
      </c>
      <c r="H766">
        <v>425984</v>
      </c>
      <c r="I766">
        <v>97</v>
      </c>
      <c r="J766" t="s">
        <v>1</v>
      </c>
      <c r="K766" t="s">
        <v>2</v>
      </c>
      <c r="L766" s="8">
        <f>UnilabUsage[[#This Row],[Used-MB]]-F756</f>
        <v>592</v>
      </c>
      <c r="M766">
        <f>UnilabUsage[[#This Row],[Max]]-UnilabUsage[[#This Row],[Used-MB]]</f>
        <v>11465</v>
      </c>
      <c r="N766" s="5">
        <f>IF($L766&gt;0,UnilabUsage[[#This Row],[Free-of-Max]]/UnilabUsage[[#This Row],[Usage-Delta-MB]],UnilabUsage[[#This Row],[Free-of-Max]])</f>
        <v>19.366554054054053</v>
      </c>
    </row>
    <row r="767" spans="1:14" x14ac:dyDescent="0.25">
      <c r="A767" s="3">
        <v>44823</v>
      </c>
      <c r="B767" t="s">
        <v>5</v>
      </c>
      <c r="C767">
        <v>95</v>
      </c>
      <c r="D767">
        <v>20400</v>
      </c>
      <c r="E767">
        <v>1004</v>
      </c>
      <c r="F767">
        <v>19396</v>
      </c>
      <c r="G767">
        <v>5</v>
      </c>
      <c r="H767">
        <v>32768</v>
      </c>
      <c r="I767">
        <v>59</v>
      </c>
      <c r="J767" t="s">
        <v>1</v>
      </c>
      <c r="K767" t="s">
        <v>2</v>
      </c>
      <c r="L767" s="8">
        <f>UnilabUsage[[#This Row],[Used-MB]]-F757</f>
        <v>64</v>
      </c>
      <c r="M767">
        <f>UnilabUsage[[#This Row],[Max]]-UnilabUsage[[#This Row],[Used-MB]]</f>
        <v>13372</v>
      </c>
      <c r="N767" s="5">
        <f>IF($L767&gt;0,UnilabUsage[[#This Row],[Free-of-Max]]/UnilabUsage[[#This Row],[Usage-Delta-MB]],UnilabUsage[[#This Row],[Free-of-Max]])</f>
        <v>208.9375</v>
      </c>
    </row>
    <row r="768" spans="1:14" x14ac:dyDescent="0.25">
      <c r="A768" s="3">
        <v>44823</v>
      </c>
      <c r="B768" t="s">
        <v>8</v>
      </c>
      <c r="C768">
        <v>90</v>
      </c>
      <c r="D768">
        <v>294912</v>
      </c>
      <c r="E768">
        <v>28086</v>
      </c>
      <c r="F768">
        <v>266826</v>
      </c>
      <c r="G768">
        <v>10</v>
      </c>
      <c r="H768">
        <v>294912</v>
      </c>
      <c r="I768">
        <v>90</v>
      </c>
      <c r="J768" t="s">
        <v>1</v>
      </c>
      <c r="K768" t="s">
        <v>2</v>
      </c>
      <c r="L768" s="8">
        <f>UnilabUsage[[#This Row],[Used-MB]]-F758</f>
        <v>309</v>
      </c>
      <c r="M768">
        <f>UnilabUsage[[#This Row],[Max]]-UnilabUsage[[#This Row],[Used-MB]]</f>
        <v>28086</v>
      </c>
      <c r="N768" s="5">
        <f>IF($L768&gt;0,UnilabUsage[[#This Row],[Free-of-Max]]/UnilabUsage[[#This Row],[Usage-Delta-MB]],UnilabUsage[[#This Row],[Free-of-Max]])</f>
        <v>90.893203883495147</v>
      </c>
    </row>
    <row r="769" spans="1:14" x14ac:dyDescent="0.25">
      <c r="A769" s="3">
        <v>44823</v>
      </c>
      <c r="B769" t="s">
        <v>4</v>
      </c>
      <c r="C769">
        <v>96</v>
      </c>
      <c r="D769">
        <v>87509</v>
      </c>
      <c r="E769">
        <v>3752</v>
      </c>
      <c r="F769">
        <v>83757</v>
      </c>
      <c r="G769">
        <v>4</v>
      </c>
      <c r="H769">
        <v>98304</v>
      </c>
      <c r="I769">
        <v>85</v>
      </c>
      <c r="J769" t="s">
        <v>1</v>
      </c>
      <c r="K769" t="s">
        <v>2</v>
      </c>
      <c r="L769" s="8">
        <f>UnilabUsage[[#This Row],[Used-MB]]-F759</f>
        <v>0</v>
      </c>
      <c r="M769">
        <f>UnilabUsage[[#This Row],[Max]]-UnilabUsage[[#This Row],[Used-MB]]</f>
        <v>14547</v>
      </c>
      <c r="N769" s="5">
        <f>IF($L769&gt;0,UnilabUsage[[#This Row],[Free-of-Max]]/UnilabUsage[[#This Row],[Usage-Delta-MB]],UnilabUsage[[#This Row],[Free-of-Max]])</f>
        <v>14547</v>
      </c>
    </row>
    <row r="770" spans="1:14" x14ac:dyDescent="0.25">
      <c r="A770" s="3">
        <v>44823</v>
      </c>
      <c r="B770" t="s">
        <v>12</v>
      </c>
      <c r="C770">
        <v>0</v>
      </c>
      <c r="D770">
        <v>30720</v>
      </c>
      <c r="E770">
        <v>30671</v>
      </c>
      <c r="F770">
        <v>49</v>
      </c>
      <c r="G770">
        <v>100</v>
      </c>
      <c r="H770">
        <v>30720</v>
      </c>
      <c r="I770">
        <v>0</v>
      </c>
      <c r="J770" t="s">
        <v>1</v>
      </c>
      <c r="K770" t="s">
        <v>13</v>
      </c>
      <c r="L770" s="8">
        <f>UnilabUsage[[#This Row],[Used-MB]]-F760</f>
        <v>-72</v>
      </c>
      <c r="M770">
        <f>UnilabUsage[[#This Row],[Max]]-UnilabUsage[[#This Row],[Used-MB]]</f>
        <v>30671</v>
      </c>
      <c r="N770" s="5">
        <f>IF($L770&gt;0,UnilabUsage[[#This Row],[Free-of-Max]]/UnilabUsage[[#This Row],[Usage-Delta-MB]],UnilabUsage[[#This Row],[Free-of-Max]])</f>
        <v>30671</v>
      </c>
    </row>
    <row r="771" spans="1:14" x14ac:dyDescent="0.25">
      <c r="A771" s="3">
        <v>44823</v>
      </c>
      <c r="B771" t="s">
        <v>9</v>
      </c>
      <c r="C771">
        <v>2</v>
      </c>
      <c r="D771">
        <v>10440</v>
      </c>
      <c r="E771">
        <v>10222</v>
      </c>
      <c r="F771">
        <v>218</v>
      </c>
      <c r="G771">
        <v>98</v>
      </c>
      <c r="H771">
        <v>32768</v>
      </c>
      <c r="I771">
        <v>1</v>
      </c>
      <c r="J771" t="s">
        <v>1</v>
      </c>
      <c r="K771" t="s">
        <v>10</v>
      </c>
      <c r="L771" s="8">
        <f>UnilabUsage[[#This Row],[Used-MB]]-F761</f>
        <v>102</v>
      </c>
      <c r="M771">
        <f>UnilabUsage[[#This Row],[Max]]-UnilabUsage[[#This Row],[Used-MB]]</f>
        <v>32550</v>
      </c>
      <c r="N771" s="5">
        <f>IF($L771&gt;0,UnilabUsage[[#This Row],[Free-of-Max]]/UnilabUsage[[#This Row],[Usage-Delta-MB]],UnilabUsage[[#This Row],[Free-of-Max]])</f>
        <v>319.11764705882354</v>
      </c>
    </row>
    <row r="772" spans="1:14" x14ac:dyDescent="0.25">
      <c r="A772" s="3">
        <v>44830</v>
      </c>
      <c r="B772" t="s">
        <v>7</v>
      </c>
      <c r="C772">
        <v>95</v>
      </c>
      <c r="D772">
        <v>1810</v>
      </c>
      <c r="E772">
        <v>92</v>
      </c>
      <c r="F772">
        <v>1718</v>
      </c>
      <c r="G772">
        <v>5</v>
      </c>
      <c r="H772">
        <v>32768</v>
      </c>
      <c r="I772">
        <v>5</v>
      </c>
      <c r="J772" t="s">
        <v>1</v>
      </c>
      <c r="K772" t="s">
        <v>2</v>
      </c>
      <c r="L772" s="8">
        <f>UnilabUsage[[#This Row],[Used-MB]]-F762</f>
        <v>8</v>
      </c>
      <c r="M772">
        <f>UnilabUsage[[#This Row],[Max]]-UnilabUsage[[#This Row],[Used-MB]]</f>
        <v>31050</v>
      </c>
      <c r="N772" s="5">
        <f>IF($L772&gt;0,UnilabUsage[[#This Row],[Free-of-Max]]/UnilabUsage[[#This Row],[Usage-Delta-MB]],UnilabUsage[[#This Row],[Free-of-Max]])</f>
        <v>3881.25</v>
      </c>
    </row>
    <row r="773" spans="1:14" x14ac:dyDescent="0.25">
      <c r="A773" s="3">
        <v>44830</v>
      </c>
      <c r="B773" t="s">
        <v>0</v>
      </c>
      <c r="C773">
        <v>100</v>
      </c>
      <c r="D773">
        <v>19750</v>
      </c>
      <c r="E773">
        <v>89</v>
      </c>
      <c r="F773">
        <v>19662</v>
      </c>
      <c r="G773">
        <v>0</v>
      </c>
      <c r="H773">
        <v>32768</v>
      </c>
      <c r="I773">
        <v>60</v>
      </c>
      <c r="J773" t="s">
        <v>1</v>
      </c>
      <c r="K773" t="s">
        <v>2</v>
      </c>
      <c r="L773" s="8">
        <f>UnilabUsage[[#This Row],[Used-MB]]-F763</f>
        <v>64</v>
      </c>
      <c r="M773">
        <f>UnilabUsage[[#This Row],[Max]]-UnilabUsage[[#This Row],[Used-MB]]</f>
        <v>13106</v>
      </c>
      <c r="N773" s="5">
        <f>IF($L773&gt;0,UnilabUsage[[#This Row],[Free-of-Max]]/UnilabUsage[[#This Row],[Usage-Delta-MB]],UnilabUsage[[#This Row],[Free-of-Max]])</f>
        <v>204.78125</v>
      </c>
    </row>
    <row r="774" spans="1:14" x14ac:dyDescent="0.25">
      <c r="A774" s="3">
        <v>44830</v>
      </c>
      <c r="B774" t="s">
        <v>11</v>
      </c>
      <c r="C774">
        <v>1</v>
      </c>
      <c r="D774">
        <v>100</v>
      </c>
      <c r="E774">
        <v>99</v>
      </c>
      <c r="F774">
        <v>1</v>
      </c>
      <c r="G774">
        <v>99</v>
      </c>
      <c r="H774">
        <v>32768</v>
      </c>
      <c r="I774">
        <v>0</v>
      </c>
      <c r="J774" t="s">
        <v>1</v>
      </c>
      <c r="K774" t="s">
        <v>2</v>
      </c>
      <c r="L774" s="8">
        <f>UnilabUsage[[#This Row],[Used-MB]]-F764</f>
        <v>0</v>
      </c>
      <c r="M774">
        <f>UnilabUsage[[#This Row],[Max]]-UnilabUsage[[#This Row],[Used-MB]]</f>
        <v>32767</v>
      </c>
      <c r="N774" s="5">
        <f>IF($L774&gt;0,UnilabUsage[[#This Row],[Free-of-Max]]/UnilabUsage[[#This Row],[Usage-Delta-MB]],UnilabUsage[[#This Row],[Free-of-Max]])</f>
        <v>32767</v>
      </c>
    </row>
    <row r="775" spans="1:14" x14ac:dyDescent="0.25">
      <c r="A775" s="3">
        <v>44830</v>
      </c>
      <c r="B775" t="s">
        <v>6</v>
      </c>
      <c r="C775">
        <v>94</v>
      </c>
      <c r="D775">
        <v>7215</v>
      </c>
      <c r="E775">
        <v>446</v>
      </c>
      <c r="F775">
        <v>6769</v>
      </c>
      <c r="G775">
        <v>6</v>
      </c>
      <c r="H775">
        <v>32768</v>
      </c>
      <c r="I775">
        <v>21</v>
      </c>
      <c r="J775" t="s">
        <v>1</v>
      </c>
      <c r="K775" t="s">
        <v>2</v>
      </c>
      <c r="L775" s="8">
        <f>UnilabUsage[[#This Row],[Used-MB]]-F765</f>
        <v>2</v>
      </c>
      <c r="M775">
        <f>UnilabUsage[[#This Row],[Max]]-UnilabUsage[[#This Row],[Used-MB]]</f>
        <v>25999</v>
      </c>
      <c r="N775" s="5">
        <f>IF($L775&gt;0,UnilabUsage[[#This Row],[Free-of-Max]]/UnilabUsage[[#This Row],[Usage-Delta-MB]],UnilabUsage[[#This Row],[Free-of-Max]])</f>
        <v>12999.5</v>
      </c>
    </row>
    <row r="776" spans="1:14" x14ac:dyDescent="0.25">
      <c r="A776" s="3">
        <v>44830</v>
      </c>
      <c r="B776" t="s">
        <v>3</v>
      </c>
      <c r="C776">
        <v>97</v>
      </c>
      <c r="D776">
        <v>425984</v>
      </c>
      <c r="E776">
        <v>10943</v>
      </c>
      <c r="F776">
        <v>415041</v>
      </c>
      <c r="G776">
        <v>3</v>
      </c>
      <c r="H776">
        <v>425984</v>
      </c>
      <c r="I776">
        <v>97</v>
      </c>
      <c r="J776" t="s">
        <v>1</v>
      </c>
      <c r="K776" t="s">
        <v>2</v>
      </c>
      <c r="L776" s="8">
        <f>UnilabUsage[[#This Row],[Used-MB]]-F766</f>
        <v>522</v>
      </c>
      <c r="M776">
        <f>UnilabUsage[[#This Row],[Max]]-UnilabUsage[[#This Row],[Used-MB]]</f>
        <v>10943</v>
      </c>
      <c r="N776" s="5">
        <f>IF($L776&gt;0,UnilabUsage[[#This Row],[Free-of-Max]]/UnilabUsage[[#This Row],[Usage-Delta-MB]],UnilabUsage[[#This Row],[Free-of-Max]])</f>
        <v>20.963601532567051</v>
      </c>
    </row>
    <row r="777" spans="1:14" x14ac:dyDescent="0.25">
      <c r="A777" s="3">
        <v>44830</v>
      </c>
      <c r="B777" t="s">
        <v>5</v>
      </c>
      <c r="C777">
        <v>95</v>
      </c>
      <c r="D777">
        <v>20400</v>
      </c>
      <c r="E777">
        <v>1004</v>
      </c>
      <c r="F777">
        <v>19396</v>
      </c>
      <c r="G777">
        <v>5</v>
      </c>
      <c r="H777">
        <v>32768</v>
      </c>
      <c r="I777">
        <v>59</v>
      </c>
      <c r="J777" t="s">
        <v>1</v>
      </c>
      <c r="K777" t="s">
        <v>2</v>
      </c>
      <c r="L777" s="8">
        <f>UnilabUsage[[#This Row],[Used-MB]]-F767</f>
        <v>0</v>
      </c>
      <c r="M777">
        <f>UnilabUsage[[#This Row],[Max]]-UnilabUsage[[#This Row],[Used-MB]]</f>
        <v>13372</v>
      </c>
      <c r="N777" s="5">
        <f>IF($L777&gt;0,UnilabUsage[[#This Row],[Free-of-Max]]/UnilabUsage[[#This Row],[Usage-Delta-MB]],UnilabUsage[[#This Row],[Free-of-Max]])</f>
        <v>13372</v>
      </c>
    </row>
    <row r="778" spans="1:14" x14ac:dyDescent="0.25">
      <c r="A778" s="3">
        <v>44830</v>
      </c>
      <c r="B778" t="s">
        <v>8</v>
      </c>
      <c r="C778">
        <v>91</v>
      </c>
      <c r="D778">
        <v>294912</v>
      </c>
      <c r="E778">
        <v>27757</v>
      </c>
      <c r="F778">
        <v>267155</v>
      </c>
      <c r="G778">
        <v>9</v>
      </c>
      <c r="H778">
        <v>294912</v>
      </c>
      <c r="I778">
        <v>91</v>
      </c>
      <c r="J778" t="s">
        <v>1</v>
      </c>
      <c r="K778" t="s">
        <v>2</v>
      </c>
      <c r="L778" s="8">
        <f>UnilabUsage[[#This Row],[Used-MB]]-F768</f>
        <v>329</v>
      </c>
      <c r="M778">
        <f>UnilabUsage[[#This Row],[Max]]-UnilabUsage[[#This Row],[Used-MB]]</f>
        <v>27757</v>
      </c>
      <c r="N778" s="5">
        <f>IF($L778&gt;0,UnilabUsage[[#This Row],[Free-of-Max]]/UnilabUsage[[#This Row],[Usage-Delta-MB]],UnilabUsage[[#This Row],[Free-of-Max]])</f>
        <v>84.367781155015194</v>
      </c>
    </row>
    <row r="779" spans="1:14" x14ac:dyDescent="0.25">
      <c r="A779" s="3">
        <v>44830</v>
      </c>
      <c r="B779" t="s">
        <v>4</v>
      </c>
      <c r="C779">
        <v>96</v>
      </c>
      <c r="D779">
        <v>87509</v>
      </c>
      <c r="E779">
        <v>3624</v>
      </c>
      <c r="F779">
        <v>83885</v>
      </c>
      <c r="G779">
        <v>4</v>
      </c>
      <c r="H779">
        <v>98304</v>
      </c>
      <c r="I779">
        <v>85</v>
      </c>
      <c r="J779" t="s">
        <v>1</v>
      </c>
      <c r="K779" t="s">
        <v>2</v>
      </c>
      <c r="L779" s="8">
        <f>UnilabUsage[[#This Row],[Used-MB]]-F769</f>
        <v>128</v>
      </c>
      <c r="M779">
        <f>UnilabUsage[[#This Row],[Max]]-UnilabUsage[[#This Row],[Used-MB]]</f>
        <v>14419</v>
      </c>
      <c r="N779" s="5">
        <f>IF($L779&gt;0,UnilabUsage[[#This Row],[Free-of-Max]]/UnilabUsage[[#This Row],[Usage-Delta-MB]],UnilabUsage[[#This Row],[Free-of-Max]])</f>
        <v>112.6484375</v>
      </c>
    </row>
    <row r="780" spans="1:14" x14ac:dyDescent="0.25">
      <c r="A780" s="3">
        <v>44830</v>
      </c>
      <c r="B780" t="s">
        <v>12</v>
      </c>
      <c r="C780">
        <v>0</v>
      </c>
      <c r="D780">
        <v>30720</v>
      </c>
      <c r="E780">
        <v>30641</v>
      </c>
      <c r="F780">
        <v>79</v>
      </c>
      <c r="G780">
        <v>100</v>
      </c>
      <c r="H780">
        <v>30720</v>
      </c>
      <c r="I780">
        <v>0</v>
      </c>
      <c r="J780" t="s">
        <v>1</v>
      </c>
      <c r="K780" t="s">
        <v>13</v>
      </c>
      <c r="L780" s="8">
        <f>UnilabUsage[[#This Row],[Used-MB]]-F770</f>
        <v>30</v>
      </c>
      <c r="M780">
        <f>UnilabUsage[[#This Row],[Max]]-UnilabUsage[[#This Row],[Used-MB]]</f>
        <v>30641</v>
      </c>
      <c r="N780" s="5">
        <f>IF($L780&gt;0,UnilabUsage[[#This Row],[Free-of-Max]]/UnilabUsage[[#This Row],[Usage-Delta-MB]],UnilabUsage[[#This Row],[Free-of-Max]])</f>
        <v>1021.3666666666667</v>
      </c>
    </row>
    <row r="781" spans="1:14" x14ac:dyDescent="0.25">
      <c r="A781" s="3">
        <v>44830</v>
      </c>
      <c r="B781" t="s">
        <v>9</v>
      </c>
      <c r="C781">
        <v>1</v>
      </c>
      <c r="D781">
        <v>10440</v>
      </c>
      <c r="E781">
        <v>10315</v>
      </c>
      <c r="F781">
        <v>125</v>
      </c>
      <c r="G781">
        <v>99</v>
      </c>
      <c r="H781">
        <v>32768</v>
      </c>
      <c r="I781">
        <v>0</v>
      </c>
      <c r="J781" t="s">
        <v>1</v>
      </c>
      <c r="K781" t="s">
        <v>10</v>
      </c>
      <c r="L781" s="8">
        <f>UnilabUsage[[#This Row],[Used-MB]]-F771</f>
        <v>-93</v>
      </c>
      <c r="M781">
        <f>UnilabUsage[[#This Row],[Max]]-UnilabUsage[[#This Row],[Used-MB]]</f>
        <v>32643</v>
      </c>
      <c r="N781" s="5">
        <f>IF($L781&gt;0,UnilabUsage[[#This Row],[Free-of-Max]]/UnilabUsage[[#This Row],[Usage-Delta-MB]],UnilabUsage[[#This Row],[Free-of-Max]])</f>
        <v>32643</v>
      </c>
    </row>
    <row r="782" spans="1:14" x14ac:dyDescent="0.25">
      <c r="A782" s="3">
        <v>44837</v>
      </c>
      <c r="B782" t="s">
        <v>7</v>
      </c>
      <c r="C782">
        <v>95</v>
      </c>
      <c r="D782">
        <v>1810</v>
      </c>
      <c r="E782">
        <v>92</v>
      </c>
      <c r="F782">
        <v>1718</v>
      </c>
      <c r="G782">
        <v>5</v>
      </c>
      <c r="H782">
        <v>32768</v>
      </c>
      <c r="I782">
        <v>5</v>
      </c>
      <c r="J782" t="s">
        <v>1</v>
      </c>
      <c r="K782" t="s">
        <v>2</v>
      </c>
      <c r="L782" s="8">
        <f>UnilabUsage[[#This Row],[Used-MB]]-F772</f>
        <v>0</v>
      </c>
      <c r="M782">
        <f>UnilabUsage[[#This Row],[Max]]-UnilabUsage[[#This Row],[Used-MB]]</f>
        <v>31050</v>
      </c>
      <c r="N782" s="5">
        <f>IF($L782&gt;0,UnilabUsage[[#This Row],[Free-of-Max]]/UnilabUsage[[#This Row],[Usage-Delta-MB]],UnilabUsage[[#This Row],[Free-of-Max]])</f>
        <v>31050</v>
      </c>
    </row>
    <row r="783" spans="1:14" x14ac:dyDescent="0.25">
      <c r="A783" s="3">
        <v>44837</v>
      </c>
      <c r="B783" t="s">
        <v>0</v>
      </c>
      <c r="C783">
        <v>100</v>
      </c>
      <c r="D783">
        <v>19750</v>
      </c>
      <c r="E783">
        <v>25</v>
      </c>
      <c r="F783">
        <v>19726</v>
      </c>
      <c r="G783">
        <v>0</v>
      </c>
      <c r="H783">
        <v>32768</v>
      </c>
      <c r="I783">
        <v>60</v>
      </c>
      <c r="J783" t="s">
        <v>1</v>
      </c>
      <c r="K783" t="s">
        <v>2</v>
      </c>
      <c r="L783" s="8">
        <f>UnilabUsage[[#This Row],[Used-MB]]-F773</f>
        <v>64</v>
      </c>
      <c r="M783">
        <f>UnilabUsage[[#This Row],[Max]]-UnilabUsage[[#This Row],[Used-MB]]</f>
        <v>13042</v>
      </c>
      <c r="N783" s="5">
        <f>IF($L783&gt;0,UnilabUsage[[#This Row],[Free-of-Max]]/UnilabUsage[[#This Row],[Usage-Delta-MB]],UnilabUsage[[#This Row],[Free-of-Max]])</f>
        <v>203.78125</v>
      </c>
    </row>
    <row r="784" spans="1:14" x14ac:dyDescent="0.25">
      <c r="A784" s="3">
        <v>44837</v>
      </c>
      <c r="B784" t="s">
        <v>11</v>
      </c>
      <c r="C784">
        <v>1</v>
      </c>
      <c r="D784">
        <v>100</v>
      </c>
      <c r="E784">
        <v>99</v>
      </c>
      <c r="F784">
        <v>1</v>
      </c>
      <c r="G784">
        <v>99</v>
      </c>
      <c r="H784">
        <v>32768</v>
      </c>
      <c r="I784">
        <v>0</v>
      </c>
      <c r="J784" t="s">
        <v>1</v>
      </c>
      <c r="K784" t="s">
        <v>2</v>
      </c>
      <c r="L784" s="8">
        <f>UnilabUsage[[#This Row],[Used-MB]]-F774</f>
        <v>0</v>
      </c>
      <c r="M784">
        <f>UnilabUsage[[#This Row],[Max]]-UnilabUsage[[#This Row],[Used-MB]]</f>
        <v>32767</v>
      </c>
      <c r="N784" s="5">
        <f>IF($L784&gt;0,UnilabUsage[[#This Row],[Free-of-Max]]/UnilabUsage[[#This Row],[Usage-Delta-MB]],UnilabUsage[[#This Row],[Free-of-Max]])</f>
        <v>32767</v>
      </c>
    </row>
    <row r="785" spans="1:14" x14ac:dyDescent="0.25">
      <c r="A785" s="3">
        <v>44837</v>
      </c>
      <c r="B785" t="s">
        <v>6</v>
      </c>
      <c r="C785">
        <v>94</v>
      </c>
      <c r="D785">
        <v>7215</v>
      </c>
      <c r="E785">
        <v>446</v>
      </c>
      <c r="F785">
        <v>6769</v>
      </c>
      <c r="G785">
        <v>6</v>
      </c>
      <c r="H785">
        <v>32768</v>
      </c>
      <c r="I785">
        <v>21</v>
      </c>
      <c r="J785" t="s">
        <v>1</v>
      </c>
      <c r="K785" t="s">
        <v>2</v>
      </c>
      <c r="L785" s="8">
        <f>UnilabUsage[[#This Row],[Used-MB]]-F775</f>
        <v>0</v>
      </c>
      <c r="M785">
        <f>UnilabUsage[[#This Row],[Max]]-UnilabUsage[[#This Row],[Used-MB]]</f>
        <v>25999</v>
      </c>
      <c r="N785" s="5">
        <f>IF($L785&gt;0,UnilabUsage[[#This Row],[Free-of-Max]]/UnilabUsage[[#This Row],[Usage-Delta-MB]],UnilabUsage[[#This Row],[Free-of-Max]])</f>
        <v>25999</v>
      </c>
    </row>
    <row r="786" spans="1:14" x14ac:dyDescent="0.25">
      <c r="A786" s="3">
        <v>44837</v>
      </c>
      <c r="B786" t="s">
        <v>3</v>
      </c>
      <c r="C786">
        <v>98</v>
      </c>
      <c r="D786">
        <v>425984</v>
      </c>
      <c r="E786">
        <v>10541</v>
      </c>
      <c r="F786">
        <v>415442</v>
      </c>
      <c r="G786">
        <v>2</v>
      </c>
      <c r="H786">
        <v>425984</v>
      </c>
      <c r="I786">
        <v>98</v>
      </c>
      <c r="J786" t="s">
        <v>1</v>
      </c>
      <c r="K786" t="s">
        <v>2</v>
      </c>
      <c r="L786" s="8">
        <f>UnilabUsage[[#This Row],[Used-MB]]-F776</f>
        <v>401</v>
      </c>
      <c r="M786">
        <f>UnilabUsage[[#This Row],[Max]]-UnilabUsage[[#This Row],[Used-MB]]</f>
        <v>10542</v>
      </c>
      <c r="N786" s="5">
        <f>IF($L786&gt;0,UnilabUsage[[#This Row],[Free-of-Max]]/UnilabUsage[[#This Row],[Usage-Delta-MB]],UnilabUsage[[#This Row],[Free-of-Max]])</f>
        <v>26.289276807980048</v>
      </c>
    </row>
    <row r="787" spans="1:14" x14ac:dyDescent="0.25">
      <c r="A787" s="3">
        <v>44837</v>
      </c>
      <c r="B787" t="s">
        <v>5</v>
      </c>
      <c r="C787">
        <v>95</v>
      </c>
      <c r="D787">
        <v>20400</v>
      </c>
      <c r="E787">
        <v>996</v>
      </c>
      <c r="F787">
        <v>19404</v>
      </c>
      <c r="G787">
        <v>5</v>
      </c>
      <c r="H787">
        <v>32768</v>
      </c>
      <c r="I787">
        <v>59</v>
      </c>
      <c r="J787" t="s">
        <v>1</v>
      </c>
      <c r="K787" t="s">
        <v>2</v>
      </c>
      <c r="L787" s="8">
        <f>UnilabUsage[[#This Row],[Used-MB]]-F777</f>
        <v>8</v>
      </c>
      <c r="M787">
        <f>UnilabUsage[[#This Row],[Max]]-UnilabUsage[[#This Row],[Used-MB]]</f>
        <v>13364</v>
      </c>
      <c r="N787" s="5">
        <f>IF($L787&gt;0,UnilabUsage[[#This Row],[Free-of-Max]]/UnilabUsage[[#This Row],[Usage-Delta-MB]],UnilabUsage[[#This Row],[Free-of-Max]])</f>
        <v>1670.5</v>
      </c>
    </row>
    <row r="788" spans="1:14" x14ac:dyDescent="0.25">
      <c r="A788" s="3">
        <v>44837</v>
      </c>
      <c r="B788" t="s">
        <v>8</v>
      </c>
      <c r="C788">
        <v>91</v>
      </c>
      <c r="D788">
        <v>294912</v>
      </c>
      <c r="E788">
        <v>27388</v>
      </c>
      <c r="F788">
        <v>267524</v>
      </c>
      <c r="G788">
        <v>9</v>
      </c>
      <c r="H788">
        <v>294912</v>
      </c>
      <c r="I788">
        <v>91</v>
      </c>
      <c r="J788" t="s">
        <v>1</v>
      </c>
      <c r="K788" t="s">
        <v>2</v>
      </c>
      <c r="L788" s="8">
        <f>UnilabUsage[[#This Row],[Used-MB]]-F778</f>
        <v>369</v>
      </c>
      <c r="M788">
        <f>UnilabUsage[[#This Row],[Max]]-UnilabUsage[[#This Row],[Used-MB]]</f>
        <v>27388</v>
      </c>
      <c r="N788" s="5">
        <f>IF($L788&gt;0,UnilabUsage[[#This Row],[Free-of-Max]]/UnilabUsage[[#This Row],[Usage-Delta-MB]],UnilabUsage[[#This Row],[Free-of-Max]])</f>
        <v>74.222222222222229</v>
      </c>
    </row>
    <row r="789" spans="1:14" x14ac:dyDescent="0.25">
      <c r="A789" s="3">
        <v>44837</v>
      </c>
      <c r="B789" t="s">
        <v>4</v>
      </c>
      <c r="C789">
        <v>96</v>
      </c>
      <c r="D789">
        <v>87509</v>
      </c>
      <c r="E789">
        <v>3624</v>
      </c>
      <c r="F789">
        <v>83885</v>
      </c>
      <c r="G789">
        <v>4</v>
      </c>
      <c r="H789">
        <v>98304</v>
      </c>
      <c r="I789">
        <v>85</v>
      </c>
      <c r="J789" t="s">
        <v>1</v>
      </c>
      <c r="K789" t="s">
        <v>2</v>
      </c>
      <c r="L789" s="8">
        <f>UnilabUsage[[#This Row],[Used-MB]]-F779</f>
        <v>0</v>
      </c>
      <c r="M789">
        <f>UnilabUsage[[#This Row],[Max]]-UnilabUsage[[#This Row],[Used-MB]]</f>
        <v>14419</v>
      </c>
      <c r="N789" s="5">
        <f>IF($L789&gt;0,UnilabUsage[[#This Row],[Free-of-Max]]/UnilabUsage[[#This Row],[Usage-Delta-MB]],UnilabUsage[[#This Row],[Free-of-Max]])</f>
        <v>14419</v>
      </c>
    </row>
    <row r="790" spans="1:14" x14ac:dyDescent="0.25">
      <c r="A790" s="3">
        <v>44837</v>
      </c>
      <c r="B790" t="s">
        <v>12</v>
      </c>
      <c r="C790">
        <v>0</v>
      </c>
      <c r="D790">
        <v>30720</v>
      </c>
      <c r="E790">
        <v>30667</v>
      </c>
      <c r="F790">
        <v>53</v>
      </c>
      <c r="G790">
        <v>100</v>
      </c>
      <c r="H790">
        <v>30720</v>
      </c>
      <c r="I790">
        <v>0</v>
      </c>
      <c r="J790" t="s">
        <v>1</v>
      </c>
      <c r="K790" t="s">
        <v>13</v>
      </c>
      <c r="L790" s="8">
        <f>UnilabUsage[[#This Row],[Used-MB]]-F780</f>
        <v>-26</v>
      </c>
      <c r="M790">
        <f>UnilabUsage[[#This Row],[Max]]-UnilabUsage[[#This Row],[Used-MB]]</f>
        <v>30667</v>
      </c>
      <c r="N790" s="5">
        <f>IF($L790&gt;0,UnilabUsage[[#This Row],[Free-of-Max]]/UnilabUsage[[#This Row],[Usage-Delta-MB]],UnilabUsage[[#This Row],[Free-of-Max]])</f>
        <v>30667</v>
      </c>
    </row>
    <row r="791" spans="1:14" x14ac:dyDescent="0.25">
      <c r="A791" s="3">
        <v>44837</v>
      </c>
      <c r="B791" t="s">
        <v>9</v>
      </c>
      <c r="C791">
        <v>2</v>
      </c>
      <c r="D791">
        <v>10440</v>
      </c>
      <c r="E791">
        <v>10263</v>
      </c>
      <c r="F791">
        <v>177</v>
      </c>
      <c r="G791">
        <v>98</v>
      </c>
      <c r="H791">
        <v>32768</v>
      </c>
      <c r="I791">
        <v>1</v>
      </c>
      <c r="J791" t="s">
        <v>1</v>
      </c>
      <c r="K791" t="s">
        <v>10</v>
      </c>
      <c r="L791" s="8">
        <f>UnilabUsage[[#This Row],[Used-MB]]-F781</f>
        <v>52</v>
      </c>
      <c r="M791">
        <f>UnilabUsage[[#This Row],[Max]]-UnilabUsage[[#This Row],[Used-MB]]</f>
        <v>32591</v>
      </c>
      <c r="N791" s="5">
        <f>IF($L791&gt;0,UnilabUsage[[#This Row],[Free-of-Max]]/UnilabUsage[[#This Row],[Usage-Delta-MB]],UnilabUsage[[#This Row],[Free-of-Max]])</f>
        <v>626.75</v>
      </c>
    </row>
    <row r="792" spans="1:14" x14ac:dyDescent="0.25">
      <c r="A792" s="3">
        <v>44844</v>
      </c>
      <c r="B792" t="s">
        <v>7</v>
      </c>
      <c r="C792">
        <v>95</v>
      </c>
      <c r="D792">
        <v>1830</v>
      </c>
      <c r="E792">
        <v>96</v>
      </c>
      <c r="F792">
        <v>1734</v>
      </c>
      <c r="G792">
        <v>5</v>
      </c>
      <c r="H792">
        <v>32768</v>
      </c>
      <c r="I792">
        <v>5</v>
      </c>
      <c r="J792" t="s">
        <v>1</v>
      </c>
      <c r="K792" t="s">
        <v>2</v>
      </c>
      <c r="L792" s="8">
        <f>UnilabUsage[[#This Row],[Used-MB]]-F782</f>
        <v>16</v>
      </c>
      <c r="M792">
        <f>UnilabUsage[[#This Row],[Max]]-UnilabUsage[[#This Row],[Used-MB]]</f>
        <v>31034</v>
      </c>
      <c r="N792" s="5">
        <f>IF($L792&gt;0,UnilabUsage[[#This Row],[Free-of-Max]]/UnilabUsage[[#This Row],[Usage-Delta-MB]],UnilabUsage[[#This Row],[Free-of-Max]])</f>
        <v>1939.625</v>
      </c>
    </row>
    <row r="793" spans="1:14" x14ac:dyDescent="0.25">
      <c r="A793" s="3">
        <v>44844</v>
      </c>
      <c r="B793" t="s">
        <v>0</v>
      </c>
      <c r="C793">
        <v>100</v>
      </c>
      <c r="D793">
        <v>19750</v>
      </c>
      <c r="E793">
        <v>25</v>
      </c>
      <c r="F793">
        <v>19726</v>
      </c>
      <c r="G793">
        <v>0</v>
      </c>
      <c r="H793">
        <v>32768</v>
      </c>
      <c r="I793">
        <v>60</v>
      </c>
      <c r="J793" t="s">
        <v>1</v>
      </c>
      <c r="K793" t="s">
        <v>2</v>
      </c>
      <c r="L793" s="8">
        <f>UnilabUsage[[#This Row],[Used-MB]]-F783</f>
        <v>0</v>
      </c>
      <c r="M793">
        <f>UnilabUsage[[#This Row],[Max]]-UnilabUsage[[#This Row],[Used-MB]]</f>
        <v>13042</v>
      </c>
      <c r="N793" s="5">
        <f>IF($L793&gt;0,UnilabUsage[[#This Row],[Free-of-Max]]/UnilabUsage[[#This Row],[Usage-Delta-MB]],UnilabUsage[[#This Row],[Free-of-Max]])</f>
        <v>13042</v>
      </c>
    </row>
    <row r="794" spans="1:14" x14ac:dyDescent="0.25">
      <c r="A794" s="3">
        <v>44844</v>
      </c>
      <c r="B794" t="s">
        <v>11</v>
      </c>
      <c r="C794">
        <v>1</v>
      </c>
      <c r="D794">
        <v>100</v>
      </c>
      <c r="E794">
        <v>99</v>
      </c>
      <c r="F794">
        <v>1</v>
      </c>
      <c r="G794">
        <v>99</v>
      </c>
      <c r="H794">
        <v>32768</v>
      </c>
      <c r="I794">
        <v>0</v>
      </c>
      <c r="J794" t="s">
        <v>1</v>
      </c>
      <c r="K794" t="s">
        <v>2</v>
      </c>
      <c r="L794" s="8">
        <f>UnilabUsage[[#This Row],[Used-MB]]-F784</f>
        <v>0</v>
      </c>
      <c r="M794">
        <f>UnilabUsage[[#This Row],[Max]]-UnilabUsage[[#This Row],[Used-MB]]</f>
        <v>32767</v>
      </c>
      <c r="N794" s="5">
        <f>IF($L794&gt;0,UnilabUsage[[#This Row],[Free-of-Max]]/UnilabUsage[[#This Row],[Usage-Delta-MB]],UnilabUsage[[#This Row],[Free-of-Max]])</f>
        <v>32767</v>
      </c>
    </row>
    <row r="795" spans="1:14" x14ac:dyDescent="0.25">
      <c r="A795" s="3">
        <v>44844</v>
      </c>
      <c r="B795" t="s">
        <v>6</v>
      </c>
      <c r="C795">
        <v>95</v>
      </c>
      <c r="D795">
        <v>7215</v>
      </c>
      <c r="E795">
        <v>382</v>
      </c>
      <c r="F795">
        <v>6833</v>
      </c>
      <c r="G795">
        <v>5</v>
      </c>
      <c r="H795">
        <v>32768</v>
      </c>
      <c r="I795">
        <v>21</v>
      </c>
      <c r="J795" t="s">
        <v>1</v>
      </c>
      <c r="K795" t="s">
        <v>2</v>
      </c>
      <c r="L795" s="8">
        <f>UnilabUsage[[#This Row],[Used-MB]]-F785</f>
        <v>64</v>
      </c>
      <c r="M795">
        <f>UnilabUsage[[#This Row],[Max]]-UnilabUsage[[#This Row],[Used-MB]]</f>
        <v>25935</v>
      </c>
      <c r="N795" s="5">
        <f>IF($L795&gt;0,UnilabUsage[[#This Row],[Free-of-Max]]/UnilabUsage[[#This Row],[Usage-Delta-MB]],UnilabUsage[[#This Row],[Free-of-Max]])</f>
        <v>405.234375</v>
      </c>
    </row>
    <row r="796" spans="1:14" x14ac:dyDescent="0.25">
      <c r="A796" s="3">
        <v>44844</v>
      </c>
      <c r="B796" t="s">
        <v>3</v>
      </c>
      <c r="C796">
        <v>98</v>
      </c>
      <c r="D796">
        <v>425984</v>
      </c>
      <c r="E796">
        <v>10113</v>
      </c>
      <c r="F796">
        <v>415870</v>
      </c>
      <c r="G796">
        <v>2</v>
      </c>
      <c r="H796">
        <v>425984</v>
      </c>
      <c r="I796">
        <v>98</v>
      </c>
      <c r="J796" t="s">
        <v>1</v>
      </c>
      <c r="K796" t="s">
        <v>2</v>
      </c>
      <c r="L796" s="8">
        <f>UnilabUsage[[#This Row],[Used-MB]]-F786</f>
        <v>428</v>
      </c>
      <c r="M796">
        <f>UnilabUsage[[#This Row],[Max]]-UnilabUsage[[#This Row],[Used-MB]]</f>
        <v>10114</v>
      </c>
      <c r="N796" s="5">
        <f>IF($L796&gt;0,UnilabUsage[[#This Row],[Free-of-Max]]/UnilabUsage[[#This Row],[Usage-Delta-MB]],UnilabUsage[[#This Row],[Free-of-Max]])</f>
        <v>23.630841121495326</v>
      </c>
    </row>
    <row r="797" spans="1:14" x14ac:dyDescent="0.25">
      <c r="A797" s="3">
        <v>44844</v>
      </c>
      <c r="B797" t="s">
        <v>5</v>
      </c>
      <c r="C797">
        <v>95</v>
      </c>
      <c r="D797">
        <v>20450</v>
      </c>
      <c r="E797">
        <v>982</v>
      </c>
      <c r="F797">
        <v>19468</v>
      </c>
      <c r="G797">
        <v>5</v>
      </c>
      <c r="H797">
        <v>32768</v>
      </c>
      <c r="I797">
        <v>59</v>
      </c>
      <c r="J797" t="s">
        <v>1</v>
      </c>
      <c r="K797" t="s">
        <v>2</v>
      </c>
      <c r="L797" s="8">
        <f>UnilabUsage[[#This Row],[Used-MB]]-F787</f>
        <v>64</v>
      </c>
      <c r="M797">
        <f>UnilabUsage[[#This Row],[Max]]-UnilabUsage[[#This Row],[Used-MB]]</f>
        <v>13300</v>
      </c>
      <c r="N797" s="5">
        <f>IF($L797&gt;0,UnilabUsage[[#This Row],[Free-of-Max]]/UnilabUsage[[#This Row],[Usage-Delta-MB]],UnilabUsage[[#This Row],[Free-of-Max]])</f>
        <v>207.8125</v>
      </c>
    </row>
    <row r="798" spans="1:14" x14ac:dyDescent="0.25">
      <c r="A798" s="3">
        <v>44844</v>
      </c>
      <c r="B798" t="s">
        <v>8</v>
      </c>
      <c r="C798">
        <v>91</v>
      </c>
      <c r="D798">
        <v>294912</v>
      </c>
      <c r="E798">
        <v>27083</v>
      </c>
      <c r="F798">
        <v>267829</v>
      </c>
      <c r="G798">
        <v>9</v>
      </c>
      <c r="H798">
        <v>294912</v>
      </c>
      <c r="I798">
        <v>91</v>
      </c>
      <c r="J798" t="s">
        <v>1</v>
      </c>
      <c r="K798" t="s">
        <v>2</v>
      </c>
      <c r="L798" s="8">
        <f>UnilabUsage[[#This Row],[Used-MB]]-F788</f>
        <v>305</v>
      </c>
      <c r="M798">
        <f>UnilabUsage[[#This Row],[Max]]-UnilabUsage[[#This Row],[Used-MB]]</f>
        <v>27083</v>
      </c>
      <c r="N798" s="5">
        <f>IF($L798&gt;0,UnilabUsage[[#This Row],[Free-of-Max]]/UnilabUsage[[#This Row],[Usage-Delta-MB]],UnilabUsage[[#This Row],[Free-of-Max]])</f>
        <v>88.796721311475409</v>
      </c>
    </row>
    <row r="799" spans="1:14" x14ac:dyDescent="0.25">
      <c r="A799" s="3">
        <v>44844</v>
      </c>
      <c r="B799" t="s">
        <v>4</v>
      </c>
      <c r="C799">
        <v>96</v>
      </c>
      <c r="D799">
        <v>87509</v>
      </c>
      <c r="E799">
        <v>3560</v>
      </c>
      <c r="F799">
        <v>83949</v>
      </c>
      <c r="G799">
        <v>4</v>
      </c>
      <c r="H799">
        <v>98304</v>
      </c>
      <c r="I799">
        <v>85</v>
      </c>
      <c r="J799" t="s">
        <v>1</v>
      </c>
      <c r="K799" t="s">
        <v>2</v>
      </c>
      <c r="L799" s="8">
        <f>UnilabUsage[[#This Row],[Used-MB]]-F789</f>
        <v>64</v>
      </c>
      <c r="M799">
        <f>UnilabUsage[[#This Row],[Max]]-UnilabUsage[[#This Row],[Used-MB]]</f>
        <v>14355</v>
      </c>
      <c r="N799" s="5">
        <f>IF($L799&gt;0,UnilabUsage[[#This Row],[Free-of-Max]]/UnilabUsage[[#This Row],[Usage-Delta-MB]],UnilabUsage[[#This Row],[Free-of-Max]])</f>
        <v>224.296875</v>
      </c>
    </row>
    <row r="800" spans="1:14" x14ac:dyDescent="0.25">
      <c r="A800" s="3">
        <v>44844</v>
      </c>
      <c r="B800" t="s">
        <v>12</v>
      </c>
      <c r="C800">
        <v>0</v>
      </c>
      <c r="D800">
        <v>30720</v>
      </c>
      <c r="E800">
        <v>30673</v>
      </c>
      <c r="F800">
        <v>47</v>
      </c>
      <c r="G800">
        <v>100</v>
      </c>
      <c r="H800">
        <v>30720</v>
      </c>
      <c r="I800">
        <v>0</v>
      </c>
      <c r="J800" t="s">
        <v>1</v>
      </c>
      <c r="K800" t="s">
        <v>13</v>
      </c>
      <c r="L800" s="8">
        <f>UnilabUsage[[#This Row],[Used-MB]]-F790</f>
        <v>-6</v>
      </c>
      <c r="M800">
        <f>UnilabUsage[[#This Row],[Max]]-UnilabUsage[[#This Row],[Used-MB]]</f>
        <v>30673</v>
      </c>
      <c r="N800" s="5">
        <f>IF($L800&gt;0,UnilabUsage[[#This Row],[Free-of-Max]]/UnilabUsage[[#This Row],[Usage-Delta-MB]],UnilabUsage[[#This Row],[Free-of-Max]])</f>
        <v>30673</v>
      </c>
    </row>
    <row r="801" spans="1:14" x14ac:dyDescent="0.25">
      <c r="A801" s="3">
        <v>44844</v>
      </c>
      <c r="B801" t="s">
        <v>9</v>
      </c>
      <c r="C801">
        <v>2</v>
      </c>
      <c r="D801">
        <v>10440</v>
      </c>
      <c r="E801">
        <v>10242</v>
      </c>
      <c r="F801">
        <v>198</v>
      </c>
      <c r="G801">
        <v>98</v>
      </c>
      <c r="H801">
        <v>32768</v>
      </c>
      <c r="I801">
        <v>1</v>
      </c>
      <c r="J801" t="s">
        <v>1</v>
      </c>
      <c r="K801" t="s">
        <v>10</v>
      </c>
      <c r="L801" s="8">
        <f>UnilabUsage[[#This Row],[Used-MB]]-F791</f>
        <v>21</v>
      </c>
      <c r="M801">
        <f>UnilabUsage[[#This Row],[Max]]-UnilabUsage[[#This Row],[Used-MB]]</f>
        <v>32570</v>
      </c>
      <c r="N801" s="5">
        <f>IF($L801&gt;0,UnilabUsage[[#This Row],[Free-of-Max]]/UnilabUsage[[#This Row],[Usage-Delta-MB]],UnilabUsage[[#This Row],[Free-of-Max]])</f>
        <v>1550.952380952381</v>
      </c>
    </row>
    <row r="802" spans="1:14" x14ac:dyDescent="0.25">
      <c r="A802" s="3">
        <v>44865</v>
      </c>
      <c r="B802" t="s">
        <v>7</v>
      </c>
      <c r="C802">
        <v>95</v>
      </c>
      <c r="D802">
        <v>1850</v>
      </c>
      <c r="E802">
        <v>84</v>
      </c>
      <c r="F802">
        <v>1766</v>
      </c>
      <c r="G802">
        <v>5</v>
      </c>
      <c r="H802">
        <v>32768</v>
      </c>
      <c r="I802">
        <v>5</v>
      </c>
      <c r="J802" t="s">
        <v>1</v>
      </c>
      <c r="K802" t="s">
        <v>2</v>
      </c>
      <c r="L802" s="8">
        <f>UnilabUsage[[#This Row],[Used-MB]]-F792</f>
        <v>32</v>
      </c>
      <c r="M802">
        <f>UnilabUsage[[#This Row],[Max]]-UnilabUsage[[#This Row],[Used-MB]]</f>
        <v>31002</v>
      </c>
      <c r="N802" s="5">
        <f>IF($L802&gt;0,UnilabUsage[[#This Row],[Free-of-Max]]/UnilabUsage[[#This Row],[Usage-Delta-MB]],UnilabUsage[[#This Row],[Free-of-Max]])</f>
        <v>968.8125</v>
      </c>
    </row>
    <row r="803" spans="1:14" x14ac:dyDescent="0.25">
      <c r="A803" s="3">
        <v>44865</v>
      </c>
      <c r="B803" t="s">
        <v>0</v>
      </c>
      <c r="C803">
        <v>100</v>
      </c>
      <c r="D803">
        <v>19950</v>
      </c>
      <c r="E803">
        <v>45</v>
      </c>
      <c r="F803">
        <v>19905</v>
      </c>
      <c r="G803">
        <v>0</v>
      </c>
      <c r="H803">
        <v>32768</v>
      </c>
      <c r="I803">
        <v>61</v>
      </c>
      <c r="J803" t="s">
        <v>1</v>
      </c>
      <c r="K803" t="s">
        <v>2</v>
      </c>
      <c r="L803" s="8">
        <f>UnilabUsage[[#This Row],[Used-MB]]-F793</f>
        <v>179</v>
      </c>
      <c r="M803">
        <f>UnilabUsage[[#This Row],[Max]]-UnilabUsage[[#This Row],[Used-MB]]</f>
        <v>12863</v>
      </c>
      <c r="N803" s="5">
        <f>IF($L803&gt;0,UnilabUsage[[#This Row],[Free-of-Max]]/UnilabUsage[[#This Row],[Usage-Delta-MB]],UnilabUsage[[#This Row],[Free-of-Max]])</f>
        <v>71.860335195530723</v>
      </c>
    </row>
    <row r="804" spans="1:14" x14ac:dyDescent="0.25">
      <c r="A804" s="3">
        <v>44865</v>
      </c>
      <c r="B804" t="s">
        <v>11</v>
      </c>
      <c r="C804">
        <v>1</v>
      </c>
      <c r="D804">
        <v>100</v>
      </c>
      <c r="E804">
        <v>99</v>
      </c>
      <c r="F804">
        <v>1</v>
      </c>
      <c r="G804">
        <v>99</v>
      </c>
      <c r="H804">
        <v>32768</v>
      </c>
      <c r="I804">
        <v>0</v>
      </c>
      <c r="J804" t="s">
        <v>1</v>
      </c>
      <c r="K804" t="s">
        <v>2</v>
      </c>
      <c r="L804" s="8">
        <f>UnilabUsage[[#This Row],[Used-MB]]-F794</f>
        <v>0</v>
      </c>
      <c r="M804">
        <f>UnilabUsage[[#This Row],[Max]]-UnilabUsage[[#This Row],[Used-MB]]</f>
        <v>32767</v>
      </c>
      <c r="N804" s="5">
        <f>IF($L804&gt;0,UnilabUsage[[#This Row],[Free-of-Max]]/UnilabUsage[[#This Row],[Usage-Delta-MB]],UnilabUsage[[#This Row],[Free-of-Max]])</f>
        <v>32767</v>
      </c>
    </row>
    <row r="805" spans="1:14" x14ac:dyDescent="0.25">
      <c r="A805" s="3">
        <v>44865</v>
      </c>
      <c r="B805" t="s">
        <v>6</v>
      </c>
      <c r="C805">
        <v>95</v>
      </c>
      <c r="D805">
        <v>7215</v>
      </c>
      <c r="E805">
        <v>358</v>
      </c>
      <c r="F805">
        <v>6857</v>
      </c>
      <c r="G805">
        <v>5</v>
      </c>
      <c r="H805">
        <v>32768</v>
      </c>
      <c r="I805">
        <v>21</v>
      </c>
      <c r="J805" t="s">
        <v>1</v>
      </c>
      <c r="K805" t="s">
        <v>2</v>
      </c>
      <c r="L805" s="8">
        <f>UnilabUsage[[#This Row],[Used-MB]]-F795</f>
        <v>24</v>
      </c>
      <c r="M805">
        <f>UnilabUsage[[#This Row],[Max]]-UnilabUsage[[#This Row],[Used-MB]]</f>
        <v>25911</v>
      </c>
      <c r="N805" s="5">
        <f>IF($L805&gt;0,UnilabUsage[[#This Row],[Free-of-Max]]/UnilabUsage[[#This Row],[Usage-Delta-MB]],UnilabUsage[[#This Row],[Free-of-Max]])</f>
        <v>1079.625</v>
      </c>
    </row>
    <row r="806" spans="1:14" x14ac:dyDescent="0.25">
      <c r="A806" s="3">
        <v>44865</v>
      </c>
      <c r="B806" t="s">
        <v>3</v>
      </c>
      <c r="C806">
        <v>98</v>
      </c>
      <c r="D806">
        <v>425984</v>
      </c>
      <c r="E806">
        <v>8399</v>
      </c>
      <c r="F806">
        <v>417585</v>
      </c>
      <c r="G806">
        <v>2</v>
      </c>
      <c r="H806">
        <v>425984</v>
      </c>
      <c r="I806">
        <v>98</v>
      </c>
      <c r="J806" t="s">
        <v>1</v>
      </c>
      <c r="K806" t="s">
        <v>2</v>
      </c>
      <c r="L806" s="8">
        <f>UnilabUsage[[#This Row],[Used-MB]]-F796</f>
        <v>1715</v>
      </c>
      <c r="M806">
        <f>UnilabUsage[[#This Row],[Max]]-UnilabUsage[[#This Row],[Used-MB]]</f>
        <v>8399</v>
      </c>
      <c r="N806" s="5">
        <f>IF($L806&gt;0,UnilabUsage[[#This Row],[Free-of-Max]]/UnilabUsage[[#This Row],[Usage-Delta-MB]],UnilabUsage[[#This Row],[Free-of-Max]])</f>
        <v>4.8973760932944606</v>
      </c>
    </row>
    <row r="807" spans="1:14" x14ac:dyDescent="0.25">
      <c r="A807" s="3">
        <v>44865</v>
      </c>
      <c r="B807" t="s">
        <v>5</v>
      </c>
      <c r="C807">
        <v>95</v>
      </c>
      <c r="D807">
        <v>20650</v>
      </c>
      <c r="E807">
        <v>1009</v>
      </c>
      <c r="F807">
        <v>19642</v>
      </c>
      <c r="G807">
        <v>5</v>
      </c>
      <c r="H807">
        <v>32768</v>
      </c>
      <c r="I807">
        <v>60</v>
      </c>
      <c r="J807" t="s">
        <v>1</v>
      </c>
      <c r="K807" t="s">
        <v>2</v>
      </c>
      <c r="L807" s="8">
        <f>UnilabUsage[[#This Row],[Used-MB]]-F797</f>
        <v>174</v>
      </c>
      <c r="M807">
        <f>UnilabUsage[[#This Row],[Max]]-UnilabUsage[[#This Row],[Used-MB]]</f>
        <v>13126</v>
      </c>
      <c r="N807" s="5">
        <f>IF($L807&gt;0,UnilabUsage[[#This Row],[Free-of-Max]]/UnilabUsage[[#This Row],[Usage-Delta-MB]],UnilabUsage[[#This Row],[Free-of-Max]])</f>
        <v>75.436781609195407</v>
      </c>
    </row>
    <row r="808" spans="1:14" x14ac:dyDescent="0.25">
      <c r="A808" s="3">
        <v>44865</v>
      </c>
      <c r="B808" t="s">
        <v>8</v>
      </c>
      <c r="C808">
        <v>91</v>
      </c>
      <c r="D808">
        <v>294912</v>
      </c>
      <c r="E808">
        <v>25355</v>
      </c>
      <c r="F808">
        <v>269557</v>
      </c>
      <c r="G808">
        <v>9</v>
      </c>
      <c r="H808">
        <v>294912</v>
      </c>
      <c r="I808">
        <v>91</v>
      </c>
      <c r="J808" t="s">
        <v>1</v>
      </c>
      <c r="K808" t="s">
        <v>2</v>
      </c>
      <c r="L808" s="8">
        <f>UnilabUsage[[#This Row],[Used-MB]]-F798</f>
        <v>1728</v>
      </c>
      <c r="M808">
        <f>UnilabUsage[[#This Row],[Max]]-UnilabUsage[[#This Row],[Used-MB]]</f>
        <v>25355</v>
      </c>
      <c r="N808" s="5">
        <f>IF($L808&gt;0,UnilabUsage[[#This Row],[Free-of-Max]]/UnilabUsage[[#This Row],[Usage-Delta-MB]],UnilabUsage[[#This Row],[Free-of-Max]])</f>
        <v>14.673032407407407</v>
      </c>
    </row>
    <row r="809" spans="1:14" x14ac:dyDescent="0.25">
      <c r="A809" s="3">
        <v>44865</v>
      </c>
      <c r="B809" t="s">
        <v>4</v>
      </c>
      <c r="C809">
        <v>97</v>
      </c>
      <c r="D809">
        <v>87509</v>
      </c>
      <c r="E809">
        <v>3048</v>
      </c>
      <c r="F809">
        <v>84461</v>
      </c>
      <c r="G809">
        <v>3</v>
      </c>
      <c r="H809">
        <v>98304</v>
      </c>
      <c r="I809">
        <v>86</v>
      </c>
      <c r="J809" t="s">
        <v>1</v>
      </c>
      <c r="K809" t="s">
        <v>2</v>
      </c>
      <c r="L809" s="8">
        <f>UnilabUsage[[#This Row],[Used-MB]]-F799</f>
        <v>512</v>
      </c>
      <c r="M809">
        <f>UnilabUsage[[#This Row],[Max]]-UnilabUsage[[#This Row],[Used-MB]]</f>
        <v>13843</v>
      </c>
      <c r="N809" s="5">
        <f>IF($L809&gt;0,UnilabUsage[[#This Row],[Free-of-Max]]/UnilabUsage[[#This Row],[Usage-Delta-MB]],UnilabUsage[[#This Row],[Free-of-Max]])</f>
        <v>27.037109375</v>
      </c>
    </row>
    <row r="810" spans="1:14" x14ac:dyDescent="0.25">
      <c r="A810" s="3">
        <v>44865</v>
      </c>
      <c r="B810" t="s">
        <v>12</v>
      </c>
      <c r="C810">
        <v>0</v>
      </c>
      <c r="D810">
        <v>30720</v>
      </c>
      <c r="E810">
        <v>30659</v>
      </c>
      <c r="F810">
        <v>61</v>
      </c>
      <c r="G810">
        <v>100</v>
      </c>
      <c r="H810">
        <v>30720</v>
      </c>
      <c r="I810">
        <v>0</v>
      </c>
      <c r="J810" t="s">
        <v>1</v>
      </c>
      <c r="K810" t="s">
        <v>13</v>
      </c>
      <c r="L810" s="8">
        <f>UnilabUsage[[#This Row],[Used-MB]]-F800</f>
        <v>14</v>
      </c>
      <c r="M810">
        <f>UnilabUsage[[#This Row],[Max]]-UnilabUsage[[#This Row],[Used-MB]]</f>
        <v>30659</v>
      </c>
      <c r="N810" s="5">
        <f>IF($L810&gt;0,UnilabUsage[[#This Row],[Free-of-Max]]/UnilabUsage[[#This Row],[Usage-Delta-MB]],UnilabUsage[[#This Row],[Free-of-Max]])</f>
        <v>2189.9285714285716</v>
      </c>
    </row>
    <row r="811" spans="1:14" x14ac:dyDescent="0.25">
      <c r="A811" s="3">
        <v>44865</v>
      </c>
      <c r="B811" t="s">
        <v>9</v>
      </c>
      <c r="C811">
        <v>2</v>
      </c>
      <c r="D811">
        <v>10440</v>
      </c>
      <c r="E811">
        <v>10246</v>
      </c>
      <c r="F811">
        <v>194</v>
      </c>
      <c r="G811">
        <v>98</v>
      </c>
      <c r="H811">
        <v>32768</v>
      </c>
      <c r="I811">
        <v>1</v>
      </c>
      <c r="J811" t="s">
        <v>1</v>
      </c>
      <c r="K811" t="s">
        <v>10</v>
      </c>
      <c r="L811" s="8">
        <f>UnilabUsage[[#This Row],[Used-MB]]-F801</f>
        <v>-4</v>
      </c>
      <c r="M811">
        <f>UnilabUsage[[#This Row],[Max]]-UnilabUsage[[#This Row],[Used-MB]]</f>
        <v>32574</v>
      </c>
      <c r="N811" s="5">
        <f>IF($L811&gt;0,UnilabUsage[[#This Row],[Free-of-Max]]/UnilabUsage[[#This Row],[Usage-Delta-MB]],UnilabUsage[[#This Row],[Free-of-Max]])</f>
        <v>32574</v>
      </c>
    </row>
    <row r="812" spans="1:14" x14ac:dyDescent="0.25">
      <c r="A812" s="3">
        <v>44879</v>
      </c>
      <c r="B812" t="s">
        <v>7</v>
      </c>
      <c r="C812">
        <v>95</v>
      </c>
      <c r="D812">
        <v>1870</v>
      </c>
      <c r="E812">
        <v>87</v>
      </c>
      <c r="F812">
        <v>1783</v>
      </c>
      <c r="G812">
        <v>5</v>
      </c>
      <c r="H812">
        <v>32768</v>
      </c>
      <c r="I812">
        <v>5</v>
      </c>
      <c r="J812" t="s">
        <v>1</v>
      </c>
      <c r="K812" t="s">
        <v>2</v>
      </c>
      <c r="L812" s="8">
        <f>UnilabUsage[[#This Row],[Used-MB]]-F802</f>
        <v>17</v>
      </c>
      <c r="M812">
        <f>UnilabUsage[[#This Row],[Max]]-UnilabUsage[[#This Row],[Used-MB]]</f>
        <v>30985</v>
      </c>
      <c r="N812" s="5">
        <f>IF($L812&gt;0,UnilabUsage[[#This Row],[Free-of-Max]]/UnilabUsage[[#This Row],[Usage-Delta-MB]],UnilabUsage[[#This Row],[Free-of-Max]])</f>
        <v>1822.6470588235295</v>
      </c>
    </row>
    <row r="813" spans="1:14" x14ac:dyDescent="0.25">
      <c r="A813" s="3">
        <v>44879</v>
      </c>
      <c r="B813" t="s">
        <v>0</v>
      </c>
      <c r="C813">
        <v>100</v>
      </c>
      <c r="D813">
        <v>20050</v>
      </c>
      <c r="E813">
        <v>17</v>
      </c>
      <c r="F813">
        <v>20033</v>
      </c>
      <c r="G813">
        <v>0</v>
      </c>
      <c r="H813">
        <v>32768</v>
      </c>
      <c r="I813">
        <v>61</v>
      </c>
      <c r="J813" t="s">
        <v>1</v>
      </c>
      <c r="K813" t="s">
        <v>2</v>
      </c>
      <c r="L813" s="8">
        <f>UnilabUsage[[#This Row],[Used-MB]]-F803</f>
        <v>128</v>
      </c>
      <c r="M813">
        <f>UnilabUsage[[#This Row],[Max]]-UnilabUsage[[#This Row],[Used-MB]]</f>
        <v>12735</v>
      </c>
      <c r="N813" s="5">
        <f>IF($L813&gt;0,UnilabUsage[[#This Row],[Free-of-Max]]/UnilabUsage[[#This Row],[Usage-Delta-MB]],UnilabUsage[[#This Row],[Free-of-Max]])</f>
        <v>99.4921875</v>
      </c>
    </row>
    <row r="814" spans="1:14" x14ac:dyDescent="0.25">
      <c r="A814" s="3">
        <v>44879</v>
      </c>
      <c r="B814" t="s">
        <v>11</v>
      </c>
      <c r="C814">
        <v>1</v>
      </c>
      <c r="D814">
        <v>100</v>
      </c>
      <c r="E814">
        <v>99</v>
      </c>
      <c r="F814">
        <v>1</v>
      </c>
      <c r="G814">
        <v>99</v>
      </c>
      <c r="H814">
        <v>32768</v>
      </c>
      <c r="I814">
        <v>0</v>
      </c>
      <c r="J814" t="s">
        <v>1</v>
      </c>
      <c r="K814" t="s">
        <v>2</v>
      </c>
      <c r="L814" s="8">
        <f>UnilabUsage[[#This Row],[Used-MB]]-F804</f>
        <v>0</v>
      </c>
      <c r="M814">
        <f>UnilabUsage[[#This Row],[Max]]-UnilabUsage[[#This Row],[Used-MB]]</f>
        <v>32767</v>
      </c>
      <c r="N814" s="5">
        <f>IF($L814&gt;0,UnilabUsage[[#This Row],[Free-of-Max]]/UnilabUsage[[#This Row],[Usage-Delta-MB]],UnilabUsage[[#This Row],[Free-of-Max]])</f>
        <v>32767</v>
      </c>
    </row>
    <row r="815" spans="1:14" x14ac:dyDescent="0.25">
      <c r="A815" s="3">
        <v>44879</v>
      </c>
      <c r="B815" t="s">
        <v>6</v>
      </c>
      <c r="C815">
        <v>95</v>
      </c>
      <c r="D815">
        <v>7385</v>
      </c>
      <c r="E815">
        <v>405</v>
      </c>
      <c r="F815">
        <v>6980</v>
      </c>
      <c r="G815">
        <v>5</v>
      </c>
      <c r="H815">
        <v>32768</v>
      </c>
      <c r="I815">
        <v>21</v>
      </c>
      <c r="J815" t="s">
        <v>1</v>
      </c>
      <c r="K815" t="s">
        <v>2</v>
      </c>
      <c r="L815" s="8">
        <f>UnilabUsage[[#This Row],[Used-MB]]-F805</f>
        <v>123</v>
      </c>
      <c r="M815">
        <f>UnilabUsage[[#This Row],[Max]]-UnilabUsage[[#This Row],[Used-MB]]</f>
        <v>25788</v>
      </c>
      <c r="N815" s="5">
        <f>IF($L815&gt;0,UnilabUsage[[#This Row],[Free-of-Max]]/UnilabUsage[[#This Row],[Usage-Delta-MB]],UnilabUsage[[#This Row],[Free-of-Max]])</f>
        <v>209.65853658536585</v>
      </c>
    </row>
    <row r="816" spans="1:14" x14ac:dyDescent="0.25">
      <c r="A816" s="3">
        <v>44879</v>
      </c>
      <c r="B816" t="s">
        <v>3</v>
      </c>
      <c r="C816">
        <v>91</v>
      </c>
      <c r="D816">
        <v>458751</v>
      </c>
      <c r="E816">
        <v>39849</v>
      </c>
      <c r="F816">
        <v>418902</v>
      </c>
      <c r="G816">
        <v>9</v>
      </c>
      <c r="H816">
        <v>458752</v>
      </c>
      <c r="I816">
        <v>91</v>
      </c>
      <c r="J816" t="s">
        <v>1</v>
      </c>
      <c r="K816" t="s">
        <v>2</v>
      </c>
      <c r="L816" s="8">
        <f>UnilabUsage[[#This Row],[Used-MB]]-F806</f>
        <v>1317</v>
      </c>
      <c r="M816">
        <f>UnilabUsage[[#This Row],[Max]]-UnilabUsage[[#This Row],[Used-MB]]</f>
        <v>39850</v>
      </c>
      <c r="N816" s="5">
        <f>IF($L816&gt;0,UnilabUsage[[#This Row],[Free-of-Max]]/UnilabUsage[[#This Row],[Usage-Delta-MB]],UnilabUsage[[#This Row],[Free-of-Max]])</f>
        <v>30.258162490508731</v>
      </c>
    </row>
    <row r="817" spans="1:14" x14ac:dyDescent="0.25">
      <c r="A817" s="3">
        <v>44879</v>
      </c>
      <c r="B817" t="s">
        <v>5</v>
      </c>
      <c r="C817">
        <v>95</v>
      </c>
      <c r="D817">
        <v>20900</v>
      </c>
      <c r="E817">
        <v>1025</v>
      </c>
      <c r="F817">
        <v>19875</v>
      </c>
      <c r="G817">
        <v>5</v>
      </c>
      <c r="H817">
        <v>32768</v>
      </c>
      <c r="I817">
        <v>61</v>
      </c>
      <c r="J817" t="s">
        <v>1</v>
      </c>
      <c r="K817" t="s">
        <v>2</v>
      </c>
      <c r="L817" s="8">
        <f>UnilabUsage[[#This Row],[Used-MB]]-F807</f>
        <v>233</v>
      </c>
      <c r="M817">
        <f>UnilabUsage[[#This Row],[Max]]-UnilabUsage[[#This Row],[Used-MB]]</f>
        <v>12893</v>
      </c>
      <c r="N817" s="5">
        <f>IF($L817&gt;0,UnilabUsage[[#This Row],[Free-of-Max]]/UnilabUsage[[#This Row],[Usage-Delta-MB]],UnilabUsage[[#This Row],[Free-of-Max]])</f>
        <v>55.334763948497852</v>
      </c>
    </row>
    <row r="818" spans="1:14" x14ac:dyDescent="0.25">
      <c r="A818" s="3">
        <v>44879</v>
      </c>
      <c r="B818" t="s">
        <v>8</v>
      </c>
      <c r="C818">
        <v>92</v>
      </c>
      <c r="D818">
        <v>294912</v>
      </c>
      <c r="E818">
        <v>24303</v>
      </c>
      <c r="F818">
        <v>270609</v>
      </c>
      <c r="G818">
        <v>8</v>
      </c>
      <c r="H818">
        <v>294912</v>
      </c>
      <c r="I818">
        <v>92</v>
      </c>
      <c r="J818" t="s">
        <v>1</v>
      </c>
      <c r="K818" t="s">
        <v>2</v>
      </c>
      <c r="L818" s="8">
        <f>UnilabUsage[[#This Row],[Used-MB]]-F808</f>
        <v>1052</v>
      </c>
      <c r="M818">
        <f>UnilabUsage[[#This Row],[Max]]-UnilabUsage[[#This Row],[Used-MB]]</f>
        <v>24303</v>
      </c>
      <c r="N818" s="5">
        <f>IF($L818&gt;0,UnilabUsage[[#This Row],[Free-of-Max]]/UnilabUsage[[#This Row],[Usage-Delta-MB]],UnilabUsage[[#This Row],[Free-of-Max]])</f>
        <v>23.10171102661597</v>
      </c>
    </row>
    <row r="819" spans="1:14" x14ac:dyDescent="0.25">
      <c r="A819" s="3">
        <v>44879</v>
      </c>
      <c r="B819" t="s">
        <v>4</v>
      </c>
      <c r="C819">
        <v>97</v>
      </c>
      <c r="D819">
        <v>87509</v>
      </c>
      <c r="E819">
        <v>2856</v>
      </c>
      <c r="F819">
        <v>84653</v>
      </c>
      <c r="G819">
        <v>3</v>
      </c>
      <c r="H819">
        <v>98304</v>
      </c>
      <c r="I819">
        <v>86</v>
      </c>
      <c r="J819" t="s">
        <v>1</v>
      </c>
      <c r="K819" t="s">
        <v>2</v>
      </c>
      <c r="L819" s="8">
        <f>UnilabUsage[[#This Row],[Used-MB]]-F809</f>
        <v>192</v>
      </c>
      <c r="M819">
        <f>UnilabUsage[[#This Row],[Max]]-UnilabUsage[[#This Row],[Used-MB]]</f>
        <v>13651</v>
      </c>
      <c r="N819" s="5">
        <f>IF($L819&gt;0,UnilabUsage[[#This Row],[Free-of-Max]]/UnilabUsage[[#This Row],[Usage-Delta-MB]],UnilabUsage[[#This Row],[Free-of-Max]])</f>
        <v>71.098958333333329</v>
      </c>
    </row>
    <row r="820" spans="1:14" x14ac:dyDescent="0.25">
      <c r="A820" s="3">
        <v>44879</v>
      </c>
      <c r="B820" t="s">
        <v>12</v>
      </c>
      <c r="C820">
        <v>0</v>
      </c>
      <c r="D820">
        <v>30720</v>
      </c>
      <c r="E820">
        <v>30612</v>
      </c>
      <c r="F820">
        <v>108</v>
      </c>
      <c r="G820">
        <v>100</v>
      </c>
      <c r="H820">
        <v>30720</v>
      </c>
      <c r="I820">
        <v>0</v>
      </c>
      <c r="J820" t="s">
        <v>1</v>
      </c>
      <c r="K820" t="s">
        <v>13</v>
      </c>
      <c r="L820" s="8">
        <f>UnilabUsage[[#This Row],[Used-MB]]-F810</f>
        <v>47</v>
      </c>
      <c r="M820">
        <f>UnilabUsage[[#This Row],[Max]]-UnilabUsage[[#This Row],[Used-MB]]</f>
        <v>30612</v>
      </c>
      <c r="N820" s="5">
        <f>IF($L820&gt;0,UnilabUsage[[#This Row],[Free-of-Max]]/UnilabUsage[[#This Row],[Usage-Delta-MB]],UnilabUsage[[#This Row],[Free-of-Max]])</f>
        <v>651.31914893617022</v>
      </c>
    </row>
    <row r="821" spans="1:14" x14ac:dyDescent="0.25">
      <c r="A821" s="3">
        <v>44879</v>
      </c>
      <c r="B821" t="s">
        <v>9</v>
      </c>
      <c r="C821">
        <v>12</v>
      </c>
      <c r="D821">
        <v>10440</v>
      </c>
      <c r="E821">
        <v>9203</v>
      </c>
      <c r="F821">
        <v>1237</v>
      </c>
      <c r="G821">
        <v>88</v>
      </c>
      <c r="H821">
        <v>32768</v>
      </c>
      <c r="I821">
        <v>4</v>
      </c>
      <c r="J821" t="s">
        <v>1</v>
      </c>
      <c r="K821" t="s">
        <v>10</v>
      </c>
      <c r="L821" s="8">
        <f>UnilabUsage[[#This Row],[Used-MB]]-F811</f>
        <v>1043</v>
      </c>
      <c r="M821">
        <f>UnilabUsage[[#This Row],[Max]]-UnilabUsage[[#This Row],[Used-MB]]</f>
        <v>31531</v>
      </c>
      <c r="N821" s="5">
        <f>IF($L821&gt;0,UnilabUsage[[#This Row],[Free-of-Max]]/UnilabUsage[[#This Row],[Usage-Delta-MB]],UnilabUsage[[#This Row],[Free-of-Max]])</f>
        <v>30.231064237775648</v>
      </c>
    </row>
    <row r="822" spans="1:14" x14ac:dyDescent="0.25">
      <c r="A822" s="3">
        <v>44893</v>
      </c>
      <c r="B822" t="s">
        <v>7</v>
      </c>
      <c r="C822">
        <v>95</v>
      </c>
      <c r="D822">
        <v>1890</v>
      </c>
      <c r="E822">
        <v>90</v>
      </c>
      <c r="F822">
        <v>1800</v>
      </c>
      <c r="G822">
        <v>5</v>
      </c>
      <c r="H822">
        <v>32768</v>
      </c>
      <c r="I822">
        <v>5</v>
      </c>
      <c r="J822" t="s">
        <v>1</v>
      </c>
      <c r="K822" t="s">
        <v>2</v>
      </c>
      <c r="L822" s="8">
        <f>UnilabUsage[[#This Row],[Used-MB]]-F812</f>
        <v>17</v>
      </c>
      <c r="M822">
        <f>UnilabUsage[[#This Row],[Max]]-UnilabUsage[[#This Row],[Used-MB]]</f>
        <v>30968</v>
      </c>
      <c r="N822" s="5">
        <f>IF($L822&gt;0,UnilabUsage[[#This Row],[Free-of-Max]]/UnilabUsage[[#This Row],[Usage-Delta-MB]],UnilabUsage[[#This Row],[Free-of-Max]])</f>
        <v>1821.6470588235295</v>
      </c>
    </row>
    <row r="823" spans="1:14" x14ac:dyDescent="0.25">
      <c r="A823" s="3">
        <v>44893</v>
      </c>
      <c r="B823" t="s">
        <v>0</v>
      </c>
      <c r="C823">
        <v>100</v>
      </c>
      <c r="D823">
        <v>20250</v>
      </c>
      <c r="E823">
        <v>89</v>
      </c>
      <c r="F823">
        <v>20161</v>
      </c>
      <c r="G823">
        <v>0</v>
      </c>
      <c r="H823">
        <v>32768</v>
      </c>
      <c r="I823">
        <v>62</v>
      </c>
      <c r="J823" t="s">
        <v>1</v>
      </c>
      <c r="K823" t="s">
        <v>2</v>
      </c>
      <c r="L823" s="8">
        <f>UnilabUsage[[#This Row],[Used-MB]]-F813</f>
        <v>128</v>
      </c>
      <c r="M823">
        <f>UnilabUsage[[#This Row],[Max]]-UnilabUsage[[#This Row],[Used-MB]]</f>
        <v>12607</v>
      </c>
      <c r="N823" s="5">
        <f>IF($L823&gt;0,UnilabUsage[[#This Row],[Free-of-Max]]/UnilabUsage[[#This Row],[Usage-Delta-MB]],UnilabUsage[[#This Row],[Free-of-Max]])</f>
        <v>98.4921875</v>
      </c>
    </row>
    <row r="824" spans="1:14" x14ac:dyDescent="0.25">
      <c r="A824" s="3">
        <v>44893</v>
      </c>
      <c r="B824" t="s">
        <v>11</v>
      </c>
      <c r="C824">
        <v>1</v>
      </c>
      <c r="D824">
        <v>100</v>
      </c>
      <c r="E824">
        <v>99</v>
      </c>
      <c r="F824">
        <v>1</v>
      </c>
      <c r="G824">
        <v>99</v>
      </c>
      <c r="H824">
        <v>32768</v>
      </c>
      <c r="I824">
        <v>0</v>
      </c>
      <c r="J824" t="s">
        <v>1</v>
      </c>
      <c r="K824" t="s">
        <v>2</v>
      </c>
      <c r="L824" s="8">
        <f>UnilabUsage[[#This Row],[Used-MB]]-F814</f>
        <v>0</v>
      </c>
      <c r="M824">
        <f>UnilabUsage[[#This Row],[Max]]-UnilabUsage[[#This Row],[Used-MB]]</f>
        <v>32767</v>
      </c>
      <c r="N824" s="5">
        <f>IF($L824&gt;0,UnilabUsage[[#This Row],[Free-of-Max]]/UnilabUsage[[#This Row],[Usage-Delta-MB]],UnilabUsage[[#This Row],[Free-of-Max]])</f>
        <v>32767</v>
      </c>
    </row>
    <row r="825" spans="1:14" x14ac:dyDescent="0.25">
      <c r="A825" s="3">
        <v>44893</v>
      </c>
      <c r="B825" t="s">
        <v>6</v>
      </c>
      <c r="C825">
        <v>95</v>
      </c>
      <c r="D825">
        <v>7385</v>
      </c>
      <c r="E825">
        <v>403</v>
      </c>
      <c r="F825">
        <v>6982</v>
      </c>
      <c r="G825">
        <v>5</v>
      </c>
      <c r="H825">
        <v>32768</v>
      </c>
      <c r="I825">
        <v>21</v>
      </c>
      <c r="J825" t="s">
        <v>1</v>
      </c>
      <c r="K825" t="s">
        <v>2</v>
      </c>
      <c r="L825" s="8">
        <f>UnilabUsage[[#This Row],[Used-MB]]-F815</f>
        <v>2</v>
      </c>
      <c r="M825">
        <f>UnilabUsage[[#This Row],[Max]]-UnilabUsage[[#This Row],[Used-MB]]</f>
        <v>25786</v>
      </c>
      <c r="N825" s="5">
        <f>IF($L825&gt;0,UnilabUsage[[#This Row],[Free-of-Max]]/UnilabUsage[[#This Row],[Usage-Delta-MB]],UnilabUsage[[#This Row],[Free-of-Max]])</f>
        <v>12893</v>
      </c>
    </row>
    <row r="826" spans="1:14" x14ac:dyDescent="0.25">
      <c r="A826" s="3">
        <v>44893</v>
      </c>
      <c r="B826" t="s">
        <v>3</v>
      </c>
      <c r="C826">
        <v>92</v>
      </c>
      <c r="D826">
        <v>458751</v>
      </c>
      <c r="E826">
        <v>38431</v>
      </c>
      <c r="F826">
        <v>420320</v>
      </c>
      <c r="G826">
        <v>8</v>
      </c>
      <c r="H826">
        <v>458752</v>
      </c>
      <c r="I826">
        <v>92</v>
      </c>
      <c r="J826" t="s">
        <v>1</v>
      </c>
      <c r="K826" t="s">
        <v>2</v>
      </c>
      <c r="L826" s="8">
        <f>UnilabUsage[[#This Row],[Used-MB]]-F816</f>
        <v>1418</v>
      </c>
      <c r="M826">
        <f>UnilabUsage[[#This Row],[Max]]-UnilabUsage[[#This Row],[Used-MB]]</f>
        <v>38432</v>
      </c>
      <c r="N826" s="5">
        <f>IF($L826&gt;0,UnilabUsage[[#This Row],[Free-of-Max]]/UnilabUsage[[#This Row],[Usage-Delta-MB]],UnilabUsage[[#This Row],[Free-of-Max]])</f>
        <v>27.102961918194641</v>
      </c>
    </row>
    <row r="827" spans="1:14" x14ac:dyDescent="0.25">
      <c r="A827" s="3">
        <v>44893</v>
      </c>
      <c r="B827" t="s">
        <v>5</v>
      </c>
      <c r="C827">
        <v>95</v>
      </c>
      <c r="D827">
        <v>21100</v>
      </c>
      <c r="E827">
        <v>1031</v>
      </c>
      <c r="F827">
        <v>20069</v>
      </c>
      <c r="G827">
        <v>5</v>
      </c>
      <c r="H827">
        <v>32768</v>
      </c>
      <c r="I827">
        <v>61</v>
      </c>
      <c r="J827" t="s">
        <v>1</v>
      </c>
      <c r="K827" t="s">
        <v>2</v>
      </c>
      <c r="L827" s="8">
        <f>UnilabUsage[[#This Row],[Used-MB]]-F817</f>
        <v>194</v>
      </c>
      <c r="M827">
        <f>UnilabUsage[[#This Row],[Max]]-UnilabUsage[[#This Row],[Used-MB]]</f>
        <v>12699</v>
      </c>
      <c r="N827" s="5">
        <f>IF($L827&gt;0,UnilabUsage[[#This Row],[Free-of-Max]]/UnilabUsage[[#This Row],[Usage-Delta-MB]],UnilabUsage[[#This Row],[Free-of-Max]])</f>
        <v>65.458762886597938</v>
      </c>
    </row>
    <row r="828" spans="1:14" x14ac:dyDescent="0.25">
      <c r="A828" s="3">
        <v>44893</v>
      </c>
      <c r="B828" t="s">
        <v>8</v>
      </c>
      <c r="C828">
        <v>92</v>
      </c>
      <c r="D828">
        <v>294912</v>
      </c>
      <c r="E828">
        <v>23488</v>
      </c>
      <c r="F828">
        <v>271424</v>
      </c>
      <c r="G828">
        <v>8</v>
      </c>
      <c r="H828">
        <v>294912</v>
      </c>
      <c r="I828">
        <v>92</v>
      </c>
      <c r="J828" t="s">
        <v>1</v>
      </c>
      <c r="K828" t="s">
        <v>2</v>
      </c>
      <c r="L828" s="8">
        <f>UnilabUsage[[#This Row],[Used-MB]]-F818</f>
        <v>815</v>
      </c>
      <c r="M828">
        <f>UnilabUsage[[#This Row],[Max]]-UnilabUsage[[#This Row],[Used-MB]]</f>
        <v>23488</v>
      </c>
      <c r="N828" s="5">
        <f>IF($L828&gt;0,UnilabUsage[[#This Row],[Free-of-Max]]/UnilabUsage[[#This Row],[Usage-Delta-MB]],UnilabUsage[[#This Row],[Free-of-Max]])</f>
        <v>28.819631901840491</v>
      </c>
    </row>
    <row r="829" spans="1:14" x14ac:dyDescent="0.25">
      <c r="A829" s="3">
        <v>44893</v>
      </c>
      <c r="B829" t="s">
        <v>4</v>
      </c>
      <c r="C829">
        <v>97</v>
      </c>
      <c r="D829">
        <v>87509</v>
      </c>
      <c r="E829">
        <v>2407</v>
      </c>
      <c r="F829">
        <v>85102</v>
      </c>
      <c r="G829">
        <v>3</v>
      </c>
      <c r="H829">
        <v>98304</v>
      </c>
      <c r="I829">
        <v>87</v>
      </c>
      <c r="J829" t="s">
        <v>1</v>
      </c>
      <c r="K829" t="s">
        <v>2</v>
      </c>
      <c r="L829" s="8">
        <f>UnilabUsage[[#This Row],[Used-MB]]-F819</f>
        <v>449</v>
      </c>
      <c r="M829">
        <f>UnilabUsage[[#This Row],[Max]]-UnilabUsage[[#This Row],[Used-MB]]</f>
        <v>13202</v>
      </c>
      <c r="N829" s="5">
        <f>IF($L829&gt;0,UnilabUsage[[#This Row],[Free-of-Max]]/UnilabUsage[[#This Row],[Usage-Delta-MB]],UnilabUsage[[#This Row],[Free-of-Max]])</f>
        <v>29.403118040089087</v>
      </c>
    </row>
    <row r="830" spans="1:14" x14ac:dyDescent="0.25">
      <c r="A830" s="3">
        <v>44893</v>
      </c>
      <c r="B830" t="s">
        <v>12</v>
      </c>
      <c r="C830">
        <v>0</v>
      </c>
      <c r="D830">
        <v>30720</v>
      </c>
      <c r="E830">
        <v>30577</v>
      </c>
      <c r="F830">
        <v>143</v>
      </c>
      <c r="G830">
        <v>100</v>
      </c>
      <c r="H830">
        <v>30720</v>
      </c>
      <c r="I830">
        <v>0</v>
      </c>
      <c r="J830" t="s">
        <v>1</v>
      </c>
      <c r="K830" t="s">
        <v>13</v>
      </c>
      <c r="L830" s="8">
        <f>UnilabUsage[[#This Row],[Used-MB]]-F820</f>
        <v>35</v>
      </c>
      <c r="M830">
        <f>UnilabUsage[[#This Row],[Max]]-UnilabUsage[[#This Row],[Used-MB]]</f>
        <v>30577</v>
      </c>
      <c r="N830" s="5">
        <f>IF($L830&gt;0,UnilabUsage[[#This Row],[Free-of-Max]]/UnilabUsage[[#This Row],[Usage-Delta-MB]],UnilabUsage[[#This Row],[Free-of-Max]])</f>
        <v>873.62857142857138</v>
      </c>
    </row>
    <row r="831" spans="1:14" x14ac:dyDescent="0.25">
      <c r="A831" s="3">
        <v>44893</v>
      </c>
      <c r="B831" t="s">
        <v>9</v>
      </c>
      <c r="C831">
        <v>2</v>
      </c>
      <c r="D831">
        <v>10440</v>
      </c>
      <c r="E831">
        <v>10241</v>
      </c>
      <c r="F831">
        <v>199</v>
      </c>
      <c r="G831">
        <v>98</v>
      </c>
      <c r="H831">
        <v>32768</v>
      </c>
      <c r="I831">
        <v>1</v>
      </c>
      <c r="J831" t="s">
        <v>1</v>
      </c>
      <c r="K831" t="s">
        <v>10</v>
      </c>
      <c r="L831" s="8">
        <f>UnilabUsage[[#This Row],[Used-MB]]-F821</f>
        <v>-1038</v>
      </c>
      <c r="M831">
        <f>UnilabUsage[[#This Row],[Max]]-UnilabUsage[[#This Row],[Used-MB]]</f>
        <v>32569</v>
      </c>
      <c r="N831" s="5">
        <f>IF($L831&gt;0,UnilabUsage[[#This Row],[Free-of-Max]]/UnilabUsage[[#This Row],[Usage-Delta-MB]],UnilabUsage[[#This Row],[Free-of-Max]])</f>
        <v>32569</v>
      </c>
    </row>
    <row r="832" spans="1:14" x14ac:dyDescent="0.25">
      <c r="A832" s="3">
        <v>44942</v>
      </c>
      <c r="B832" s="15" t="s">
        <v>7</v>
      </c>
      <c r="C832" s="16">
        <v>96</v>
      </c>
      <c r="D832" s="16">
        <v>1940</v>
      </c>
      <c r="E832" s="16">
        <v>85</v>
      </c>
      <c r="F832" s="16">
        <v>1855</v>
      </c>
      <c r="G832" s="16">
        <v>4</v>
      </c>
      <c r="H832" s="16">
        <v>32768</v>
      </c>
      <c r="I832" s="16">
        <v>6</v>
      </c>
      <c r="J832" s="15" t="s">
        <v>1</v>
      </c>
      <c r="K832" s="15" t="s">
        <v>2</v>
      </c>
      <c r="L832" s="8">
        <f>UnilabUsage[[#This Row],[Used-MB]]-F822</f>
        <v>55</v>
      </c>
      <c r="M832">
        <f>UnilabUsage[[#This Row],[Max]]-UnilabUsage[[#This Row],[Used-MB]]</f>
        <v>30913</v>
      </c>
      <c r="N832" s="5">
        <f>IF($L832&gt;0,UnilabUsage[[#This Row],[Free-of-Max]]/UnilabUsage[[#This Row],[Usage-Delta-MB]],UnilabUsage[[#This Row],[Free-of-Max]])</f>
        <v>562.0545454545454</v>
      </c>
    </row>
    <row r="833" spans="1:14" x14ac:dyDescent="0.25">
      <c r="A833" s="3">
        <v>44942</v>
      </c>
      <c r="B833" s="15" t="s">
        <v>0</v>
      </c>
      <c r="C833" s="16">
        <v>100</v>
      </c>
      <c r="D833" s="16">
        <v>20650</v>
      </c>
      <c r="E833" s="16">
        <v>40</v>
      </c>
      <c r="F833" s="16">
        <v>20610</v>
      </c>
      <c r="G833" s="16">
        <v>0</v>
      </c>
      <c r="H833" s="16">
        <v>32768</v>
      </c>
      <c r="I833" s="16">
        <v>63</v>
      </c>
      <c r="J833" s="15" t="s">
        <v>1</v>
      </c>
      <c r="K833" s="15" t="s">
        <v>2</v>
      </c>
      <c r="L833" s="8">
        <f>UnilabUsage[[#This Row],[Used-MB]]-F823</f>
        <v>449</v>
      </c>
      <c r="M833">
        <f>UnilabUsage[[#This Row],[Max]]-UnilabUsage[[#This Row],[Used-MB]]</f>
        <v>12158</v>
      </c>
      <c r="N833" s="5">
        <f>IF($L833&gt;0,UnilabUsage[[#This Row],[Free-of-Max]]/UnilabUsage[[#This Row],[Usage-Delta-MB]],UnilabUsage[[#This Row],[Free-of-Max]])</f>
        <v>27.07795100222717</v>
      </c>
    </row>
    <row r="834" spans="1:14" x14ac:dyDescent="0.25">
      <c r="A834" s="3">
        <v>44942</v>
      </c>
      <c r="B834" s="15" t="s">
        <v>11</v>
      </c>
      <c r="C834" s="16">
        <v>1</v>
      </c>
      <c r="D834" s="16">
        <v>100</v>
      </c>
      <c r="E834" s="16">
        <v>99</v>
      </c>
      <c r="F834" s="16">
        <v>1</v>
      </c>
      <c r="G834" s="16">
        <v>99</v>
      </c>
      <c r="H834" s="16">
        <v>32768</v>
      </c>
      <c r="I834" s="16">
        <v>0</v>
      </c>
      <c r="J834" s="15" t="s">
        <v>1</v>
      </c>
      <c r="K834" s="15" t="s">
        <v>2</v>
      </c>
      <c r="L834" s="8">
        <f>UnilabUsage[[#This Row],[Used-MB]]-F824</f>
        <v>0</v>
      </c>
      <c r="M834">
        <f>UnilabUsage[[#This Row],[Max]]-UnilabUsage[[#This Row],[Used-MB]]</f>
        <v>32767</v>
      </c>
      <c r="N834" s="5">
        <f>IF($L834&gt;0,UnilabUsage[[#This Row],[Free-of-Max]]/UnilabUsage[[#This Row],[Usage-Delta-MB]],UnilabUsage[[#This Row],[Free-of-Max]])</f>
        <v>32767</v>
      </c>
    </row>
    <row r="835" spans="1:14" x14ac:dyDescent="0.25">
      <c r="A835" s="3">
        <v>44942</v>
      </c>
      <c r="B835" s="15" t="s">
        <v>6</v>
      </c>
      <c r="C835" s="16">
        <v>95</v>
      </c>
      <c r="D835" s="16">
        <v>7385</v>
      </c>
      <c r="E835" s="16">
        <v>393</v>
      </c>
      <c r="F835" s="16">
        <v>6992</v>
      </c>
      <c r="G835" s="16">
        <v>5</v>
      </c>
      <c r="H835" s="16">
        <v>32768</v>
      </c>
      <c r="I835" s="16">
        <v>21</v>
      </c>
      <c r="J835" s="15" t="s">
        <v>1</v>
      </c>
      <c r="K835" s="15" t="s">
        <v>2</v>
      </c>
      <c r="L835" s="8">
        <f>UnilabUsage[[#This Row],[Used-MB]]-F825</f>
        <v>10</v>
      </c>
      <c r="M835">
        <f>UnilabUsage[[#This Row],[Max]]-UnilabUsage[[#This Row],[Used-MB]]</f>
        <v>25776</v>
      </c>
      <c r="N835" s="5">
        <f>IF($L835&gt;0,UnilabUsage[[#This Row],[Free-of-Max]]/UnilabUsage[[#This Row],[Usage-Delta-MB]],UnilabUsage[[#This Row],[Free-of-Max]])</f>
        <v>2577.6</v>
      </c>
    </row>
    <row r="836" spans="1:14" x14ac:dyDescent="0.25">
      <c r="A836" s="3">
        <v>44942</v>
      </c>
      <c r="B836" s="15" t="s">
        <v>3</v>
      </c>
      <c r="C836" s="16">
        <v>92</v>
      </c>
      <c r="D836" s="16">
        <v>458751</v>
      </c>
      <c r="E836" s="16">
        <v>35056</v>
      </c>
      <c r="F836" s="16">
        <v>423695</v>
      </c>
      <c r="G836" s="16">
        <v>8</v>
      </c>
      <c r="H836" s="16">
        <v>458752</v>
      </c>
      <c r="I836" s="16">
        <v>92</v>
      </c>
      <c r="J836" s="15" t="s">
        <v>1</v>
      </c>
      <c r="K836" s="15" t="s">
        <v>2</v>
      </c>
      <c r="L836" s="8">
        <f>UnilabUsage[[#This Row],[Used-MB]]-F826</f>
        <v>3375</v>
      </c>
      <c r="M836">
        <f>UnilabUsage[[#This Row],[Max]]-UnilabUsage[[#This Row],[Used-MB]]</f>
        <v>35057</v>
      </c>
      <c r="N836" s="5">
        <f>IF($L836&gt;0,UnilabUsage[[#This Row],[Free-of-Max]]/UnilabUsage[[#This Row],[Usage-Delta-MB]],UnilabUsage[[#This Row],[Free-of-Max]])</f>
        <v>10.38725925925926</v>
      </c>
    </row>
    <row r="837" spans="1:14" x14ac:dyDescent="0.25">
      <c r="A837" s="3">
        <v>44942</v>
      </c>
      <c r="B837" s="15" t="s">
        <v>5</v>
      </c>
      <c r="C837" s="16">
        <v>95</v>
      </c>
      <c r="D837" s="16">
        <v>21350</v>
      </c>
      <c r="E837" s="16">
        <v>1054</v>
      </c>
      <c r="F837" s="16">
        <v>20296</v>
      </c>
      <c r="G837" s="16">
        <v>5</v>
      </c>
      <c r="H837" s="16">
        <v>32768</v>
      </c>
      <c r="I837" s="16">
        <v>62</v>
      </c>
      <c r="J837" s="15" t="s">
        <v>1</v>
      </c>
      <c r="K837" s="15" t="s">
        <v>2</v>
      </c>
      <c r="L837" s="8">
        <f>UnilabUsage[[#This Row],[Used-MB]]-F827</f>
        <v>227</v>
      </c>
      <c r="M837">
        <f>UnilabUsage[[#This Row],[Max]]-UnilabUsage[[#This Row],[Used-MB]]</f>
        <v>12472</v>
      </c>
      <c r="N837" s="5">
        <f>IF($L837&gt;0,UnilabUsage[[#This Row],[Free-of-Max]]/UnilabUsage[[#This Row],[Usage-Delta-MB]],UnilabUsage[[#This Row],[Free-of-Max]])</f>
        <v>54.942731277533042</v>
      </c>
    </row>
    <row r="838" spans="1:14" x14ac:dyDescent="0.25">
      <c r="A838" s="3">
        <v>44942</v>
      </c>
      <c r="B838" s="15" t="s">
        <v>8</v>
      </c>
      <c r="C838" s="16">
        <v>93</v>
      </c>
      <c r="D838" s="16">
        <v>294912</v>
      </c>
      <c r="E838" s="16">
        <v>20797</v>
      </c>
      <c r="F838" s="16">
        <v>274115</v>
      </c>
      <c r="G838" s="16">
        <v>7</v>
      </c>
      <c r="H838" s="16">
        <v>294912</v>
      </c>
      <c r="I838" s="16">
        <v>93</v>
      </c>
      <c r="J838" s="15" t="s">
        <v>1</v>
      </c>
      <c r="K838" s="15" t="s">
        <v>2</v>
      </c>
      <c r="L838" s="8">
        <f>UnilabUsage[[#This Row],[Used-MB]]-F828</f>
        <v>2691</v>
      </c>
      <c r="M838">
        <f>UnilabUsage[[#This Row],[Max]]-UnilabUsage[[#This Row],[Used-MB]]</f>
        <v>20797</v>
      </c>
      <c r="N838" s="5">
        <f>IF($L838&gt;0,UnilabUsage[[#This Row],[Free-of-Max]]/UnilabUsage[[#This Row],[Usage-Delta-MB]],UnilabUsage[[#This Row],[Free-of-Max]])</f>
        <v>7.7283537718320323</v>
      </c>
    </row>
    <row r="839" spans="1:14" x14ac:dyDescent="0.25">
      <c r="A839" s="3">
        <v>44942</v>
      </c>
      <c r="B839" s="15" t="s">
        <v>4</v>
      </c>
      <c r="C839" s="16">
        <v>98</v>
      </c>
      <c r="D839" s="16">
        <v>87509</v>
      </c>
      <c r="E839" s="16">
        <v>1968</v>
      </c>
      <c r="F839" s="16">
        <v>85541</v>
      </c>
      <c r="G839" s="16">
        <v>2</v>
      </c>
      <c r="H839" s="16">
        <v>98304</v>
      </c>
      <c r="I839" s="16">
        <v>87</v>
      </c>
      <c r="J839" s="15" t="s">
        <v>1</v>
      </c>
      <c r="K839" s="15" t="s">
        <v>2</v>
      </c>
      <c r="L839" s="8">
        <f>UnilabUsage[[#This Row],[Used-MB]]-F829</f>
        <v>439</v>
      </c>
      <c r="M839">
        <f>UnilabUsage[[#This Row],[Max]]-UnilabUsage[[#This Row],[Used-MB]]</f>
        <v>12763</v>
      </c>
      <c r="N839" s="5">
        <f>IF($L839&gt;0,UnilabUsage[[#This Row],[Free-of-Max]]/UnilabUsage[[#This Row],[Usage-Delta-MB]],UnilabUsage[[#This Row],[Free-of-Max]])</f>
        <v>29.072892938496583</v>
      </c>
    </row>
    <row r="840" spans="1:14" x14ac:dyDescent="0.25">
      <c r="A840" s="3">
        <v>44942</v>
      </c>
      <c r="B840" s="15" t="s">
        <v>12</v>
      </c>
      <c r="C840" s="16">
        <v>0</v>
      </c>
      <c r="D840" s="16">
        <v>30720</v>
      </c>
      <c r="E840" s="16">
        <v>30619</v>
      </c>
      <c r="F840" s="16">
        <v>101</v>
      </c>
      <c r="G840" s="16">
        <v>100</v>
      </c>
      <c r="H840" s="16">
        <v>30720</v>
      </c>
      <c r="I840" s="16">
        <v>0</v>
      </c>
      <c r="J840" s="15" t="s">
        <v>1</v>
      </c>
      <c r="K840" s="15" t="s">
        <v>13</v>
      </c>
      <c r="L840" s="8">
        <f>UnilabUsage[[#This Row],[Used-MB]]-F830</f>
        <v>-42</v>
      </c>
      <c r="M840">
        <f>UnilabUsage[[#This Row],[Max]]-UnilabUsage[[#This Row],[Used-MB]]</f>
        <v>30619</v>
      </c>
      <c r="N840" s="5">
        <f>IF($L840&gt;0,UnilabUsage[[#This Row],[Free-of-Max]]/UnilabUsage[[#This Row],[Usage-Delta-MB]],UnilabUsage[[#This Row],[Free-of-Max]])</f>
        <v>30619</v>
      </c>
    </row>
    <row r="841" spans="1:14" x14ac:dyDescent="0.25">
      <c r="A841" s="3">
        <v>44942</v>
      </c>
      <c r="B841" s="15" t="s">
        <v>9</v>
      </c>
      <c r="C841" s="16">
        <v>3</v>
      </c>
      <c r="D841" s="16">
        <v>10440</v>
      </c>
      <c r="E841" s="16">
        <v>10161</v>
      </c>
      <c r="F841" s="16">
        <v>279</v>
      </c>
      <c r="G841" s="16">
        <v>97</v>
      </c>
      <c r="H841" s="16">
        <v>32768</v>
      </c>
      <c r="I841" s="16">
        <v>1</v>
      </c>
      <c r="J841" s="15" t="s">
        <v>1</v>
      </c>
      <c r="K841" s="15" t="s">
        <v>10</v>
      </c>
      <c r="L841" s="8">
        <f>UnilabUsage[[#This Row],[Used-MB]]-F831</f>
        <v>80</v>
      </c>
      <c r="M841">
        <f>UnilabUsage[[#This Row],[Max]]-UnilabUsage[[#This Row],[Used-MB]]</f>
        <v>32489</v>
      </c>
      <c r="N841" s="5">
        <f>IF($L841&gt;0,UnilabUsage[[#This Row],[Free-of-Max]]/UnilabUsage[[#This Row],[Usage-Delta-MB]],UnilabUsage[[#This Row],[Free-of-Max]])</f>
        <v>406.11250000000001</v>
      </c>
    </row>
    <row r="842" spans="1:14" x14ac:dyDescent="0.25">
      <c r="A842" s="3">
        <v>45131</v>
      </c>
      <c r="B842" s="15" t="s">
        <v>7</v>
      </c>
      <c r="C842" s="16">
        <v>95</v>
      </c>
      <c r="D842" s="16">
        <v>2200</v>
      </c>
      <c r="E842" s="16">
        <v>110</v>
      </c>
      <c r="F842" s="16">
        <v>2090</v>
      </c>
      <c r="G842" s="16">
        <v>5</v>
      </c>
      <c r="H842" s="16">
        <v>32768</v>
      </c>
      <c r="I842" s="16">
        <v>6</v>
      </c>
      <c r="J842" s="15" t="s">
        <v>1</v>
      </c>
      <c r="K842" s="15" t="s">
        <v>2</v>
      </c>
      <c r="L842" s="8">
        <f>UnilabUsage[[#This Row],[Used-MB]]-F832</f>
        <v>235</v>
      </c>
      <c r="M842">
        <f>UnilabUsage[[#This Row],[Max]]-UnilabUsage[[#This Row],[Used-MB]]</f>
        <v>30678</v>
      </c>
      <c r="N842" s="5">
        <f>IF($L842&gt;0,UnilabUsage[[#This Row],[Free-of-Max]]/UnilabUsage[[#This Row],[Usage-Delta-MB]],UnilabUsage[[#This Row],[Free-of-Max]])</f>
        <v>130.54468085106382</v>
      </c>
    </row>
    <row r="843" spans="1:14" x14ac:dyDescent="0.25">
      <c r="A843" s="3">
        <v>45131</v>
      </c>
      <c r="B843" s="15" t="s">
        <v>0</v>
      </c>
      <c r="C843" s="16">
        <v>100</v>
      </c>
      <c r="D843" s="16">
        <v>22250</v>
      </c>
      <c r="E843" s="16">
        <v>33</v>
      </c>
      <c r="F843" s="16">
        <v>22217</v>
      </c>
      <c r="G843" s="16">
        <v>0</v>
      </c>
      <c r="H843" s="16">
        <v>32768</v>
      </c>
      <c r="I843" s="16">
        <v>68</v>
      </c>
      <c r="J843" s="15" t="s">
        <v>1</v>
      </c>
      <c r="K843" s="15" t="s">
        <v>2</v>
      </c>
      <c r="L843" s="8">
        <f>UnilabUsage[[#This Row],[Used-MB]]-F833</f>
        <v>1607</v>
      </c>
      <c r="M843">
        <f>UnilabUsage[[#This Row],[Max]]-UnilabUsage[[#This Row],[Used-MB]]</f>
        <v>10551</v>
      </c>
      <c r="N843" s="5">
        <f>IF($L843&gt;0,UnilabUsage[[#This Row],[Free-of-Max]]/UnilabUsage[[#This Row],[Usage-Delta-MB]],UnilabUsage[[#This Row],[Free-of-Max]])</f>
        <v>6.565650280024891</v>
      </c>
    </row>
    <row r="844" spans="1:14" x14ac:dyDescent="0.25">
      <c r="A844" s="3">
        <v>45131</v>
      </c>
      <c r="B844" s="15" t="s">
        <v>11</v>
      </c>
      <c r="C844" s="16">
        <v>1</v>
      </c>
      <c r="D844" s="16">
        <v>100</v>
      </c>
      <c r="E844" s="16">
        <v>99</v>
      </c>
      <c r="F844" s="16">
        <v>1</v>
      </c>
      <c r="G844" s="16">
        <v>99</v>
      </c>
      <c r="H844" s="16">
        <v>32768</v>
      </c>
      <c r="I844" s="16">
        <v>0</v>
      </c>
      <c r="J844" s="15" t="s">
        <v>1</v>
      </c>
      <c r="K844" s="15" t="s">
        <v>2</v>
      </c>
      <c r="L844" s="8">
        <f>UnilabUsage[[#This Row],[Used-MB]]-F834</f>
        <v>0</v>
      </c>
      <c r="M844">
        <f>UnilabUsage[[#This Row],[Max]]-UnilabUsage[[#This Row],[Used-MB]]</f>
        <v>32767</v>
      </c>
      <c r="N844" s="5">
        <f>IF($L844&gt;0,UnilabUsage[[#This Row],[Free-of-Max]]/UnilabUsage[[#This Row],[Usage-Delta-MB]],UnilabUsage[[#This Row],[Free-of-Max]])</f>
        <v>32767</v>
      </c>
    </row>
    <row r="845" spans="1:14" x14ac:dyDescent="0.25">
      <c r="A845" s="3">
        <v>45131</v>
      </c>
      <c r="B845" s="15" t="s">
        <v>6</v>
      </c>
      <c r="C845" s="16">
        <v>95</v>
      </c>
      <c r="D845" s="16">
        <v>7595</v>
      </c>
      <c r="E845" s="16">
        <v>371</v>
      </c>
      <c r="F845" s="16">
        <v>7224</v>
      </c>
      <c r="G845" s="16">
        <v>5</v>
      </c>
      <c r="H845" s="16">
        <v>32768</v>
      </c>
      <c r="I845" s="16">
        <v>22</v>
      </c>
      <c r="J845" s="15" t="s">
        <v>1</v>
      </c>
      <c r="K845" s="15" t="s">
        <v>2</v>
      </c>
      <c r="L845" s="8">
        <f>UnilabUsage[[#This Row],[Used-MB]]-F835</f>
        <v>232</v>
      </c>
      <c r="M845">
        <f>UnilabUsage[[#This Row],[Max]]-UnilabUsage[[#This Row],[Used-MB]]</f>
        <v>25544</v>
      </c>
      <c r="N845" s="5">
        <f>IF($L845&gt;0,UnilabUsage[[#This Row],[Free-of-Max]]/UnilabUsage[[#This Row],[Usage-Delta-MB]],UnilabUsage[[#This Row],[Free-of-Max]])</f>
        <v>110.10344827586206</v>
      </c>
    </row>
    <row r="846" spans="1:14" x14ac:dyDescent="0.25">
      <c r="A846" s="3">
        <v>45131</v>
      </c>
      <c r="B846" s="15" t="s">
        <v>3</v>
      </c>
      <c r="C846" s="16">
        <v>89</v>
      </c>
      <c r="D846" s="16">
        <v>491518</v>
      </c>
      <c r="E846" s="16">
        <v>52248</v>
      </c>
      <c r="F846" s="16">
        <v>439270</v>
      </c>
      <c r="G846" s="16">
        <v>11</v>
      </c>
      <c r="H846" s="16">
        <v>491520</v>
      </c>
      <c r="I846" s="16">
        <v>89</v>
      </c>
      <c r="J846" s="15" t="s">
        <v>1</v>
      </c>
      <c r="K846" s="15" t="s">
        <v>2</v>
      </c>
      <c r="L846" s="8">
        <f>UnilabUsage[[#This Row],[Used-MB]]-F836</f>
        <v>15575</v>
      </c>
      <c r="M846">
        <f>UnilabUsage[[#This Row],[Max]]-UnilabUsage[[#This Row],[Used-MB]]</f>
        <v>52250</v>
      </c>
      <c r="N846" s="5">
        <f>IF($L846&gt;0,UnilabUsage[[#This Row],[Free-of-Max]]/UnilabUsage[[#This Row],[Usage-Delta-MB]],UnilabUsage[[#This Row],[Free-of-Max]])</f>
        <v>3.3547351524879616</v>
      </c>
    </row>
    <row r="847" spans="1:14" x14ac:dyDescent="0.25">
      <c r="A847" s="3">
        <v>45131</v>
      </c>
      <c r="B847" s="15" t="s">
        <v>5</v>
      </c>
      <c r="C847" s="16">
        <v>95</v>
      </c>
      <c r="D847" s="16">
        <v>23100</v>
      </c>
      <c r="E847" s="16">
        <v>1104</v>
      </c>
      <c r="F847" s="16">
        <v>21996</v>
      </c>
      <c r="G847" s="16">
        <v>5</v>
      </c>
      <c r="H847" s="16">
        <v>32768</v>
      </c>
      <c r="I847" s="16">
        <v>67</v>
      </c>
      <c r="J847" s="15" t="s">
        <v>1</v>
      </c>
      <c r="K847" s="15" t="s">
        <v>2</v>
      </c>
      <c r="L847" s="8">
        <f>UnilabUsage[[#This Row],[Used-MB]]-F837</f>
        <v>1700</v>
      </c>
      <c r="M847">
        <f>UnilabUsage[[#This Row],[Max]]-UnilabUsage[[#This Row],[Used-MB]]</f>
        <v>10772</v>
      </c>
      <c r="N847" s="5">
        <f>IF($L847&gt;0,UnilabUsage[[#This Row],[Free-of-Max]]/UnilabUsage[[#This Row],[Usage-Delta-MB]],UnilabUsage[[#This Row],[Free-of-Max]])</f>
        <v>6.3364705882352945</v>
      </c>
    </row>
    <row r="848" spans="1:14" x14ac:dyDescent="0.25">
      <c r="A848" s="3">
        <v>45131</v>
      </c>
      <c r="B848" s="15" t="s">
        <v>8</v>
      </c>
      <c r="C848" s="16">
        <v>88</v>
      </c>
      <c r="D848" s="16">
        <v>327680</v>
      </c>
      <c r="E848" s="16">
        <v>40526</v>
      </c>
      <c r="F848" s="16">
        <v>287154</v>
      </c>
      <c r="G848" s="16">
        <v>12</v>
      </c>
      <c r="H848" s="16">
        <v>327680</v>
      </c>
      <c r="I848" s="16">
        <v>88</v>
      </c>
      <c r="J848" s="15" t="s">
        <v>1</v>
      </c>
      <c r="K848" s="15" t="s">
        <v>2</v>
      </c>
      <c r="L848" s="8">
        <f>UnilabUsage[[#This Row],[Used-MB]]-F838</f>
        <v>13039</v>
      </c>
      <c r="M848">
        <f>UnilabUsage[[#This Row],[Max]]-UnilabUsage[[#This Row],[Used-MB]]</f>
        <v>40526</v>
      </c>
      <c r="N848" s="5">
        <f>IF($L848&gt;0,UnilabUsage[[#This Row],[Free-of-Max]]/UnilabUsage[[#This Row],[Usage-Delta-MB]],UnilabUsage[[#This Row],[Free-of-Max]])</f>
        <v>3.1080604340823683</v>
      </c>
    </row>
    <row r="849" spans="1:14" x14ac:dyDescent="0.25">
      <c r="A849" s="3">
        <v>45131</v>
      </c>
      <c r="B849" s="15" t="s">
        <v>4</v>
      </c>
      <c r="C849" s="16">
        <v>92</v>
      </c>
      <c r="D849" s="16">
        <v>98260</v>
      </c>
      <c r="E849" s="16">
        <v>7910</v>
      </c>
      <c r="F849" s="16">
        <v>90350</v>
      </c>
      <c r="G849" s="16">
        <v>8</v>
      </c>
      <c r="H849" s="16">
        <v>98304</v>
      </c>
      <c r="I849" s="16">
        <v>92</v>
      </c>
      <c r="J849" s="15" t="s">
        <v>1</v>
      </c>
      <c r="K849" s="15" t="s">
        <v>2</v>
      </c>
      <c r="L849" s="8">
        <f>UnilabUsage[[#This Row],[Used-MB]]-F839</f>
        <v>4809</v>
      </c>
      <c r="M849">
        <f>UnilabUsage[[#This Row],[Max]]-UnilabUsage[[#This Row],[Used-MB]]</f>
        <v>7954</v>
      </c>
      <c r="N849" s="5">
        <f>IF($L849&gt;0,UnilabUsage[[#This Row],[Free-of-Max]]/UnilabUsage[[#This Row],[Usage-Delta-MB]],UnilabUsage[[#This Row],[Free-of-Max]])</f>
        <v>1.653982116864213</v>
      </c>
    </row>
    <row r="850" spans="1:14" x14ac:dyDescent="0.25">
      <c r="A850" s="3">
        <v>45131</v>
      </c>
      <c r="B850" s="15" t="s">
        <v>12</v>
      </c>
      <c r="C850" s="16">
        <v>0</v>
      </c>
      <c r="D850" s="16">
        <v>30720</v>
      </c>
      <c r="E850" s="16">
        <v>30645</v>
      </c>
      <c r="F850" s="16">
        <v>75</v>
      </c>
      <c r="G850" s="16">
        <v>100</v>
      </c>
      <c r="H850" s="16">
        <v>30720</v>
      </c>
      <c r="I850" s="16">
        <v>0</v>
      </c>
      <c r="J850" s="15" t="s">
        <v>1</v>
      </c>
      <c r="K850" s="15" t="s">
        <v>13</v>
      </c>
      <c r="L850" s="8">
        <f>UnilabUsage[[#This Row],[Used-MB]]-F840</f>
        <v>-26</v>
      </c>
      <c r="M850">
        <f>UnilabUsage[[#This Row],[Max]]-UnilabUsage[[#This Row],[Used-MB]]</f>
        <v>30645</v>
      </c>
      <c r="N850" s="5">
        <f>IF($L850&gt;0,UnilabUsage[[#This Row],[Free-of-Max]]/UnilabUsage[[#This Row],[Usage-Delta-MB]],UnilabUsage[[#This Row],[Free-of-Max]])</f>
        <v>30645</v>
      </c>
    </row>
    <row r="851" spans="1:14" x14ac:dyDescent="0.25">
      <c r="A851" s="3">
        <v>45131</v>
      </c>
      <c r="B851" s="15" t="s">
        <v>9</v>
      </c>
      <c r="C851" s="16">
        <v>2</v>
      </c>
      <c r="D851" s="16">
        <v>10440</v>
      </c>
      <c r="E851" s="16">
        <v>10263</v>
      </c>
      <c r="F851" s="16">
        <v>177</v>
      </c>
      <c r="G851" s="16">
        <v>98</v>
      </c>
      <c r="H851" s="16">
        <v>32768</v>
      </c>
      <c r="I851" s="16">
        <v>1</v>
      </c>
      <c r="J851" s="15" t="s">
        <v>1</v>
      </c>
      <c r="K851" s="15" t="s">
        <v>10</v>
      </c>
      <c r="L851" s="8">
        <f>UnilabUsage[[#This Row],[Used-MB]]-F841</f>
        <v>-102</v>
      </c>
      <c r="M851">
        <f>UnilabUsage[[#This Row],[Max]]-UnilabUsage[[#This Row],[Used-MB]]</f>
        <v>32591</v>
      </c>
      <c r="N851" s="5">
        <f>IF($L851&gt;0,UnilabUsage[[#This Row],[Free-of-Max]]/UnilabUsage[[#This Row],[Usage-Delta-MB]],UnilabUsage[[#This Row],[Free-of-Max]])</f>
        <v>32591</v>
      </c>
    </row>
    <row r="852" spans="1:14" x14ac:dyDescent="0.25">
      <c r="A852" s="3">
        <v>45138</v>
      </c>
      <c r="B852" s="15" t="s">
        <v>7</v>
      </c>
      <c r="C852" s="16">
        <v>95</v>
      </c>
      <c r="D852" s="16">
        <v>2220</v>
      </c>
      <c r="E852" s="16">
        <v>114</v>
      </c>
      <c r="F852" s="16">
        <v>2106</v>
      </c>
      <c r="G852" s="16">
        <v>5</v>
      </c>
      <c r="H852" s="16">
        <v>32768</v>
      </c>
      <c r="I852" s="16">
        <v>6</v>
      </c>
      <c r="J852" s="15" t="s">
        <v>1</v>
      </c>
      <c r="K852" s="15" t="s">
        <v>2</v>
      </c>
      <c r="L852" s="8">
        <f>UnilabUsage[[#This Row],[Used-MB]]-F842</f>
        <v>16</v>
      </c>
      <c r="M852">
        <f>UnilabUsage[[#This Row],[Max]]-UnilabUsage[[#This Row],[Used-MB]]</f>
        <v>30662</v>
      </c>
      <c r="N852" s="5">
        <f>IF($L852&gt;0,UnilabUsage[[#This Row],[Free-of-Max]]/UnilabUsage[[#This Row],[Usage-Delta-MB]],UnilabUsage[[#This Row],[Free-of-Max]])</f>
        <v>1916.375</v>
      </c>
    </row>
    <row r="853" spans="1:14" x14ac:dyDescent="0.25">
      <c r="A853" s="3">
        <v>45138</v>
      </c>
      <c r="B853" s="15" t="s">
        <v>0</v>
      </c>
      <c r="C853" s="16">
        <v>100</v>
      </c>
      <c r="D853" s="16">
        <v>22350</v>
      </c>
      <c r="E853" s="16">
        <v>69</v>
      </c>
      <c r="F853" s="16">
        <v>22281</v>
      </c>
      <c r="G853" s="16">
        <v>0</v>
      </c>
      <c r="H853" s="16">
        <v>32768</v>
      </c>
      <c r="I853" s="16">
        <v>68</v>
      </c>
      <c r="J853" s="15" t="s">
        <v>1</v>
      </c>
      <c r="K853" s="15" t="s">
        <v>2</v>
      </c>
      <c r="L853" s="8">
        <f>UnilabUsage[[#This Row],[Used-MB]]-F843</f>
        <v>64</v>
      </c>
      <c r="M853">
        <f>UnilabUsage[[#This Row],[Max]]-UnilabUsage[[#This Row],[Used-MB]]</f>
        <v>10487</v>
      </c>
      <c r="N853" s="5">
        <f>IF($L853&gt;0,UnilabUsage[[#This Row],[Free-of-Max]]/UnilabUsage[[#This Row],[Usage-Delta-MB]],UnilabUsage[[#This Row],[Free-of-Max]])</f>
        <v>163.859375</v>
      </c>
    </row>
    <row r="854" spans="1:14" x14ac:dyDescent="0.25">
      <c r="A854" s="3">
        <v>45138</v>
      </c>
      <c r="B854" s="15" t="s">
        <v>11</v>
      </c>
      <c r="C854" s="16">
        <v>1</v>
      </c>
      <c r="D854" s="16">
        <v>100</v>
      </c>
      <c r="E854" s="16">
        <v>99</v>
      </c>
      <c r="F854" s="16">
        <v>1</v>
      </c>
      <c r="G854" s="16">
        <v>99</v>
      </c>
      <c r="H854" s="16">
        <v>32768</v>
      </c>
      <c r="I854" s="16">
        <v>0</v>
      </c>
      <c r="J854" s="15" t="s">
        <v>1</v>
      </c>
      <c r="K854" s="15" t="s">
        <v>2</v>
      </c>
      <c r="L854" s="8">
        <f>UnilabUsage[[#This Row],[Used-MB]]-F844</f>
        <v>0</v>
      </c>
      <c r="M854">
        <f>UnilabUsage[[#This Row],[Max]]-UnilabUsage[[#This Row],[Used-MB]]</f>
        <v>32767</v>
      </c>
      <c r="N854" s="5">
        <f>IF($L854&gt;0,UnilabUsage[[#This Row],[Free-of-Max]]/UnilabUsage[[#This Row],[Usage-Delta-MB]],UnilabUsage[[#This Row],[Free-of-Max]])</f>
        <v>32767</v>
      </c>
    </row>
    <row r="855" spans="1:14" x14ac:dyDescent="0.25">
      <c r="A855" s="3">
        <v>45138</v>
      </c>
      <c r="B855" s="15" t="s">
        <v>6</v>
      </c>
      <c r="C855" s="16">
        <v>95</v>
      </c>
      <c r="D855" s="16">
        <v>7595</v>
      </c>
      <c r="E855" s="16">
        <v>371</v>
      </c>
      <c r="F855" s="16">
        <v>7224</v>
      </c>
      <c r="G855" s="16">
        <v>5</v>
      </c>
      <c r="H855" s="16">
        <v>32768</v>
      </c>
      <c r="I855" s="16">
        <v>22</v>
      </c>
      <c r="J855" s="15" t="s">
        <v>1</v>
      </c>
      <c r="K855" s="15" t="s">
        <v>2</v>
      </c>
      <c r="L855" s="8">
        <f>UnilabUsage[[#This Row],[Used-MB]]-F845</f>
        <v>0</v>
      </c>
      <c r="M855">
        <f>UnilabUsage[[#This Row],[Max]]-UnilabUsage[[#This Row],[Used-MB]]</f>
        <v>25544</v>
      </c>
      <c r="N855" s="5">
        <f>IF($L855&gt;0,UnilabUsage[[#This Row],[Free-of-Max]]/UnilabUsage[[#This Row],[Usage-Delta-MB]],UnilabUsage[[#This Row],[Free-of-Max]])</f>
        <v>25544</v>
      </c>
    </row>
    <row r="856" spans="1:14" x14ac:dyDescent="0.25">
      <c r="A856" s="3">
        <v>45138</v>
      </c>
      <c r="B856" s="15" t="s">
        <v>3</v>
      </c>
      <c r="C856" s="16">
        <v>89</v>
      </c>
      <c r="D856" s="16">
        <v>491518</v>
      </c>
      <c r="E856" s="16">
        <v>51773</v>
      </c>
      <c r="F856" s="16">
        <v>439744</v>
      </c>
      <c r="G856" s="16">
        <v>11</v>
      </c>
      <c r="H856" s="16">
        <v>491520</v>
      </c>
      <c r="I856" s="16">
        <v>89</v>
      </c>
      <c r="J856" s="15" t="s">
        <v>1</v>
      </c>
      <c r="K856" s="15" t="s">
        <v>2</v>
      </c>
      <c r="L856" s="8">
        <f>UnilabUsage[[#This Row],[Used-MB]]-F846</f>
        <v>474</v>
      </c>
      <c r="M856">
        <f>UnilabUsage[[#This Row],[Max]]-UnilabUsage[[#This Row],[Used-MB]]</f>
        <v>51776</v>
      </c>
      <c r="N856" s="5">
        <f>IF($L856&gt;0,UnilabUsage[[#This Row],[Free-of-Max]]/UnilabUsage[[#This Row],[Usage-Delta-MB]],UnilabUsage[[#This Row],[Free-of-Max]])</f>
        <v>109.23206751054852</v>
      </c>
    </row>
    <row r="857" spans="1:14" x14ac:dyDescent="0.25">
      <c r="A857" s="3">
        <v>45138</v>
      </c>
      <c r="B857" s="15" t="s">
        <v>5</v>
      </c>
      <c r="C857" s="16">
        <v>95</v>
      </c>
      <c r="D857" s="16">
        <v>23100</v>
      </c>
      <c r="E857" s="16">
        <v>1104</v>
      </c>
      <c r="F857" s="16">
        <v>21996</v>
      </c>
      <c r="G857" s="16">
        <v>5</v>
      </c>
      <c r="H857" s="16">
        <v>32768</v>
      </c>
      <c r="I857" s="16">
        <v>67</v>
      </c>
      <c r="J857" s="15" t="s">
        <v>1</v>
      </c>
      <c r="K857" s="15" t="s">
        <v>2</v>
      </c>
      <c r="L857" s="8">
        <f>UnilabUsage[[#This Row],[Used-MB]]-F847</f>
        <v>0</v>
      </c>
      <c r="M857">
        <f>UnilabUsage[[#This Row],[Max]]-UnilabUsage[[#This Row],[Used-MB]]</f>
        <v>10772</v>
      </c>
      <c r="N857" s="5">
        <f>IF($L857&gt;0,UnilabUsage[[#This Row],[Free-of-Max]]/UnilabUsage[[#This Row],[Usage-Delta-MB]],UnilabUsage[[#This Row],[Free-of-Max]])</f>
        <v>10772</v>
      </c>
    </row>
    <row r="858" spans="1:14" x14ac:dyDescent="0.25">
      <c r="A858" s="3">
        <v>45138</v>
      </c>
      <c r="B858" s="15" t="s">
        <v>8</v>
      </c>
      <c r="C858" s="16">
        <v>88</v>
      </c>
      <c r="D858" s="16">
        <v>327680</v>
      </c>
      <c r="E858" s="16">
        <v>40091</v>
      </c>
      <c r="F858" s="16">
        <v>287589</v>
      </c>
      <c r="G858" s="16">
        <v>12</v>
      </c>
      <c r="H858" s="16">
        <v>327680</v>
      </c>
      <c r="I858" s="16">
        <v>88</v>
      </c>
      <c r="J858" s="15" t="s">
        <v>1</v>
      </c>
      <c r="K858" s="15" t="s">
        <v>2</v>
      </c>
      <c r="L858" s="8">
        <f>UnilabUsage[[#This Row],[Used-MB]]-F848</f>
        <v>435</v>
      </c>
      <c r="M858">
        <f>UnilabUsage[[#This Row],[Max]]-UnilabUsage[[#This Row],[Used-MB]]</f>
        <v>40091</v>
      </c>
      <c r="N858" s="5">
        <f>IF($L858&gt;0,UnilabUsage[[#This Row],[Free-of-Max]]/UnilabUsage[[#This Row],[Usage-Delta-MB]],UnilabUsage[[#This Row],[Free-of-Max]])</f>
        <v>92.163218390804602</v>
      </c>
    </row>
    <row r="859" spans="1:14" x14ac:dyDescent="0.25">
      <c r="A859" s="3">
        <v>45138</v>
      </c>
      <c r="B859" s="15" t="s">
        <v>4</v>
      </c>
      <c r="C859" s="16">
        <v>92</v>
      </c>
      <c r="D859" s="16">
        <v>98260</v>
      </c>
      <c r="E859" s="16">
        <v>7590</v>
      </c>
      <c r="F859" s="16">
        <v>90670</v>
      </c>
      <c r="G859" s="16">
        <v>8</v>
      </c>
      <c r="H859" s="16">
        <v>98304</v>
      </c>
      <c r="I859" s="16">
        <v>92</v>
      </c>
      <c r="J859" s="15" t="s">
        <v>1</v>
      </c>
      <c r="K859" s="15" t="s">
        <v>2</v>
      </c>
      <c r="L859" s="8">
        <f>UnilabUsage[[#This Row],[Used-MB]]-F849</f>
        <v>320</v>
      </c>
      <c r="M859">
        <f>UnilabUsage[[#This Row],[Max]]-UnilabUsage[[#This Row],[Used-MB]]</f>
        <v>7634</v>
      </c>
      <c r="N859" s="5">
        <f>IF($L859&gt;0,UnilabUsage[[#This Row],[Free-of-Max]]/UnilabUsage[[#This Row],[Usage-Delta-MB]],UnilabUsage[[#This Row],[Free-of-Max]])</f>
        <v>23.856249999999999</v>
      </c>
    </row>
    <row r="860" spans="1:14" x14ac:dyDescent="0.25">
      <c r="A860" s="3">
        <v>45138</v>
      </c>
      <c r="B860" s="15" t="s">
        <v>12</v>
      </c>
      <c r="C860" s="16">
        <v>0</v>
      </c>
      <c r="D860" s="16">
        <v>30720</v>
      </c>
      <c r="E860" s="16">
        <v>30648</v>
      </c>
      <c r="F860" s="16">
        <v>72</v>
      </c>
      <c r="G860" s="16">
        <v>100</v>
      </c>
      <c r="H860" s="16">
        <v>30720</v>
      </c>
      <c r="I860" s="16">
        <v>0</v>
      </c>
      <c r="J860" s="15" t="s">
        <v>1</v>
      </c>
      <c r="K860" s="15" t="s">
        <v>13</v>
      </c>
      <c r="L860" s="8">
        <f>UnilabUsage[[#This Row],[Used-MB]]-F850</f>
        <v>-3</v>
      </c>
      <c r="M860">
        <f>UnilabUsage[[#This Row],[Max]]-UnilabUsage[[#This Row],[Used-MB]]</f>
        <v>30648</v>
      </c>
      <c r="N860" s="5">
        <f>IF($L860&gt;0,UnilabUsage[[#This Row],[Free-of-Max]]/UnilabUsage[[#This Row],[Usage-Delta-MB]],UnilabUsage[[#This Row],[Free-of-Max]])</f>
        <v>30648</v>
      </c>
    </row>
    <row r="861" spans="1:14" x14ac:dyDescent="0.25">
      <c r="A861" s="3">
        <v>45138</v>
      </c>
      <c r="B861" s="15" t="s">
        <v>9</v>
      </c>
      <c r="C861" s="16">
        <v>6</v>
      </c>
      <c r="D861" s="16">
        <v>10440</v>
      </c>
      <c r="E861" s="16">
        <v>9846</v>
      </c>
      <c r="F861" s="16">
        <v>594</v>
      </c>
      <c r="G861" s="16">
        <v>94</v>
      </c>
      <c r="H861" s="16">
        <v>32768</v>
      </c>
      <c r="I861" s="16">
        <v>2</v>
      </c>
      <c r="J861" s="15" t="s">
        <v>1</v>
      </c>
      <c r="K861" s="15" t="s">
        <v>10</v>
      </c>
      <c r="L861" s="8">
        <f>UnilabUsage[[#This Row],[Used-MB]]-F851</f>
        <v>417</v>
      </c>
      <c r="M861">
        <f>UnilabUsage[[#This Row],[Max]]-UnilabUsage[[#This Row],[Used-MB]]</f>
        <v>32174</v>
      </c>
      <c r="N861" s="5">
        <f>IF($L861&gt;0,UnilabUsage[[#This Row],[Free-of-Max]]/UnilabUsage[[#This Row],[Usage-Delta-MB]],UnilabUsage[[#This Row],[Free-of-Max]])</f>
        <v>77.155875299760197</v>
      </c>
    </row>
    <row r="862" spans="1:14" x14ac:dyDescent="0.25">
      <c r="A862" s="3">
        <v>45145</v>
      </c>
      <c r="B862" s="15" t="s">
        <v>7</v>
      </c>
      <c r="C862" s="16">
        <v>95</v>
      </c>
      <c r="D862" s="16">
        <v>2220</v>
      </c>
      <c r="E862" s="16">
        <v>106</v>
      </c>
      <c r="F862" s="16">
        <v>2114</v>
      </c>
      <c r="G862" s="16">
        <v>5</v>
      </c>
      <c r="H862" s="16">
        <v>32768</v>
      </c>
      <c r="I862" s="16">
        <v>6</v>
      </c>
      <c r="J862" s="15" t="s">
        <v>1</v>
      </c>
      <c r="K862" s="15" t="s">
        <v>2</v>
      </c>
      <c r="L862" s="8">
        <f>UnilabUsage[[#This Row],[Used-MB]]-F852</f>
        <v>8</v>
      </c>
      <c r="M862">
        <f>UnilabUsage[[#This Row],[Max]]-UnilabUsage[[#This Row],[Used-MB]]</f>
        <v>30654</v>
      </c>
      <c r="N862" s="5">
        <f>IF($L862&gt;0,UnilabUsage[[#This Row],[Free-of-Max]]/UnilabUsage[[#This Row],[Usage-Delta-MB]],UnilabUsage[[#This Row],[Free-of-Max]])</f>
        <v>3831.75</v>
      </c>
    </row>
    <row r="863" spans="1:14" x14ac:dyDescent="0.25">
      <c r="A863" s="3">
        <v>45145</v>
      </c>
      <c r="B863" s="15" t="s">
        <v>0</v>
      </c>
      <c r="C863" s="16">
        <v>100</v>
      </c>
      <c r="D863" s="16">
        <v>22350</v>
      </c>
      <c r="E863" s="16">
        <v>5</v>
      </c>
      <c r="F863" s="16">
        <v>22345</v>
      </c>
      <c r="G863" s="16">
        <v>0</v>
      </c>
      <c r="H863" s="16">
        <v>32768</v>
      </c>
      <c r="I863" s="16">
        <v>68</v>
      </c>
      <c r="J863" s="15" t="s">
        <v>1</v>
      </c>
      <c r="K863" s="15" t="s">
        <v>2</v>
      </c>
      <c r="L863" s="8">
        <f>UnilabUsage[[#This Row],[Used-MB]]-F853</f>
        <v>64</v>
      </c>
      <c r="M863">
        <f>UnilabUsage[[#This Row],[Max]]-UnilabUsage[[#This Row],[Used-MB]]</f>
        <v>10423</v>
      </c>
      <c r="N863" s="5">
        <f>IF($L863&gt;0,UnilabUsage[[#This Row],[Free-of-Max]]/UnilabUsage[[#This Row],[Usage-Delta-MB]],UnilabUsage[[#This Row],[Free-of-Max]])</f>
        <v>162.859375</v>
      </c>
    </row>
    <row r="864" spans="1:14" x14ac:dyDescent="0.25">
      <c r="A864" s="3">
        <v>45145</v>
      </c>
      <c r="B864" s="15" t="s">
        <v>11</v>
      </c>
      <c r="C864" s="16">
        <v>1</v>
      </c>
      <c r="D864" s="16">
        <v>100</v>
      </c>
      <c r="E864" s="16">
        <v>99</v>
      </c>
      <c r="F864" s="16">
        <v>1</v>
      </c>
      <c r="G864" s="16">
        <v>99</v>
      </c>
      <c r="H864" s="16">
        <v>32768</v>
      </c>
      <c r="I864" s="16">
        <v>0</v>
      </c>
      <c r="J864" s="15" t="s">
        <v>1</v>
      </c>
      <c r="K864" s="15" t="s">
        <v>2</v>
      </c>
      <c r="L864" s="8">
        <f>UnilabUsage[[#This Row],[Used-MB]]-F854</f>
        <v>0</v>
      </c>
      <c r="M864">
        <f>UnilabUsage[[#This Row],[Max]]-UnilabUsage[[#This Row],[Used-MB]]</f>
        <v>32767</v>
      </c>
      <c r="N864" s="5">
        <f>IF($L864&gt;0,UnilabUsage[[#This Row],[Free-of-Max]]/UnilabUsage[[#This Row],[Usage-Delta-MB]],UnilabUsage[[#This Row],[Free-of-Max]])</f>
        <v>32767</v>
      </c>
    </row>
    <row r="865" spans="1:14" x14ac:dyDescent="0.25">
      <c r="A865" s="3">
        <v>45145</v>
      </c>
      <c r="B865" s="15" t="s">
        <v>6</v>
      </c>
      <c r="C865" s="16">
        <v>95</v>
      </c>
      <c r="D865" s="16">
        <v>7595</v>
      </c>
      <c r="E865" s="16">
        <v>371</v>
      </c>
      <c r="F865" s="16">
        <v>7224</v>
      </c>
      <c r="G865" s="16">
        <v>5</v>
      </c>
      <c r="H865" s="16">
        <v>32768</v>
      </c>
      <c r="I865" s="16">
        <v>22</v>
      </c>
      <c r="J865" s="15" t="s">
        <v>1</v>
      </c>
      <c r="K865" s="15" t="s">
        <v>2</v>
      </c>
      <c r="L865" s="8">
        <f>UnilabUsage[[#This Row],[Used-MB]]-F855</f>
        <v>0</v>
      </c>
      <c r="M865">
        <f>UnilabUsage[[#This Row],[Max]]-UnilabUsage[[#This Row],[Used-MB]]</f>
        <v>25544</v>
      </c>
      <c r="N865" s="5">
        <f>IF($L865&gt;0,UnilabUsage[[#This Row],[Free-of-Max]]/UnilabUsage[[#This Row],[Usage-Delta-MB]],UnilabUsage[[#This Row],[Free-of-Max]])</f>
        <v>25544</v>
      </c>
    </row>
    <row r="866" spans="1:14" x14ac:dyDescent="0.25">
      <c r="A866" s="3">
        <v>45145</v>
      </c>
      <c r="B866" s="15" t="s">
        <v>3</v>
      </c>
      <c r="C866" s="16">
        <v>90</v>
      </c>
      <c r="D866" s="16">
        <v>491518</v>
      </c>
      <c r="E866" s="16">
        <v>51493</v>
      </c>
      <c r="F866" s="16">
        <v>440024</v>
      </c>
      <c r="G866" s="16">
        <v>10</v>
      </c>
      <c r="H866" s="16">
        <v>491520</v>
      </c>
      <c r="I866" s="16">
        <v>90</v>
      </c>
      <c r="J866" s="15" t="s">
        <v>1</v>
      </c>
      <c r="K866" s="15" t="s">
        <v>2</v>
      </c>
      <c r="L866" s="8">
        <f>UnilabUsage[[#This Row],[Used-MB]]-F856</f>
        <v>280</v>
      </c>
      <c r="M866">
        <f>UnilabUsage[[#This Row],[Max]]-UnilabUsage[[#This Row],[Used-MB]]</f>
        <v>51496</v>
      </c>
      <c r="N866" s="5">
        <f>IF($L866&gt;0,UnilabUsage[[#This Row],[Free-of-Max]]/UnilabUsage[[#This Row],[Usage-Delta-MB]],UnilabUsage[[#This Row],[Free-of-Max]])</f>
        <v>183.91428571428571</v>
      </c>
    </row>
    <row r="867" spans="1:14" x14ac:dyDescent="0.25">
      <c r="A867" s="3">
        <v>45145</v>
      </c>
      <c r="B867" s="15" t="s">
        <v>5</v>
      </c>
      <c r="C867" s="16">
        <v>96</v>
      </c>
      <c r="D867" s="16">
        <v>23100</v>
      </c>
      <c r="E867" s="16">
        <v>1038</v>
      </c>
      <c r="F867" s="16">
        <v>22062</v>
      </c>
      <c r="G867" s="16">
        <v>4</v>
      </c>
      <c r="H867" s="16">
        <v>32768</v>
      </c>
      <c r="I867" s="16">
        <v>67</v>
      </c>
      <c r="J867" s="15" t="s">
        <v>1</v>
      </c>
      <c r="K867" s="15" t="s">
        <v>2</v>
      </c>
      <c r="L867" s="8">
        <f>UnilabUsage[[#This Row],[Used-MB]]-F857</f>
        <v>66</v>
      </c>
      <c r="M867">
        <f>UnilabUsage[[#This Row],[Max]]-UnilabUsage[[#This Row],[Used-MB]]</f>
        <v>10706</v>
      </c>
      <c r="N867" s="5">
        <f>IF($L867&gt;0,UnilabUsage[[#This Row],[Free-of-Max]]/UnilabUsage[[#This Row],[Usage-Delta-MB]],UnilabUsage[[#This Row],[Free-of-Max]])</f>
        <v>162.21212121212122</v>
      </c>
    </row>
    <row r="868" spans="1:14" x14ac:dyDescent="0.25">
      <c r="A868" s="3">
        <v>45145</v>
      </c>
      <c r="B868" s="15" t="s">
        <v>8</v>
      </c>
      <c r="C868" s="16">
        <v>88</v>
      </c>
      <c r="D868" s="16">
        <v>327680</v>
      </c>
      <c r="E868" s="16">
        <v>39915</v>
      </c>
      <c r="F868" s="16">
        <v>287765</v>
      </c>
      <c r="G868" s="16">
        <v>12</v>
      </c>
      <c r="H868" s="16">
        <v>327680</v>
      </c>
      <c r="I868" s="16">
        <v>88</v>
      </c>
      <c r="J868" s="15" t="s">
        <v>1</v>
      </c>
      <c r="K868" s="15" t="s">
        <v>2</v>
      </c>
      <c r="L868" s="8">
        <f>UnilabUsage[[#This Row],[Used-MB]]-F858</f>
        <v>176</v>
      </c>
      <c r="M868">
        <f>UnilabUsage[[#This Row],[Max]]-UnilabUsage[[#This Row],[Used-MB]]</f>
        <v>39915</v>
      </c>
      <c r="N868" s="5">
        <f>IF($L868&gt;0,UnilabUsage[[#This Row],[Free-of-Max]]/UnilabUsage[[#This Row],[Usage-Delta-MB]],UnilabUsage[[#This Row],[Free-of-Max]])</f>
        <v>226.78977272727272</v>
      </c>
    </row>
    <row r="869" spans="1:14" x14ac:dyDescent="0.25">
      <c r="A869" s="3">
        <v>45145</v>
      </c>
      <c r="B869" s="15" t="s">
        <v>4</v>
      </c>
      <c r="C869" s="16">
        <v>92</v>
      </c>
      <c r="D869" s="16">
        <v>98260</v>
      </c>
      <c r="E869" s="16">
        <v>7398</v>
      </c>
      <c r="F869" s="16">
        <v>90862</v>
      </c>
      <c r="G869" s="16">
        <v>8</v>
      </c>
      <c r="H869" s="16">
        <v>98304</v>
      </c>
      <c r="I869" s="16">
        <v>92</v>
      </c>
      <c r="J869" s="15" t="s">
        <v>1</v>
      </c>
      <c r="K869" s="15" t="s">
        <v>2</v>
      </c>
      <c r="L869" s="8">
        <f>UnilabUsage[[#This Row],[Used-MB]]-F859</f>
        <v>192</v>
      </c>
      <c r="M869">
        <f>UnilabUsage[[#This Row],[Max]]-UnilabUsage[[#This Row],[Used-MB]]</f>
        <v>7442</v>
      </c>
      <c r="N869" s="5">
        <f>IF($L869&gt;0,UnilabUsage[[#This Row],[Free-of-Max]]/UnilabUsage[[#This Row],[Usage-Delta-MB]],UnilabUsage[[#This Row],[Free-of-Max]])</f>
        <v>38.760416666666664</v>
      </c>
    </row>
    <row r="870" spans="1:14" x14ac:dyDescent="0.25">
      <c r="A870" s="3">
        <v>45145</v>
      </c>
      <c r="B870" s="15" t="s">
        <v>12</v>
      </c>
      <c r="C870" s="16">
        <v>0</v>
      </c>
      <c r="D870" s="16">
        <v>30720</v>
      </c>
      <c r="E870" s="16">
        <v>30662</v>
      </c>
      <c r="F870" s="16">
        <v>58</v>
      </c>
      <c r="G870" s="16">
        <v>100</v>
      </c>
      <c r="H870" s="16">
        <v>30720</v>
      </c>
      <c r="I870" s="16">
        <v>0</v>
      </c>
      <c r="J870" s="15" t="s">
        <v>1</v>
      </c>
      <c r="K870" s="15" t="s">
        <v>13</v>
      </c>
      <c r="L870" s="8">
        <f>UnilabUsage[[#This Row],[Used-MB]]-F860</f>
        <v>-14</v>
      </c>
      <c r="M870">
        <f>UnilabUsage[[#This Row],[Max]]-UnilabUsage[[#This Row],[Used-MB]]</f>
        <v>30662</v>
      </c>
      <c r="N870" s="5">
        <f>IF($L870&gt;0,UnilabUsage[[#This Row],[Free-of-Max]]/UnilabUsage[[#This Row],[Usage-Delta-MB]],UnilabUsage[[#This Row],[Free-of-Max]])</f>
        <v>30662</v>
      </c>
    </row>
    <row r="871" spans="1:14" x14ac:dyDescent="0.25">
      <c r="A871" s="3">
        <v>45145</v>
      </c>
      <c r="B871" s="15" t="s">
        <v>9</v>
      </c>
      <c r="C871" s="16">
        <v>4</v>
      </c>
      <c r="D871" s="16">
        <v>10440</v>
      </c>
      <c r="E871" s="16">
        <v>9990</v>
      </c>
      <c r="F871" s="16">
        <v>450</v>
      </c>
      <c r="G871" s="16">
        <v>96</v>
      </c>
      <c r="H871" s="16">
        <v>32768</v>
      </c>
      <c r="I871" s="16">
        <v>1</v>
      </c>
      <c r="J871" s="15" t="s">
        <v>1</v>
      </c>
      <c r="K871" s="15" t="s">
        <v>10</v>
      </c>
      <c r="L871" s="8">
        <f>UnilabUsage[[#This Row],[Used-MB]]-F861</f>
        <v>-144</v>
      </c>
      <c r="M871">
        <f>UnilabUsage[[#This Row],[Max]]-UnilabUsage[[#This Row],[Used-MB]]</f>
        <v>32318</v>
      </c>
      <c r="N871" s="5">
        <f>IF($L871&gt;0,UnilabUsage[[#This Row],[Free-of-Max]]/UnilabUsage[[#This Row],[Usage-Delta-MB]],UnilabUsage[[#This Row],[Free-of-Max]])</f>
        <v>32318</v>
      </c>
    </row>
    <row r="872" spans="1:14" x14ac:dyDescent="0.25">
      <c r="A872" s="3">
        <v>45152</v>
      </c>
      <c r="B872" s="15" t="s">
        <v>7</v>
      </c>
      <c r="C872" s="16">
        <v>95</v>
      </c>
      <c r="D872" s="16">
        <v>2220</v>
      </c>
      <c r="E872" s="16">
        <v>107</v>
      </c>
      <c r="F872" s="16">
        <v>2113</v>
      </c>
      <c r="G872" s="16">
        <v>5</v>
      </c>
      <c r="H872" s="16">
        <v>32768</v>
      </c>
      <c r="I872" s="16">
        <v>6</v>
      </c>
      <c r="J872" s="15" t="s">
        <v>1</v>
      </c>
      <c r="K872" s="15" t="s">
        <v>2</v>
      </c>
      <c r="L872" s="8">
        <f>UnilabUsage[[#This Row],[Used-MB]]-F862</f>
        <v>-1</v>
      </c>
      <c r="M872">
        <f>UnilabUsage[[#This Row],[Max]]-UnilabUsage[[#This Row],[Used-MB]]</f>
        <v>30655</v>
      </c>
      <c r="N872" s="5">
        <f>IF($L872&gt;0,UnilabUsage[[#This Row],[Free-of-Max]]/UnilabUsage[[#This Row],[Usage-Delta-MB]],UnilabUsage[[#This Row],[Free-of-Max]])</f>
        <v>30655</v>
      </c>
    </row>
    <row r="873" spans="1:14" x14ac:dyDescent="0.25">
      <c r="A873" s="3">
        <v>45152</v>
      </c>
      <c r="B873" s="15" t="s">
        <v>0</v>
      </c>
      <c r="C873" s="16">
        <v>100</v>
      </c>
      <c r="D873" s="16">
        <v>22350</v>
      </c>
      <c r="E873" s="16">
        <v>5</v>
      </c>
      <c r="F873" s="16">
        <v>22345</v>
      </c>
      <c r="G873" s="16">
        <v>0</v>
      </c>
      <c r="H873" s="16">
        <v>32768</v>
      </c>
      <c r="I873" s="16">
        <v>68</v>
      </c>
      <c r="J873" s="15" t="s">
        <v>1</v>
      </c>
      <c r="K873" s="15" t="s">
        <v>2</v>
      </c>
      <c r="L873" s="8">
        <f>UnilabUsage[[#This Row],[Used-MB]]-F863</f>
        <v>0</v>
      </c>
      <c r="M873">
        <f>UnilabUsage[[#This Row],[Max]]-UnilabUsage[[#This Row],[Used-MB]]</f>
        <v>10423</v>
      </c>
      <c r="N873" s="5">
        <f>IF($L873&gt;0,UnilabUsage[[#This Row],[Free-of-Max]]/UnilabUsage[[#This Row],[Usage-Delta-MB]],UnilabUsage[[#This Row],[Free-of-Max]])</f>
        <v>10423</v>
      </c>
    </row>
    <row r="874" spans="1:14" x14ac:dyDescent="0.25">
      <c r="A874" s="3">
        <v>45152</v>
      </c>
      <c r="B874" s="15" t="s">
        <v>11</v>
      </c>
      <c r="C874" s="16">
        <v>1</v>
      </c>
      <c r="D874" s="16">
        <v>100</v>
      </c>
      <c r="E874" s="16">
        <v>99</v>
      </c>
      <c r="F874" s="16">
        <v>1</v>
      </c>
      <c r="G874" s="16">
        <v>99</v>
      </c>
      <c r="H874" s="16">
        <v>32768</v>
      </c>
      <c r="I874" s="16">
        <v>0</v>
      </c>
      <c r="J874" s="15" t="s">
        <v>1</v>
      </c>
      <c r="K874" s="15" t="s">
        <v>2</v>
      </c>
      <c r="L874" s="8">
        <f>UnilabUsage[[#This Row],[Used-MB]]-F864</f>
        <v>0</v>
      </c>
      <c r="M874">
        <f>UnilabUsage[[#This Row],[Max]]-UnilabUsage[[#This Row],[Used-MB]]</f>
        <v>32767</v>
      </c>
      <c r="N874" s="5">
        <f>IF($L874&gt;0,UnilabUsage[[#This Row],[Free-of-Max]]/UnilabUsage[[#This Row],[Usage-Delta-MB]],UnilabUsage[[#This Row],[Free-of-Max]])</f>
        <v>32767</v>
      </c>
    </row>
    <row r="875" spans="1:14" x14ac:dyDescent="0.25">
      <c r="A875" s="3">
        <v>45152</v>
      </c>
      <c r="B875" s="15" t="s">
        <v>6</v>
      </c>
      <c r="C875" s="16">
        <v>95</v>
      </c>
      <c r="D875" s="16">
        <v>7595</v>
      </c>
      <c r="E875" s="16">
        <v>371</v>
      </c>
      <c r="F875" s="16">
        <v>7224</v>
      </c>
      <c r="G875" s="16">
        <v>5</v>
      </c>
      <c r="H875" s="16">
        <v>32768</v>
      </c>
      <c r="I875" s="16">
        <v>22</v>
      </c>
      <c r="J875" s="15" t="s">
        <v>1</v>
      </c>
      <c r="K875" s="15" t="s">
        <v>2</v>
      </c>
      <c r="L875" s="8">
        <f>UnilabUsage[[#This Row],[Used-MB]]-F865</f>
        <v>0</v>
      </c>
      <c r="M875">
        <f>UnilabUsage[[#This Row],[Max]]-UnilabUsage[[#This Row],[Used-MB]]</f>
        <v>25544</v>
      </c>
      <c r="N875" s="5">
        <f>IF($L875&gt;0,UnilabUsage[[#This Row],[Free-of-Max]]/UnilabUsage[[#This Row],[Usage-Delta-MB]],UnilabUsage[[#This Row],[Free-of-Max]])</f>
        <v>25544</v>
      </c>
    </row>
    <row r="876" spans="1:14" x14ac:dyDescent="0.25">
      <c r="A876" s="3">
        <v>45152</v>
      </c>
      <c r="B876" s="15" t="s">
        <v>3</v>
      </c>
      <c r="C876" s="16">
        <v>90</v>
      </c>
      <c r="D876" s="16">
        <v>491518</v>
      </c>
      <c r="E876" s="16">
        <v>51045</v>
      </c>
      <c r="F876" s="16">
        <v>440472</v>
      </c>
      <c r="G876" s="16">
        <v>10</v>
      </c>
      <c r="H876" s="16">
        <v>491520</v>
      </c>
      <c r="I876" s="16">
        <v>90</v>
      </c>
      <c r="J876" s="15" t="s">
        <v>1</v>
      </c>
      <c r="K876" s="15" t="s">
        <v>2</v>
      </c>
      <c r="L876" s="8">
        <f>UnilabUsage[[#This Row],[Used-MB]]-F866</f>
        <v>448</v>
      </c>
      <c r="M876">
        <f>UnilabUsage[[#This Row],[Max]]-UnilabUsage[[#This Row],[Used-MB]]</f>
        <v>51048</v>
      </c>
      <c r="N876" s="5">
        <f>IF($L876&gt;0,UnilabUsage[[#This Row],[Free-of-Max]]/UnilabUsage[[#This Row],[Usage-Delta-MB]],UnilabUsage[[#This Row],[Free-of-Max]])</f>
        <v>113.94642857142857</v>
      </c>
    </row>
    <row r="877" spans="1:14" x14ac:dyDescent="0.25">
      <c r="A877" s="3">
        <v>45152</v>
      </c>
      <c r="B877" s="15" t="s">
        <v>5</v>
      </c>
      <c r="C877" s="16">
        <v>96</v>
      </c>
      <c r="D877" s="16">
        <v>23100</v>
      </c>
      <c r="E877" s="16">
        <v>1028</v>
      </c>
      <c r="F877" s="16">
        <v>22072</v>
      </c>
      <c r="G877" s="16">
        <v>4</v>
      </c>
      <c r="H877" s="16">
        <v>32768</v>
      </c>
      <c r="I877" s="16">
        <v>67</v>
      </c>
      <c r="J877" s="15" t="s">
        <v>1</v>
      </c>
      <c r="K877" s="15" t="s">
        <v>2</v>
      </c>
      <c r="L877" s="8">
        <f>UnilabUsage[[#This Row],[Used-MB]]-F867</f>
        <v>10</v>
      </c>
      <c r="M877">
        <f>UnilabUsage[[#This Row],[Max]]-UnilabUsage[[#This Row],[Used-MB]]</f>
        <v>10696</v>
      </c>
      <c r="N877" s="5">
        <f>IF($L877&gt;0,UnilabUsage[[#This Row],[Free-of-Max]]/UnilabUsage[[#This Row],[Usage-Delta-MB]],UnilabUsage[[#This Row],[Free-of-Max]])</f>
        <v>1069.5999999999999</v>
      </c>
    </row>
    <row r="878" spans="1:14" x14ac:dyDescent="0.25">
      <c r="A878" s="3">
        <v>45152</v>
      </c>
      <c r="B878" s="15" t="s">
        <v>8</v>
      </c>
      <c r="C878" s="16">
        <v>88</v>
      </c>
      <c r="D878" s="16">
        <v>327680</v>
      </c>
      <c r="E878" s="16">
        <v>39667</v>
      </c>
      <c r="F878" s="16">
        <v>288013</v>
      </c>
      <c r="G878" s="16">
        <v>12</v>
      </c>
      <c r="H878" s="16">
        <v>327680</v>
      </c>
      <c r="I878" s="16">
        <v>88</v>
      </c>
      <c r="J878" s="15" t="s">
        <v>1</v>
      </c>
      <c r="K878" s="15" t="s">
        <v>2</v>
      </c>
      <c r="L878" s="8">
        <f>UnilabUsage[[#This Row],[Used-MB]]-F868</f>
        <v>248</v>
      </c>
      <c r="M878">
        <f>UnilabUsage[[#This Row],[Max]]-UnilabUsage[[#This Row],[Used-MB]]</f>
        <v>39667</v>
      </c>
      <c r="N878" s="5">
        <f>IF($L878&gt;0,UnilabUsage[[#This Row],[Free-of-Max]]/UnilabUsage[[#This Row],[Usage-Delta-MB]],UnilabUsage[[#This Row],[Free-of-Max]])</f>
        <v>159.94758064516128</v>
      </c>
    </row>
    <row r="879" spans="1:14" x14ac:dyDescent="0.25">
      <c r="A879" s="3">
        <v>45152</v>
      </c>
      <c r="B879" s="15" t="s">
        <v>4</v>
      </c>
      <c r="C879" s="16">
        <v>93</v>
      </c>
      <c r="D879" s="16">
        <v>98260</v>
      </c>
      <c r="E879" s="16">
        <v>7078</v>
      </c>
      <c r="F879" s="16">
        <v>91182</v>
      </c>
      <c r="G879" s="16">
        <v>7</v>
      </c>
      <c r="H879" s="16">
        <v>98304</v>
      </c>
      <c r="I879" s="16">
        <v>93</v>
      </c>
      <c r="J879" s="15" t="s">
        <v>1</v>
      </c>
      <c r="K879" s="15" t="s">
        <v>2</v>
      </c>
      <c r="L879" s="8">
        <f>UnilabUsage[[#This Row],[Used-MB]]-F869</f>
        <v>320</v>
      </c>
      <c r="M879">
        <f>UnilabUsage[[#This Row],[Max]]-UnilabUsage[[#This Row],[Used-MB]]</f>
        <v>7122</v>
      </c>
      <c r="N879" s="5">
        <f>IF($L879&gt;0,UnilabUsage[[#This Row],[Free-of-Max]]/UnilabUsage[[#This Row],[Usage-Delta-MB]],UnilabUsage[[#This Row],[Free-of-Max]])</f>
        <v>22.256250000000001</v>
      </c>
    </row>
    <row r="880" spans="1:14" x14ac:dyDescent="0.25">
      <c r="A880" s="3">
        <v>45152</v>
      </c>
      <c r="B880" s="15" t="s">
        <v>12</v>
      </c>
      <c r="C880" s="16">
        <v>0</v>
      </c>
      <c r="D880" s="16">
        <v>30720</v>
      </c>
      <c r="E880" s="16">
        <v>30671</v>
      </c>
      <c r="F880" s="16">
        <v>49</v>
      </c>
      <c r="G880" s="16">
        <v>100</v>
      </c>
      <c r="H880" s="16">
        <v>30720</v>
      </c>
      <c r="I880" s="16">
        <v>0</v>
      </c>
      <c r="J880" s="15" t="s">
        <v>1</v>
      </c>
      <c r="K880" s="15" t="s">
        <v>13</v>
      </c>
      <c r="L880" s="8">
        <f>UnilabUsage[[#This Row],[Used-MB]]-F870</f>
        <v>-9</v>
      </c>
      <c r="M880">
        <f>UnilabUsage[[#This Row],[Max]]-UnilabUsage[[#This Row],[Used-MB]]</f>
        <v>30671</v>
      </c>
      <c r="N880" s="5">
        <f>IF($L880&gt;0,UnilabUsage[[#This Row],[Free-of-Max]]/UnilabUsage[[#This Row],[Usage-Delta-MB]],UnilabUsage[[#This Row],[Free-of-Max]])</f>
        <v>30671</v>
      </c>
    </row>
    <row r="881" spans="1:14" x14ac:dyDescent="0.25">
      <c r="A881" s="3">
        <v>45152</v>
      </c>
      <c r="B881" s="15" t="s">
        <v>9</v>
      </c>
      <c r="C881" s="16">
        <v>4</v>
      </c>
      <c r="D881" s="16">
        <v>10440</v>
      </c>
      <c r="E881" s="16">
        <v>10019</v>
      </c>
      <c r="F881" s="16">
        <v>421</v>
      </c>
      <c r="G881" s="16">
        <v>96</v>
      </c>
      <c r="H881" s="16">
        <v>32768</v>
      </c>
      <c r="I881" s="16">
        <v>1</v>
      </c>
      <c r="J881" s="15" t="s">
        <v>1</v>
      </c>
      <c r="K881" s="15" t="s">
        <v>10</v>
      </c>
      <c r="L881" s="8">
        <f>UnilabUsage[[#This Row],[Used-MB]]-F871</f>
        <v>-29</v>
      </c>
      <c r="M881">
        <f>UnilabUsage[[#This Row],[Max]]-UnilabUsage[[#This Row],[Used-MB]]</f>
        <v>32347</v>
      </c>
      <c r="N881" s="5">
        <f>IF($L881&gt;0,UnilabUsage[[#This Row],[Free-of-Max]]/UnilabUsage[[#This Row],[Usage-Delta-MB]],UnilabUsage[[#This Row],[Free-of-Max]])</f>
        <v>32347</v>
      </c>
    </row>
    <row r="882" spans="1:14" x14ac:dyDescent="0.25">
      <c r="A882" s="3">
        <v>45159</v>
      </c>
      <c r="B882" s="15" t="s">
        <v>7</v>
      </c>
      <c r="C882" s="16">
        <v>96</v>
      </c>
      <c r="D882" s="16">
        <v>2220</v>
      </c>
      <c r="E882" s="16">
        <v>100</v>
      </c>
      <c r="F882" s="16">
        <v>2120</v>
      </c>
      <c r="G882" s="16">
        <v>4</v>
      </c>
      <c r="H882" s="16">
        <v>32768</v>
      </c>
      <c r="I882" s="16">
        <v>6</v>
      </c>
      <c r="J882" s="15" t="s">
        <v>1</v>
      </c>
      <c r="K882" s="15" t="s">
        <v>2</v>
      </c>
      <c r="L882" s="8">
        <f>UnilabUsage[[#This Row],[Used-MB]]-F872</f>
        <v>7</v>
      </c>
      <c r="M882">
        <f>UnilabUsage[[#This Row],[Max]]-UnilabUsage[[#This Row],[Used-MB]]</f>
        <v>30648</v>
      </c>
      <c r="N882" s="5">
        <f>IF($L882&gt;0,UnilabUsage[[#This Row],[Free-of-Max]]/UnilabUsage[[#This Row],[Usage-Delta-MB]],UnilabUsage[[#This Row],[Free-of-Max]])</f>
        <v>4378.2857142857147</v>
      </c>
    </row>
    <row r="883" spans="1:14" x14ac:dyDescent="0.25">
      <c r="A883" s="3">
        <v>45159</v>
      </c>
      <c r="B883" s="15" t="s">
        <v>0</v>
      </c>
      <c r="C883" s="16">
        <v>100</v>
      </c>
      <c r="D883" s="16">
        <v>22450</v>
      </c>
      <c r="E883" s="16">
        <v>41</v>
      </c>
      <c r="F883" s="16">
        <v>22409</v>
      </c>
      <c r="G883" s="16">
        <v>0</v>
      </c>
      <c r="H883" s="16">
        <v>32768</v>
      </c>
      <c r="I883" s="16">
        <v>68</v>
      </c>
      <c r="J883" s="15" t="s">
        <v>1</v>
      </c>
      <c r="K883" s="15" t="s">
        <v>2</v>
      </c>
      <c r="L883" s="8">
        <f>UnilabUsage[[#This Row],[Used-MB]]-F873</f>
        <v>64</v>
      </c>
      <c r="M883">
        <f>UnilabUsage[[#This Row],[Max]]-UnilabUsage[[#This Row],[Used-MB]]</f>
        <v>10359</v>
      </c>
      <c r="N883" s="5">
        <f>IF($L883&gt;0,UnilabUsage[[#This Row],[Free-of-Max]]/UnilabUsage[[#This Row],[Usage-Delta-MB]],UnilabUsage[[#This Row],[Free-of-Max]])</f>
        <v>161.859375</v>
      </c>
    </row>
    <row r="884" spans="1:14" x14ac:dyDescent="0.25">
      <c r="A884" s="3">
        <v>45159</v>
      </c>
      <c r="B884" s="15" t="s">
        <v>11</v>
      </c>
      <c r="C884" s="16">
        <v>1</v>
      </c>
      <c r="D884" s="16">
        <v>100</v>
      </c>
      <c r="E884" s="16">
        <v>99</v>
      </c>
      <c r="F884" s="16">
        <v>1</v>
      </c>
      <c r="G884" s="16">
        <v>99</v>
      </c>
      <c r="H884" s="16">
        <v>32768</v>
      </c>
      <c r="I884" s="16">
        <v>0</v>
      </c>
      <c r="J884" s="15" t="s">
        <v>1</v>
      </c>
      <c r="K884" s="15" t="s">
        <v>2</v>
      </c>
      <c r="L884" s="8">
        <f>UnilabUsage[[#This Row],[Used-MB]]-F874</f>
        <v>0</v>
      </c>
      <c r="M884">
        <f>UnilabUsage[[#This Row],[Max]]-UnilabUsage[[#This Row],[Used-MB]]</f>
        <v>32767</v>
      </c>
      <c r="N884" s="5">
        <f>IF($L884&gt;0,UnilabUsage[[#This Row],[Free-of-Max]]/UnilabUsage[[#This Row],[Usage-Delta-MB]],UnilabUsage[[#This Row],[Free-of-Max]])</f>
        <v>32767</v>
      </c>
    </row>
    <row r="885" spans="1:14" x14ac:dyDescent="0.25">
      <c r="A885" s="3">
        <v>45159</v>
      </c>
      <c r="B885" s="15" t="s">
        <v>6</v>
      </c>
      <c r="C885" s="16">
        <v>95</v>
      </c>
      <c r="D885" s="16">
        <v>7605</v>
      </c>
      <c r="E885" s="16">
        <v>371</v>
      </c>
      <c r="F885" s="16">
        <v>7234</v>
      </c>
      <c r="G885" s="16">
        <v>5</v>
      </c>
      <c r="H885" s="16">
        <v>32768</v>
      </c>
      <c r="I885" s="16">
        <v>22</v>
      </c>
      <c r="J885" s="15" t="s">
        <v>1</v>
      </c>
      <c r="K885" s="15" t="s">
        <v>2</v>
      </c>
      <c r="L885" s="8">
        <f>UnilabUsage[[#This Row],[Used-MB]]-F875</f>
        <v>10</v>
      </c>
      <c r="M885">
        <f>UnilabUsage[[#This Row],[Max]]-UnilabUsage[[#This Row],[Used-MB]]</f>
        <v>25534</v>
      </c>
      <c r="N885" s="5">
        <f>IF($L885&gt;0,UnilabUsage[[#This Row],[Free-of-Max]]/UnilabUsage[[#This Row],[Usage-Delta-MB]],UnilabUsage[[#This Row],[Free-of-Max]])</f>
        <v>2553.4</v>
      </c>
    </row>
    <row r="886" spans="1:14" x14ac:dyDescent="0.25">
      <c r="A886" s="3">
        <v>45159</v>
      </c>
      <c r="B886" s="15" t="s">
        <v>3</v>
      </c>
      <c r="C886" s="16">
        <v>90</v>
      </c>
      <c r="D886" s="16">
        <v>491518</v>
      </c>
      <c r="E886" s="16">
        <v>50813</v>
      </c>
      <c r="F886" s="16">
        <v>440704</v>
      </c>
      <c r="G886" s="16">
        <v>10</v>
      </c>
      <c r="H886" s="16">
        <v>491520</v>
      </c>
      <c r="I886" s="16">
        <v>90</v>
      </c>
      <c r="J886" s="15" t="s">
        <v>1</v>
      </c>
      <c r="K886" s="15" t="s">
        <v>2</v>
      </c>
      <c r="L886" s="8">
        <f>UnilabUsage[[#This Row],[Used-MB]]-F876</f>
        <v>232</v>
      </c>
      <c r="M886">
        <f>UnilabUsage[[#This Row],[Max]]-UnilabUsage[[#This Row],[Used-MB]]</f>
        <v>50816</v>
      </c>
      <c r="N886" s="5">
        <f>IF($L886&gt;0,UnilabUsage[[#This Row],[Free-of-Max]]/UnilabUsage[[#This Row],[Usage-Delta-MB]],UnilabUsage[[#This Row],[Free-of-Max]])</f>
        <v>219.0344827586207</v>
      </c>
    </row>
    <row r="887" spans="1:14" x14ac:dyDescent="0.25">
      <c r="A887" s="3">
        <v>45159</v>
      </c>
      <c r="B887" s="15" t="s">
        <v>5</v>
      </c>
      <c r="C887" s="16">
        <v>95</v>
      </c>
      <c r="D887" s="16">
        <v>23200</v>
      </c>
      <c r="E887" s="16">
        <v>1119</v>
      </c>
      <c r="F887" s="16">
        <v>22081</v>
      </c>
      <c r="G887" s="16">
        <v>5</v>
      </c>
      <c r="H887" s="16">
        <v>32768</v>
      </c>
      <c r="I887" s="16">
        <v>67</v>
      </c>
      <c r="J887" s="15" t="s">
        <v>1</v>
      </c>
      <c r="K887" s="15" t="s">
        <v>2</v>
      </c>
      <c r="L887" s="8">
        <f>UnilabUsage[[#This Row],[Used-MB]]-F877</f>
        <v>9</v>
      </c>
      <c r="M887">
        <f>UnilabUsage[[#This Row],[Max]]-UnilabUsage[[#This Row],[Used-MB]]</f>
        <v>10687</v>
      </c>
      <c r="N887" s="5">
        <f>IF($L887&gt;0,UnilabUsage[[#This Row],[Free-of-Max]]/UnilabUsage[[#This Row],[Usage-Delta-MB]],UnilabUsage[[#This Row],[Free-of-Max]])</f>
        <v>1187.4444444444443</v>
      </c>
    </row>
    <row r="888" spans="1:14" x14ac:dyDescent="0.25">
      <c r="A888" s="3">
        <v>45159</v>
      </c>
      <c r="B888" s="15" t="s">
        <v>8</v>
      </c>
      <c r="C888" s="16">
        <v>88</v>
      </c>
      <c r="D888" s="16">
        <v>327680</v>
      </c>
      <c r="E888" s="16">
        <v>39446</v>
      </c>
      <c r="F888" s="16">
        <v>288234</v>
      </c>
      <c r="G888" s="16">
        <v>12</v>
      </c>
      <c r="H888" s="16">
        <v>327680</v>
      </c>
      <c r="I888" s="16">
        <v>88</v>
      </c>
      <c r="J888" s="15" t="s">
        <v>1</v>
      </c>
      <c r="K888" s="15" t="s">
        <v>2</v>
      </c>
      <c r="L888" s="8">
        <f>UnilabUsage[[#This Row],[Used-MB]]-F878</f>
        <v>221</v>
      </c>
      <c r="M888">
        <f>UnilabUsage[[#This Row],[Max]]-UnilabUsage[[#This Row],[Used-MB]]</f>
        <v>39446</v>
      </c>
      <c r="N888" s="5">
        <f>IF($L888&gt;0,UnilabUsage[[#This Row],[Free-of-Max]]/UnilabUsage[[#This Row],[Usage-Delta-MB]],UnilabUsage[[#This Row],[Free-of-Max]])</f>
        <v>178.48868778280544</v>
      </c>
    </row>
    <row r="889" spans="1:14" x14ac:dyDescent="0.25">
      <c r="A889" s="3">
        <v>45159</v>
      </c>
      <c r="B889" s="15" t="s">
        <v>4</v>
      </c>
      <c r="C889" s="16">
        <v>93</v>
      </c>
      <c r="D889" s="16">
        <v>98260</v>
      </c>
      <c r="E889" s="16">
        <v>6821</v>
      </c>
      <c r="F889" s="16">
        <v>91439</v>
      </c>
      <c r="G889" s="16">
        <v>7</v>
      </c>
      <c r="H889" s="16">
        <v>98304</v>
      </c>
      <c r="I889" s="16">
        <v>93</v>
      </c>
      <c r="J889" s="15" t="s">
        <v>1</v>
      </c>
      <c r="K889" s="15" t="s">
        <v>2</v>
      </c>
      <c r="L889" s="8">
        <f>UnilabUsage[[#This Row],[Used-MB]]-F879</f>
        <v>257</v>
      </c>
      <c r="M889">
        <f>UnilabUsage[[#This Row],[Max]]-UnilabUsage[[#This Row],[Used-MB]]</f>
        <v>6865</v>
      </c>
      <c r="N889" s="5">
        <f>IF($L889&gt;0,UnilabUsage[[#This Row],[Free-of-Max]]/UnilabUsage[[#This Row],[Usage-Delta-MB]],UnilabUsage[[#This Row],[Free-of-Max]])</f>
        <v>26.71206225680934</v>
      </c>
    </row>
    <row r="890" spans="1:14" x14ac:dyDescent="0.25">
      <c r="A890" s="3">
        <v>45159</v>
      </c>
      <c r="B890" s="15" t="s">
        <v>12</v>
      </c>
      <c r="C890" s="16">
        <v>0</v>
      </c>
      <c r="D890" s="16">
        <v>30720</v>
      </c>
      <c r="E890" s="16">
        <v>30698</v>
      </c>
      <c r="F890" s="16">
        <v>22</v>
      </c>
      <c r="G890" s="16">
        <v>100</v>
      </c>
      <c r="H890" s="16">
        <v>30720</v>
      </c>
      <c r="I890" s="16">
        <v>0</v>
      </c>
      <c r="J890" s="15" t="s">
        <v>1</v>
      </c>
      <c r="K890" s="15" t="s">
        <v>13</v>
      </c>
      <c r="L890" s="8">
        <f>UnilabUsage[[#This Row],[Used-MB]]-F880</f>
        <v>-27</v>
      </c>
      <c r="M890">
        <f>UnilabUsage[[#This Row],[Max]]-UnilabUsage[[#This Row],[Used-MB]]</f>
        <v>30698</v>
      </c>
      <c r="N890" s="5">
        <f>IF($L890&gt;0,UnilabUsage[[#This Row],[Free-of-Max]]/UnilabUsage[[#This Row],[Usage-Delta-MB]],UnilabUsage[[#This Row],[Free-of-Max]])</f>
        <v>30698</v>
      </c>
    </row>
    <row r="891" spans="1:14" x14ac:dyDescent="0.25">
      <c r="A891" s="3">
        <v>45159</v>
      </c>
      <c r="B891" s="15" t="s">
        <v>9</v>
      </c>
      <c r="C891" s="16">
        <v>4</v>
      </c>
      <c r="D891" s="16">
        <v>10440</v>
      </c>
      <c r="E891" s="16">
        <v>10012</v>
      </c>
      <c r="F891" s="16">
        <v>428</v>
      </c>
      <c r="G891" s="16">
        <v>96</v>
      </c>
      <c r="H891" s="16">
        <v>32768</v>
      </c>
      <c r="I891" s="16">
        <v>1</v>
      </c>
      <c r="J891" s="15" t="s">
        <v>1</v>
      </c>
      <c r="K891" s="15" t="s">
        <v>10</v>
      </c>
      <c r="L891" s="8">
        <f>UnilabUsage[[#This Row],[Used-MB]]-F881</f>
        <v>7</v>
      </c>
      <c r="M891">
        <f>UnilabUsage[[#This Row],[Max]]-UnilabUsage[[#This Row],[Used-MB]]</f>
        <v>32340</v>
      </c>
      <c r="N891" s="5">
        <f>IF($L891&gt;0,UnilabUsage[[#This Row],[Free-of-Max]]/UnilabUsage[[#This Row],[Usage-Delta-MB]],UnilabUsage[[#This Row],[Free-of-Max]])</f>
        <v>4620</v>
      </c>
    </row>
    <row r="892" spans="1:14" x14ac:dyDescent="0.25">
      <c r="A892" s="3">
        <v>45166</v>
      </c>
      <c r="B892" s="15" t="s">
        <v>7</v>
      </c>
      <c r="C892" s="16">
        <v>95</v>
      </c>
      <c r="D892" s="16">
        <v>2240</v>
      </c>
      <c r="E892" s="16">
        <v>112</v>
      </c>
      <c r="F892" s="16">
        <v>2128</v>
      </c>
      <c r="G892" s="16">
        <v>5</v>
      </c>
      <c r="H892" s="16">
        <v>32768</v>
      </c>
      <c r="I892" s="16">
        <v>6</v>
      </c>
      <c r="J892" s="15" t="s">
        <v>1</v>
      </c>
      <c r="K892" s="15" t="s">
        <v>2</v>
      </c>
      <c r="L892" s="8">
        <f>UnilabUsage[[#This Row],[Used-MB]]-F882</f>
        <v>8</v>
      </c>
      <c r="M892" s="22">
        <f>UnilabUsage[[#This Row],[Max]]-UnilabUsage[[#This Row],[Used-MB]]</f>
        <v>30640</v>
      </c>
      <c r="N892" s="5">
        <f>IF($L892&gt;0,UnilabUsage[[#This Row],[Free-of-Max]]/UnilabUsage[[#This Row],[Usage-Delta-MB]],UnilabUsage[[#This Row],[Free-of-Max]])</f>
        <v>3830</v>
      </c>
    </row>
    <row r="893" spans="1:14" x14ac:dyDescent="0.25">
      <c r="A893" s="3">
        <v>45166</v>
      </c>
      <c r="B893" s="15" t="s">
        <v>0</v>
      </c>
      <c r="C893" s="16">
        <v>100</v>
      </c>
      <c r="D893" s="16">
        <v>22550</v>
      </c>
      <c r="E893" s="16">
        <v>77</v>
      </c>
      <c r="F893" s="16">
        <v>22473</v>
      </c>
      <c r="G893" s="16">
        <v>0</v>
      </c>
      <c r="H893" s="16">
        <v>32768</v>
      </c>
      <c r="I893" s="16">
        <v>69</v>
      </c>
      <c r="J893" s="15" t="s">
        <v>1</v>
      </c>
      <c r="K893" s="15" t="s">
        <v>2</v>
      </c>
      <c r="L893" s="8">
        <f>UnilabUsage[[#This Row],[Used-MB]]-F883</f>
        <v>64</v>
      </c>
      <c r="M893" s="22">
        <f>UnilabUsage[[#This Row],[Max]]-UnilabUsage[[#This Row],[Used-MB]]</f>
        <v>10295</v>
      </c>
      <c r="N893" s="5">
        <f>IF($L893&gt;0,UnilabUsage[[#This Row],[Free-of-Max]]/UnilabUsage[[#This Row],[Usage-Delta-MB]],UnilabUsage[[#This Row],[Free-of-Max]])</f>
        <v>160.859375</v>
      </c>
    </row>
    <row r="894" spans="1:14" x14ac:dyDescent="0.25">
      <c r="A894" s="3">
        <v>45166</v>
      </c>
      <c r="B894" s="15" t="s">
        <v>11</v>
      </c>
      <c r="C894" s="16">
        <v>1</v>
      </c>
      <c r="D894" s="16">
        <v>100</v>
      </c>
      <c r="E894" s="16">
        <v>99</v>
      </c>
      <c r="F894" s="16">
        <v>1</v>
      </c>
      <c r="G894" s="16">
        <v>99</v>
      </c>
      <c r="H894" s="16">
        <v>32768</v>
      </c>
      <c r="I894" s="16">
        <v>0</v>
      </c>
      <c r="J894" s="15" t="s">
        <v>1</v>
      </c>
      <c r="K894" s="15" t="s">
        <v>2</v>
      </c>
      <c r="L894" s="8">
        <f>UnilabUsage[[#This Row],[Used-MB]]-F884</f>
        <v>0</v>
      </c>
      <c r="M894" s="22">
        <f>UnilabUsage[[#This Row],[Max]]-UnilabUsage[[#This Row],[Used-MB]]</f>
        <v>32767</v>
      </c>
      <c r="N894" s="5">
        <f>IF($L894&gt;0,UnilabUsage[[#This Row],[Free-of-Max]]/UnilabUsage[[#This Row],[Usage-Delta-MB]],UnilabUsage[[#This Row],[Free-of-Max]])</f>
        <v>32767</v>
      </c>
    </row>
    <row r="895" spans="1:14" x14ac:dyDescent="0.25">
      <c r="A895" s="3">
        <v>45166</v>
      </c>
      <c r="B895" s="15" t="s">
        <v>6</v>
      </c>
      <c r="C895" s="16">
        <v>95</v>
      </c>
      <c r="D895" s="16">
        <v>7605</v>
      </c>
      <c r="E895" s="16">
        <v>363</v>
      </c>
      <c r="F895" s="16">
        <v>7242</v>
      </c>
      <c r="G895" s="16">
        <v>5</v>
      </c>
      <c r="H895" s="16">
        <v>32768</v>
      </c>
      <c r="I895" s="16">
        <v>22</v>
      </c>
      <c r="J895" s="15" t="s">
        <v>1</v>
      </c>
      <c r="K895" s="15" t="s">
        <v>2</v>
      </c>
      <c r="L895" s="8">
        <f>UnilabUsage[[#This Row],[Used-MB]]-F885</f>
        <v>8</v>
      </c>
      <c r="M895" s="22">
        <f>UnilabUsage[[#This Row],[Max]]-UnilabUsage[[#This Row],[Used-MB]]</f>
        <v>25526</v>
      </c>
      <c r="N895" s="5">
        <f>IF($L895&gt;0,UnilabUsage[[#This Row],[Free-of-Max]]/UnilabUsage[[#This Row],[Usage-Delta-MB]],UnilabUsage[[#This Row],[Free-of-Max]])</f>
        <v>3190.75</v>
      </c>
    </row>
    <row r="896" spans="1:14" x14ac:dyDescent="0.25">
      <c r="A896" s="3">
        <v>45166</v>
      </c>
      <c r="B896" s="15" t="s">
        <v>3</v>
      </c>
      <c r="C896" s="16">
        <v>90</v>
      </c>
      <c r="D896" s="16">
        <v>491518</v>
      </c>
      <c r="E896" s="16">
        <v>50484</v>
      </c>
      <c r="F896" s="16">
        <v>441033</v>
      </c>
      <c r="G896" s="16">
        <v>10</v>
      </c>
      <c r="H896" s="16">
        <v>491520</v>
      </c>
      <c r="I896" s="16">
        <v>90</v>
      </c>
      <c r="J896" s="15" t="s">
        <v>1</v>
      </c>
      <c r="K896" s="15" t="s">
        <v>2</v>
      </c>
      <c r="L896" s="8">
        <f>UnilabUsage[[#This Row],[Used-MB]]-F886</f>
        <v>329</v>
      </c>
      <c r="M896" s="22">
        <f>UnilabUsage[[#This Row],[Max]]-UnilabUsage[[#This Row],[Used-MB]]</f>
        <v>50487</v>
      </c>
      <c r="N896" s="5">
        <f>IF($L896&gt;0,UnilabUsage[[#This Row],[Free-of-Max]]/UnilabUsage[[#This Row],[Usage-Delta-MB]],UnilabUsage[[#This Row],[Free-of-Max]])</f>
        <v>153.45592705167172</v>
      </c>
    </row>
    <row r="897" spans="1:14" x14ac:dyDescent="0.25">
      <c r="A897" s="3">
        <v>45166</v>
      </c>
      <c r="B897" s="15" t="s">
        <v>5</v>
      </c>
      <c r="C897" s="16">
        <v>95</v>
      </c>
      <c r="D897" s="16">
        <v>23200</v>
      </c>
      <c r="E897" s="16">
        <v>1117</v>
      </c>
      <c r="F897" s="16">
        <v>22083</v>
      </c>
      <c r="G897" s="16">
        <v>5</v>
      </c>
      <c r="H897" s="16">
        <v>32768</v>
      </c>
      <c r="I897" s="16">
        <v>67</v>
      </c>
      <c r="J897" s="15" t="s">
        <v>1</v>
      </c>
      <c r="K897" s="15" t="s">
        <v>2</v>
      </c>
      <c r="L897" s="8">
        <f>UnilabUsage[[#This Row],[Used-MB]]-F887</f>
        <v>2</v>
      </c>
      <c r="M897" s="22">
        <f>UnilabUsage[[#This Row],[Max]]-UnilabUsage[[#This Row],[Used-MB]]</f>
        <v>10685</v>
      </c>
      <c r="N897" s="5">
        <f>IF($L897&gt;0,UnilabUsage[[#This Row],[Free-of-Max]]/UnilabUsage[[#This Row],[Usage-Delta-MB]],UnilabUsage[[#This Row],[Free-of-Max]])</f>
        <v>5342.5</v>
      </c>
    </row>
    <row r="898" spans="1:14" x14ac:dyDescent="0.25">
      <c r="A898" s="3">
        <v>45166</v>
      </c>
      <c r="B898" s="15" t="s">
        <v>8</v>
      </c>
      <c r="C898" s="16">
        <v>88</v>
      </c>
      <c r="D898" s="16">
        <v>327680</v>
      </c>
      <c r="E898" s="16">
        <v>39057</v>
      </c>
      <c r="F898" s="16">
        <v>288623</v>
      </c>
      <c r="G898" s="16">
        <v>12</v>
      </c>
      <c r="H898" s="16">
        <v>327680</v>
      </c>
      <c r="I898" s="16">
        <v>88</v>
      </c>
      <c r="J898" s="15" t="s">
        <v>1</v>
      </c>
      <c r="K898" s="15" t="s">
        <v>2</v>
      </c>
      <c r="L898" s="8">
        <f>UnilabUsage[[#This Row],[Used-MB]]-F888</f>
        <v>389</v>
      </c>
      <c r="M898" s="22">
        <f>UnilabUsage[[#This Row],[Max]]-UnilabUsage[[#This Row],[Used-MB]]</f>
        <v>39057</v>
      </c>
      <c r="N898" s="5">
        <f>IF($L898&gt;0,UnilabUsage[[#This Row],[Free-of-Max]]/UnilabUsage[[#This Row],[Usage-Delta-MB]],UnilabUsage[[#This Row],[Free-of-Max]])</f>
        <v>100.40359897172236</v>
      </c>
    </row>
    <row r="899" spans="1:14" x14ac:dyDescent="0.25">
      <c r="A899" s="3">
        <v>45166</v>
      </c>
      <c r="B899" s="15" t="s">
        <v>4</v>
      </c>
      <c r="C899" s="16">
        <v>94</v>
      </c>
      <c r="D899" s="16">
        <v>98260</v>
      </c>
      <c r="E899" s="16">
        <v>6373</v>
      </c>
      <c r="F899" s="16">
        <v>91887</v>
      </c>
      <c r="G899" s="16">
        <v>6</v>
      </c>
      <c r="H899" s="16">
        <v>98304</v>
      </c>
      <c r="I899" s="16">
        <v>93</v>
      </c>
      <c r="J899" s="15" t="s">
        <v>1</v>
      </c>
      <c r="K899" s="15" t="s">
        <v>2</v>
      </c>
      <c r="L899" s="8">
        <f>UnilabUsage[[#This Row],[Used-MB]]-F889</f>
        <v>448</v>
      </c>
      <c r="M899" s="22">
        <f>UnilabUsage[[#This Row],[Max]]-UnilabUsage[[#This Row],[Used-MB]]</f>
        <v>6417</v>
      </c>
      <c r="N899" s="5">
        <f>IF($L899&gt;0,UnilabUsage[[#This Row],[Free-of-Max]]/UnilabUsage[[#This Row],[Usage-Delta-MB]],UnilabUsage[[#This Row],[Free-of-Max]])</f>
        <v>14.323660714285714</v>
      </c>
    </row>
    <row r="900" spans="1:14" x14ac:dyDescent="0.25">
      <c r="A900" s="3">
        <v>45166</v>
      </c>
      <c r="B900" s="15" t="s">
        <v>12</v>
      </c>
      <c r="C900" s="16">
        <v>0</v>
      </c>
      <c r="D900" s="16">
        <v>30720</v>
      </c>
      <c r="E900" s="16">
        <v>30660</v>
      </c>
      <c r="F900" s="16">
        <v>60</v>
      </c>
      <c r="G900" s="16">
        <v>100</v>
      </c>
      <c r="H900" s="16">
        <v>30720</v>
      </c>
      <c r="I900" s="16">
        <v>0</v>
      </c>
      <c r="J900" s="15" t="s">
        <v>1</v>
      </c>
      <c r="K900" s="15" t="s">
        <v>13</v>
      </c>
      <c r="L900" s="8">
        <f>UnilabUsage[[#This Row],[Used-MB]]-F890</f>
        <v>38</v>
      </c>
      <c r="M900" s="22">
        <f>UnilabUsage[[#This Row],[Max]]-UnilabUsage[[#This Row],[Used-MB]]</f>
        <v>30660</v>
      </c>
      <c r="N900" s="5">
        <f>IF($L900&gt;0,UnilabUsage[[#This Row],[Free-of-Max]]/UnilabUsage[[#This Row],[Usage-Delta-MB]],UnilabUsage[[#This Row],[Free-of-Max]])</f>
        <v>806.84210526315792</v>
      </c>
    </row>
    <row r="901" spans="1:14" x14ac:dyDescent="0.25">
      <c r="A901" s="3">
        <v>45166</v>
      </c>
      <c r="B901" s="15" t="s">
        <v>9</v>
      </c>
      <c r="C901" s="16">
        <v>3</v>
      </c>
      <c r="D901" s="16">
        <v>10440</v>
      </c>
      <c r="E901" s="16">
        <v>10091</v>
      </c>
      <c r="F901" s="16">
        <v>349</v>
      </c>
      <c r="G901" s="16">
        <v>97</v>
      </c>
      <c r="H901" s="16">
        <v>32768</v>
      </c>
      <c r="I901" s="16">
        <v>1</v>
      </c>
      <c r="J901" s="15" t="s">
        <v>1</v>
      </c>
      <c r="K901" s="15" t="s">
        <v>10</v>
      </c>
      <c r="L901" s="8">
        <f>UnilabUsage[[#This Row],[Used-MB]]-F891</f>
        <v>-79</v>
      </c>
      <c r="M901" s="22">
        <f>UnilabUsage[[#This Row],[Max]]-UnilabUsage[[#This Row],[Used-MB]]</f>
        <v>32419</v>
      </c>
      <c r="N901" s="5">
        <f>IF($L901&gt;0,UnilabUsage[[#This Row],[Free-of-Max]]/UnilabUsage[[#This Row],[Usage-Delta-MB]],UnilabUsage[[#This Row],[Free-of-Max]])</f>
        <v>32419</v>
      </c>
    </row>
  </sheetData>
  <conditionalFormatting sqref="B1:B1048576">
    <cfRule type="cellIs" dxfId="40" priority="11" operator="equal">
      <formula>"UNI_DATAO"</formula>
    </cfRule>
    <cfRule type="cellIs" dxfId="39" priority="12" operator="equal">
      <formula>"UNI_INDEXO"</formula>
    </cfRule>
  </conditionalFormatting>
  <conditionalFormatting sqref="AJ1">
    <cfRule type="cellIs" dxfId="38" priority="3" operator="equal">
      <formula>"UNI_DATAO"</formula>
    </cfRule>
    <cfRule type="cellIs" dxfId="37" priority="4" operator="equal">
      <formula>"UNI_INDEXO"</formula>
    </cfRule>
  </conditionalFormatting>
  <conditionalFormatting sqref="S1">
    <cfRule type="cellIs" dxfId="36" priority="1" operator="equal">
      <formula>"UNI_DATAO"</formula>
    </cfRule>
    <cfRule type="cellIs" dxfId="35" priority="2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983F-61E0-41F8-83BD-15F9B31603B6}">
  <sheetPr codeName="Blad2"/>
  <dimension ref="A1"/>
  <sheetViews>
    <sheetView zoomScale="115" zoomScaleNormal="115" workbookViewId="0">
      <selection activeCell="F38" sqref="F3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BA0-42B3-402B-8CB9-9457AB8A1C28}">
  <sheetPr codeName="Blad3"/>
  <dimension ref="A1:AW901"/>
  <sheetViews>
    <sheetView tabSelected="1" topLeftCell="V1" workbookViewId="0">
      <pane ySplit="1" topLeftCell="A59" activePane="bottomLeft" state="frozen"/>
      <selection pane="bottomLeft" activeCell="AR88" sqref="AR88"/>
    </sheetView>
  </sheetViews>
  <sheetFormatPr defaultRowHeight="15" x14ac:dyDescent="0.25"/>
  <cols>
    <col min="1" max="1" width="12.42578125" style="3" customWidth="1"/>
    <col min="2" max="2" width="13" customWidth="1"/>
    <col min="3" max="3" width="9" customWidth="1"/>
    <col min="4" max="4" width="7" bestFit="1" customWidth="1"/>
    <col min="5" max="5" width="7.140625" customWidth="1"/>
    <col min="6" max="6" width="11.5703125" bestFit="1" customWidth="1"/>
    <col min="7" max="7" width="11.140625" customWidth="1"/>
    <col min="8" max="8" width="7" bestFit="1" customWidth="1"/>
    <col min="9" max="9" width="18.140625" customWidth="1"/>
    <col min="10" max="10" width="8.42578125" customWidth="1"/>
    <col min="11" max="11" width="14.140625" customWidth="1"/>
    <col min="12" max="12" width="18" style="8" bestFit="1" customWidth="1"/>
    <col min="13" max="13" width="16.28515625" customWidth="1"/>
    <col min="14" max="14" width="11.7109375" style="5" customWidth="1"/>
    <col min="16" max="16" width="11.5703125" bestFit="1" customWidth="1"/>
    <col min="17" max="17" width="2.42578125" customWidth="1"/>
    <col min="18" max="18" width="10.42578125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0.85546875" bestFit="1" customWidth="1"/>
    <col min="34" max="34" width="2.85546875" customWidth="1"/>
    <col min="35" max="35" width="10.42578125" bestFit="1" customWidth="1"/>
    <col min="36" max="36" width="13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9" x14ac:dyDescent="0.25">
      <c r="A1" s="2" t="s">
        <v>23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32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9" t="s">
        <v>31</v>
      </c>
      <c r="M1" s="1" t="s">
        <v>33</v>
      </c>
      <c r="N1" s="4" t="s">
        <v>34</v>
      </c>
      <c r="P1" s="1" t="s">
        <v>14</v>
      </c>
      <c r="R1" s="2" t="s">
        <v>23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32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22</v>
      </c>
      <c r="AC1" s="1" t="s">
        <v>31</v>
      </c>
      <c r="AD1" s="1" t="s">
        <v>33</v>
      </c>
      <c r="AE1" s="4" t="s">
        <v>34</v>
      </c>
      <c r="AG1" s="1" t="s">
        <v>14</v>
      </c>
      <c r="AI1" s="2" t="s">
        <v>23</v>
      </c>
      <c r="AJ1" s="1" t="s">
        <v>14</v>
      </c>
      <c r="AK1" s="1" t="s">
        <v>15</v>
      </c>
      <c r="AL1" s="1" t="s">
        <v>16</v>
      </c>
      <c r="AM1" s="1" t="s">
        <v>17</v>
      </c>
      <c r="AN1" s="1" t="s">
        <v>32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31</v>
      </c>
      <c r="AU1" s="1" t="s">
        <v>33</v>
      </c>
      <c r="AV1" s="4" t="s">
        <v>34</v>
      </c>
      <c r="AW1" s="1"/>
    </row>
    <row r="2" spans="1:49" x14ac:dyDescent="0.25">
      <c r="A2" s="3">
        <v>44243</v>
      </c>
      <c r="B2" t="s">
        <v>26</v>
      </c>
      <c r="C2">
        <v>94</v>
      </c>
      <c r="D2">
        <v>15788</v>
      </c>
      <c r="E2">
        <v>984</v>
      </c>
      <c r="F2">
        <v>14804</v>
      </c>
      <c r="G2">
        <v>6</v>
      </c>
      <c r="H2">
        <v>40960</v>
      </c>
      <c r="I2">
        <v>36</v>
      </c>
      <c r="J2" t="s">
        <v>1</v>
      </c>
      <c r="K2" t="s">
        <v>2</v>
      </c>
      <c r="M2">
        <f>InterspecUsage[[#This Row],[Max]]-InterspecUsage[[#This Row],[Used-MB]]</f>
        <v>26156</v>
      </c>
      <c r="N2" s="5">
        <f>IF($L2&gt;0,InterspecUsage[[#This Row],[Free-of-Max]]/InterspecUsage[[#This Row],[Usage-Delta-MB]],InterspecUsage[[#This Row],[Free-of-Max]])</f>
        <v>26156</v>
      </c>
      <c r="P2" s="6" t="s">
        <v>24</v>
      </c>
      <c r="R2" s="3">
        <v>44243</v>
      </c>
      <c r="S2" t="s">
        <v>24</v>
      </c>
      <c r="T2">
        <v>95</v>
      </c>
      <c r="U2">
        <v>17000</v>
      </c>
      <c r="V2">
        <v>841</v>
      </c>
      <c r="W2">
        <v>16159</v>
      </c>
      <c r="X2">
        <v>5</v>
      </c>
      <c r="Y2">
        <v>32768</v>
      </c>
      <c r="Z2">
        <v>49</v>
      </c>
      <c r="AA2" t="s">
        <v>1</v>
      </c>
      <c r="AB2" t="s">
        <v>2</v>
      </c>
      <c r="AC2" s="8"/>
      <c r="AD2">
        <v>16609</v>
      </c>
      <c r="AE2" s="10">
        <v>999</v>
      </c>
      <c r="AG2" s="6" t="s">
        <v>27</v>
      </c>
      <c r="AI2" s="3">
        <v>44243</v>
      </c>
      <c r="AJ2" t="s">
        <v>27</v>
      </c>
      <c r="AK2">
        <v>71</v>
      </c>
      <c r="AL2">
        <v>131072</v>
      </c>
      <c r="AM2">
        <v>38663</v>
      </c>
      <c r="AN2">
        <v>92409</v>
      </c>
      <c r="AO2">
        <v>29</v>
      </c>
      <c r="AP2">
        <v>131072</v>
      </c>
      <c r="AQ2">
        <v>71</v>
      </c>
      <c r="AR2" t="s">
        <v>1</v>
      </c>
      <c r="AS2" t="s">
        <v>2</v>
      </c>
      <c r="AT2" s="8"/>
      <c r="AU2">
        <v>38663</v>
      </c>
      <c r="AV2" s="10">
        <v>99</v>
      </c>
    </row>
    <row r="3" spans="1:49" x14ac:dyDescent="0.25">
      <c r="A3" s="3">
        <v>44243</v>
      </c>
      <c r="B3" t="s">
        <v>24</v>
      </c>
      <c r="C3">
        <v>95</v>
      </c>
      <c r="D3">
        <v>17000</v>
      </c>
      <c r="E3">
        <v>841</v>
      </c>
      <c r="F3">
        <v>16159</v>
      </c>
      <c r="G3">
        <v>5</v>
      </c>
      <c r="H3">
        <v>32768</v>
      </c>
      <c r="I3">
        <v>49</v>
      </c>
      <c r="J3" t="s">
        <v>1</v>
      </c>
      <c r="K3" t="s">
        <v>2</v>
      </c>
      <c r="M3">
        <f>InterspecUsage[[#This Row],[Max]]-InterspecUsage[[#This Row],[Used-MB]]</f>
        <v>16609</v>
      </c>
      <c r="N3" s="10">
        <v>999</v>
      </c>
      <c r="R3" s="3">
        <v>44249</v>
      </c>
      <c r="S3" t="s">
        <v>24</v>
      </c>
      <c r="T3">
        <v>95</v>
      </c>
      <c r="U3">
        <v>17000</v>
      </c>
      <c r="V3">
        <v>841</v>
      </c>
      <c r="W3">
        <v>16159</v>
      </c>
      <c r="X3">
        <v>5</v>
      </c>
      <c r="Y3">
        <v>32768</v>
      </c>
      <c r="Z3">
        <v>49</v>
      </c>
      <c r="AA3" t="s">
        <v>1</v>
      </c>
      <c r="AB3" t="s">
        <v>2</v>
      </c>
      <c r="AC3" s="8">
        <v>0</v>
      </c>
      <c r="AD3">
        <v>16609</v>
      </c>
      <c r="AE3" s="5">
        <v>16609</v>
      </c>
      <c r="AI3" s="3">
        <v>44249</v>
      </c>
      <c r="AJ3" t="s">
        <v>27</v>
      </c>
      <c r="AK3">
        <v>71</v>
      </c>
      <c r="AL3">
        <v>131072</v>
      </c>
      <c r="AM3">
        <v>38535</v>
      </c>
      <c r="AN3">
        <v>92537</v>
      </c>
      <c r="AO3">
        <v>29</v>
      </c>
      <c r="AP3">
        <v>131072</v>
      </c>
      <c r="AQ3">
        <v>71</v>
      </c>
      <c r="AR3" t="s">
        <v>1</v>
      </c>
      <c r="AS3" t="s">
        <v>2</v>
      </c>
      <c r="AT3" s="8">
        <v>128</v>
      </c>
      <c r="AU3">
        <v>38535</v>
      </c>
      <c r="AV3" s="5">
        <v>301.0546875</v>
      </c>
    </row>
    <row r="4" spans="1:49" x14ac:dyDescent="0.25">
      <c r="A4" s="3">
        <v>44243</v>
      </c>
      <c r="B4" s="7" t="s">
        <v>35</v>
      </c>
      <c r="C4">
        <v>95</v>
      </c>
      <c r="D4">
        <v>19400</v>
      </c>
      <c r="E4">
        <v>1029</v>
      </c>
      <c r="F4">
        <v>18371</v>
      </c>
      <c r="G4">
        <v>5</v>
      </c>
      <c r="H4">
        <v>32768</v>
      </c>
      <c r="I4">
        <v>56</v>
      </c>
      <c r="J4" t="s">
        <v>1</v>
      </c>
      <c r="K4" t="s">
        <v>2</v>
      </c>
      <c r="M4">
        <f>InterspecUsage[[#This Row],[Max]]-InterspecUsage[[#This Row],[Used-MB]]</f>
        <v>14397</v>
      </c>
      <c r="N4" s="5">
        <f>IF($L4&gt;0,InterspecUsage[[#This Row],[Free-of-Max]]/InterspecUsage[[#This Row],[Usage-Delta-MB]],InterspecUsage[[#This Row],[Free-of-Max]])</f>
        <v>14397</v>
      </c>
      <c r="R4" s="3">
        <v>44256</v>
      </c>
      <c r="S4" t="s">
        <v>24</v>
      </c>
      <c r="T4">
        <v>94</v>
      </c>
      <c r="U4">
        <v>18000</v>
      </c>
      <c r="V4">
        <v>1009</v>
      </c>
      <c r="W4">
        <v>16991</v>
      </c>
      <c r="X4">
        <v>6</v>
      </c>
      <c r="Y4">
        <v>32768</v>
      </c>
      <c r="Z4">
        <v>52</v>
      </c>
      <c r="AA4" t="s">
        <v>1</v>
      </c>
      <c r="AB4" t="s">
        <v>2</v>
      </c>
      <c r="AC4" s="8">
        <v>832</v>
      </c>
      <c r="AD4">
        <v>15777</v>
      </c>
      <c r="AE4" s="5">
        <v>18.962740384615383</v>
      </c>
      <c r="AI4" s="3">
        <v>44256</v>
      </c>
      <c r="AJ4" t="s">
        <v>27</v>
      </c>
      <c r="AK4">
        <v>71</v>
      </c>
      <c r="AL4">
        <v>131072</v>
      </c>
      <c r="AM4">
        <v>37726</v>
      </c>
      <c r="AN4">
        <v>93346</v>
      </c>
      <c r="AO4">
        <v>29</v>
      </c>
      <c r="AP4">
        <v>131072</v>
      </c>
      <c r="AQ4">
        <v>71</v>
      </c>
      <c r="AR4" t="s">
        <v>1</v>
      </c>
      <c r="AS4" t="s">
        <v>2</v>
      </c>
      <c r="AT4" s="8">
        <v>809</v>
      </c>
      <c r="AU4">
        <v>37726</v>
      </c>
      <c r="AV4" s="5">
        <v>46.632880098887519</v>
      </c>
    </row>
    <row r="5" spans="1:49" x14ac:dyDescent="0.25">
      <c r="A5" s="3">
        <v>44243</v>
      </c>
      <c r="B5" t="s">
        <v>27</v>
      </c>
      <c r="C5">
        <v>71</v>
      </c>
      <c r="D5">
        <v>131072</v>
      </c>
      <c r="E5">
        <v>38663</v>
      </c>
      <c r="F5">
        <v>92409</v>
      </c>
      <c r="G5">
        <v>29</v>
      </c>
      <c r="H5">
        <v>131072</v>
      </c>
      <c r="I5">
        <v>71</v>
      </c>
      <c r="J5" t="s">
        <v>1</v>
      </c>
      <c r="K5" t="s">
        <v>2</v>
      </c>
      <c r="M5">
        <f>InterspecUsage[[#This Row],[Max]]-InterspecUsage[[#This Row],[Used-MB]]</f>
        <v>38663</v>
      </c>
      <c r="N5" s="10">
        <v>99</v>
      </c>
      <c r="R5" s="3">
        <v>44263</v>
      </c>
      <c r="S5" t="s">
        <v>24</v>
      </c>
      <c r="T5">
        <v>94</v>
      </c>
      <c r="U5">
        <v>18000</v>
      </c>
      <c r="V5">
        <v>1001</v>
      </c>
      <c r="W5">
        <v>16999</v>
      </c>
      <c r="X5">
        <v>6</v>
      </c>
      <c r="Y5">
        <v>32768</v>
      </c>
      <c r="Z5">
        <v>52</v>
      </c>
      <c r="AA5" t="s">
        <v>1</v>
      </c>
      <c r="AB5" t="s">
        <v>2</v>
      </c>
      <c r="AC5" s="8">
        <v>8</v>
      </c>
      <c r="AD5">
        <v>15769</v>
      </c>
      <c r="AE5" s="5">
        <v>1971.125</v>
      </c>
      <c r="AI5" s="3">
        <v>44263</v>
      </c>
      <c r="AJ5" t="s">
        <v>27</v>
      </c>
      <c r="AK5">
        <v>72</v>
      </c>
      <c r="AL5">
        <v>131072</v>
      </c>
      <c r="AM5">
        <v>37149</v>
      </c>
      <c r="AN5">
        <v>93923</v>
      </c>
      <c r="AO5">
        <v>28</v>
      </c>
      <c r="AP5">
        <v>131072</v>
      </c>
      <c r="AQ5">
        <v>72</v>
      </c>
      <c r="AR5" t="s">
        <v>1</v>
      </c>
      <c r="AS5" t="s">
        <v>2</v>
      </c>
      <c r="AT5" s="8">
        <v>577</v>
      </c>
      <c r="AU5">
        <v>37149</v>
      </c>
      <c r="AV5" s="5">
        <v>64.383015597920277</v>
      </c>
    </row>
    <row r="6" spans="1:49" x14ac:dyDescent="0.25">
      <c r="A6" s="3">
        <v>44243</v>
      </c>
      <c r="B6" t="s">
        <v>7</v>
      </c>
      <c r="C6">
        <v>95</v>
      </c>
      <c r="D6">
        <v>780</v>
      </c>
      <c r="E6">
        <v>36</v>
      </c>
      <c r="F6">
        <v>744</v>
      </c>
      <c r="G6">
        <v>5</v>
      </c>
      <c r="H6">
        <v>32768</v>
      </c>
      <c r="I6">
        <v>2</v>
      </c>
      <c r="J6" t="s">
        <v>1</v>
      </c>
      <c r="K6" t="s">
        <v>2</v>
      </c>
      <c r="M6">
        <f>InterspecUsage[[#This Row],[Max]]-InterspecUsage[[#This Row],[Used-MB]]</f>
        <v>32024</v>
      </c>
      <c r="N6" s="5">
        <f>IF($L6&gt;0,InterspecUsage[[#This Row],[Free-of-Max]]/InterspecUsage[[#This Row],[Usage-Delta-MB]],InterspecUsage[[#This Row],[Free-of-Max]])</f>
        <v>32024</v>
      </c>
      <c r="R6" s="3">
        <v>44270</v>
      </c>
      <c r="S6" t="s">
        <v>24</v>
      </c>
      <c r="T6">
        <v>95</v>
      </c>
      <c r="U6">
        <v>18000</v>
      </c>
      <c r="V6">
        <v>936</v>
      </c>
      <c r="W6">
        <v>17064</v>
      </c>
      <c r="X6">
        <v>5</v>
      </c>
      <c r="Y6">
        <v>32768</v>
      </c>
      <c r="Z6">
        <v>52</v>
      </c>
      <c r="AA6" t="s">
        <v>1</v>
      </c>
      <c r="AB6" t="s">
        <v>2</v>
      </c>
      <c r="AC6" s="8">
        <v>65</v>
      </c>
      <c r="AD6">
        <v>15704</v>
      </c>
      <c r="AE6" s="5">
        <v>241.6</v>
      </c>
      <c r="AI6" s="3">
        <v>44270</v>
      </c>
      <c r="AJ6" t="s">
        <v>27</v>
      </c>
      <c r="AK6">
        <v>72</v>
      </c>
      <c r="AL6">
        <v>131072</v>
      </c>
      <c r="AM6">
        <v>36627</v>
      </c>
      <c r="AN6">
        <v>94445</v>
      </c>
      <c r="AO6">
        <v>28</v>
      </c>
      <c r="AP6">
        <v>131072</v>
      </c>
      <c r="AQ6">
        <v>72</v>
      </c>
      <c r="AR6" t="s">
        <v>1</v>
      </c>
      <c r="AS6" t="s">
        <v>2</v>
      </c>
      <c r="AT6" s="8">
        <v>522</v>
      </c>
      <c r="AU6">
        <v>36627</v>
      </c>
      <c r="AV6" s="5">
        <v>70.166666666666671</v>
      </c>
    </row>
    <row r="7" spans="1:49" x14ac:dyDescent="0.25">
      <c r="A7" s="3">
        <v>44243</v>
      </c>
      <c r="B7" t="s">
        <v>0</v>
      </c>
      <c r="C7">
        <v>100</v>
      </c>
      <c r="D7">
        <v>2620</v>
      </c>
      <c r="E7">
        <v>2</v>
      </c>
      <c r="F7">
        <v>2619</v>
      </c>
      <c r="G7">
        <v>0</v>
      </c>
      <c r="H7">
        <v>32768</v>
      </c>
      <c r="I7">
        <v>8</v>
      </c>
      <c r="J7" t="s">
        <v>1</v>
      </c>
      <c r="K7" t="s">
        <v>2</v>
      </c>
      <c r="M7">
        <f>InterspecUsage[[#This Row],[Max]]-InterspecUsage[[#This Row],[Used-MB]]</f>
        <v>30149</v>
      </c>
      <c r="N7" s="5">
        <f>IF($L7&gt;0,InterspecUsage[[#This Row],[Free-of-Max]]/InterspecUsage[[#This Row],[Usage-Delta-MB]],InterspecUsage[[#This Row],[Free-of-Max]])</f>
        <v>30149</v>
      </c>
      <c r="R7" s="3">
        <v>44277</v>
      </c>
      <c r="S7" t="s">
        <v>24</v>
      </c>
      <c r="T7">
        <v>95</v>
      </c>
      <c r="U7">
        <v>18000</v>
      </c>
      <c r="V7">
        <v>935</v>
      </c>
      <c r="W7">
        <v>17065</v>
      </c>
      <c r="X7">
        <v>5</v>
      </c>
      <c r="Y7">
        <v>32768</v>
      </c>
      <c r="Z7">
        <v>52</v>
      </c>
      <c r="AA7" t="s">
        <v>1</v>
      </c>
      <c r="AB7" t="s">
        <v>2</v>
      </c>
      <c r="AC7" s="8">
        <v>1</v>
      </c>
      <c r="AD7">
        <v>15703</v>
      </c>
      <c r="AE7" s="5">
        <v>15703</v>
      </c>
      <c r="AI7" s="3">
        <v>44277</v>
      </c>
      <c r="AJ7" t="s">
        <v>27</v>
      </c>
      <c r="AK7">
        <v>73</v>
      </c>
      <c r="AL7">
        <v>131072</v>
      </c>
      <c r="AM7">
        <v>35539</v>
      </c>
      <c r="AN7">
        <v>95533</v>
      </c>
      <c r="AO7">
        <v>27</v>
      </c>
      <c r="AP7">
        <v>131072</v>
      </c>
      <c r="AQ7">
        <v>73</v>
      </c>
      <c r="AR7" t="s">
        <v>1</v>
      </c>
      <c r="AS7" t="s">
        <v>2</v>
      </c>
      <c r="AT7" s="8">
        <v>1088</v>
      </c>
      <c r="AU7">
        <v>35539</v>
      </c>
      <c r="AV7" s="5">
        <v>32.664522058823529</v>
      </c>
    </row>
    <row r="8" spans="1:49" x14ac:dyDescent="0.25">
      <c r="A8" s="3">
        <v>44243</v>
      </c>
      <c r="B8" t="s">
        <v>30</v>
      </c>
      <c r="C8">
        <v>0</v>
      </c>
      <c r="D8">
        <v>32767</v>
      </c>
      <c r="E8">
        <v>32733</v>
      </c>
      <c r="F8">
        <v>34</v>
      </c>
      <c r="G8">
        <v>100</v>
      </c>
      <c r="H8">
        <v>32768</v>
      </c>
      <c r="I8">
        <v>0</v>
      </c>
      <c r="J8" t="s">
        <v>1</v>
      </c>
      <c r="K8" t="s">
        <v>13</v>
      </c>
      <c r="M8">
        <f>InterspecUsage[[#This Row],[Max]]-InterspecUsage[[#This Row],[Used-MB]]</f>
        <v>32734</v>
      </c>
      <c r="N8" s="5">
        <f>IF($L8&gt;0,InterspecUsage[[#This Row],[Free-of-Max]]/InterspecUsage[[#This Row],[Usage-Delta-MB]],InterspecUsage[[#This Row],[Free-of-Max]])</f>
        <v>32734</v>
      </c>
      <c r="R8" s="3">
        <v>44284</v>
      </c>
      <c r="S8" t="s">
        <v>24</v>
      </c>
      <c r="T8">
        <v>95</v>
      </c>
      <c r="U8">
        <v>18000</v>
      </c>
      <c r="V8">
        <v>927</v>
      </c>
      <c r="W8">
        <v>17073</v>
      </c>
      <c r="X8">
        <v>5</v>
      </c>
      <c r="Y8">
        <v>32768</v>
      </c>
      <c r="Z8">
        <v>52</v>
      </c>
      <c r="AA8" t="s">
        <v>1</v>
      </c>
      <c r="AB8" t="s">
        <v>2</v>
      </c>
      <c r="AC8" s="8">
        <v>8</v>
      </c>
      <c r="AD8">
        <v>15695</v>
      </c>
      <c r="AE8" s="5">
        <v>1961.875</v>
      </c>
      <c r="AI8" s="3">
        <v>44284</v>
      </c>
      <c r="AJ8" t="s">
        <v>27</v>
      </c>
      <c r="AK8">
        <v>73</v>
      </c>
      <c r="AL8">
        <v>131072</v>
      </c>
      <c r="AM8">
        <v>35410</v>
      </c>
      <c r="AN8">
        <v>95662</v>
      </c>
      <c r="AO8">
        <v>27</v>
      </c>
      <c r="AP8">
        <v>131072</v>
      </c>
      <c r="AQ8">
        <v>73</v>
      </c>
      <c r="AR8" t="s">
        <v>1</v>
      </c>
      <c r="AS8" t="s">
        <v>2</v>
      </c>
      <c r="AT8" s="8">
        <v>129</v>
      </c>
      <c r="AU8">
        <v>35410</v>
      </c>
      <c r="AV8" s="5">
        <v>274.49612403100775</v>
      </c>
    </row>
    <row r="9" spans="1:49" x14ac:dyDescent="0.25">
      <c r="A9" s="3">
        <v>44243</v>
      </c>
      <c r="B9" t="s">
        <v>28</v>
      </c>
      <c r="C9">
        <v>25</v>
      </c>
      <c r="D9">
        <v>16400</v>
      </c>
      <c r="E9">
        <v>12359</v>
      </c>
      <c r="F9">
        <v>4041</v>
      </c>
      <c r="G9">
        <v>75</v>
      </c>
      <c r="H9">
        <v>32768</v>
      </c>
      <c r="I9">
        <v>12</v>
      </c>
      <c r="J9" t="s">
        <v>1</v>
      </c>
      <c r="K9" t="s">
        <v>10</v>
      </c>
      <c r="M9">
        <f>InterspecUsage[[#This Row],[Max]]-InterspecUsage[[#This Row],[Used-MB]]</f>
        <v>28727</v>
      </c>
      <c r="N9" s="5">
        <f>IF($L9&gt;0,InterspecUsage[[#This Row],[Free-of-Max]]/InterspecUsage[[#This Row],[Usage-Delta-MB]],InterspecUsage[[#This Row],[Free-of-Max]])</f>
        <v>28727</v>
      </c>
      <c r="R9" s="3">
        <v>44292</v>
      </c>
      <c r="S9" t="s">
        <v>24</v>
      </c>
      <c r="T9">
        <v>95</v>
      </c>
      <c r="U9">
        <v>18000</v>
      </c>
      <c r="V9">
        <v>863</v>
      </c>
      <c r="W9">
        <v>17137</v>
      </c>
      <c r="X9">
        <v>5</v>
      </c>
      <c r="Y9">
        <v>32768</v>
      </c>
      <c r="Z9">
        <v>52</v>
      </c>
      <c r="AA9" t="s">
        <v>1</v>
      </c>
      <c r="AB9" t="s">
        <v>2</v>
      </c>
      <c r="AC9" s="8">
        <v>64</v>
      </c>
      <c r="AD9">
        <v>15631</v>
      </c>
      <c r="AE9" s="5">
        <v>244.234375</v>
      </c>
      <c r="AI9" s="3">
        <v>44292</v>
      </c>
      <c r="AJ9" t="s">
        <v>27</v>
      </c>
      <c r="AK9">
        <v>73</v>
      </c>
      <c r="AL9">
        <v>131072</v>
      </c>
      <c r="AM9">
        <v>35218</v>
      </c>
      <c r="AN9">
        <v>95854</v>
      </c>
      <c r="AO9">
        <v>27</v>
      </c>
      <c r="AP9">
        <v>131072</v>
      </c>
      <c r="AQ9">
        <v>73</v>
      </c>
      <c r="AR9" t="s">
        <v>1</v>
      </c>
      <c r="AS9" t="s">
        <v>2</v>
      </c>
      <c r="AT9" s="8">
        <v>192</v>
      </c>
      <c r="AU9">
        <v>35218</v>
      </c>
      <c r="AV9" s="5">
        <v>183.42708333333334</v>
      </c>
    </row>
    <row r="10" spans="1:49" x14ac:dyDescent="0.25">
      <c r="A10" s="3">
        <v>44243</v>
      </c>
      <c r="B10" t="s">
        <v>25</v>
      </c>
      <c r="C10">
        <v>94</v>
      </c>
      <c r="D10">
        <v>8950</v>
      </c>
      <c r="E10">
        <v>522</v>
      </c>
      <c r="F10">
        <v>8428</v>
      </c>
      <c r="G10">
        <v>6</v>
      </c>
      <c r="H10">
        <v>32768</v>
      </c>
      <c r="I10">
        <v>26</v>
      </c>
      <c r="J10" t="s">
        <v>1</v>
      </c>
      <c r="K10" t="s">
        <v>2</v>
      </c>
      <c r="M10">
        <f>InterspecUsage[[#This Row],[Max]]-InterspecUsage[[#This Row],[Used-MB]]</f>
        <v>24340</v>
      </c>
      <c r="N10" s="5">
        <f>IF($L10&gt;0,InterspecUsage[[#This Row],[Free-of-Max]]/InterspecUsage[[#This Row],[Usage-Delta-MB]],InterspecUsage[[#This Row],[Free-of-Max]])</f>
        <v>24340</v>
      </c>
      <c r="R10" s="3">
        <v>44298</v>
      </c>
      <c r="S10" t="s">
        <v>24</v>
      </c>
      <c r="T10">
        <v>95</v>
      </c>
      <c r="U10">
        <v>18000</v>
      </c>
      <c r="V10">
        <v>862</v>
      </c>
      <c r="W10">
        <v>17138</v>
      </c>
      <c r="X10">
        <v>5</v>
      </c>
      <c r="Y10">
        <v>32768</v>
      </c>
      <c r="Z10">
        <v>52</v>
      </c>
      <c r="AA10" t="s">
        <v>1</v>
      </c>
      <c r="AB10" t="s">
        <v>2</v>
      </c>
      <c r="AC10" s="8">
        <v>1</v>
      </c>
      <c r="AD10">
        <v>15630</v>
      </c>
      <c r="AE10" s="5">
        <v>15630</v>
      </c>
      <c r="AI10" s="3">
        <v>44298</v>
      </c>
      <c r="AJ10" t="s">
        <v>27</v>
      </c>
      <c r="AK10">
        <v>73</v>
      </c>
      <c r="AL10">
        <v>131072</v>
      </c>
      <c r="AM10">
        <v>34760</v>
      </c>
      <c r="AN10">
        <v>96312</v>
      </c>
      <c r="AO10">
        <v>27</v>
      </c>
      <c r="AP10">
        <v>131072</v>
      </c>
      <c r="AQ10">
        <v>73</v>
      </c>
      <c r="AR10" t="s">
        <v>1</v>
      </c>
      <c r="AS10" t="s">
        <v>2</v>
      </c>
      <c r="AT10" s="8">
        <v>458</v>
      </c>
      <c r="AU10">
        <v>34760</v>
      </c>
      <c r="AV10" s="5">
        <v>75.895196506550221</v>
      </c>
    </row>
    <row r="11" spans="1:49" x14ac:dyDescent="0.25">
      <c r="A11" s="3">
        <v>44243</v>
      </c>
      <c r="B11" t="s">
        <v>29</v>
      </c>
      <c r="C11">
        <v>0</v>
      </c>
      <c r="D11">
        <v>500</v>
      </c>
      <c r="E11">
        <v>499</v>
      </c>
      <c r="F11">
        <v>1</v>
      </c>
      <c r="G11">
        <v>100</v>
      </c>
      <c r="H11">
        <v>500</v>
      </c>
      <c r="I11">
        <v>0</v>
      </c>
      <c r="J11" t="s">
        <v>1</v>
      </c>
      <c r="K11" t="s">
        <v>2</v>
      </c>
      <c r="M11">
        <f>InterspecUsage[[#This Row],[Max]]-InterspecUsage[[#This Row],[Used-MB]]</f>
        <v>499</v>
      </c>
      <c r="N11" s="5">
        <f>IF($L11&gt;0,InterspecUsage[[#This Row],[Free-of-Max]]/InterspecUsage[[#This Row],[Usage-Delta-MB]],InterspecUsage[[#This Row],[Free-of-Max]])</f>
        <v>499</v>
      </c>
      <c r="R11" s="3">
        <v>44305</v>
      </c>
      <c r="S11" t="s">
        <v>24</v>
      </c>
      <c r="T11">
        <v>95</v>
      </c>
      <c r="U11">
        <v>18000</v>
      </c>
      <c r="V11">
        <v>851</v>
      </c>
      <c r="W11">
        <v>17149</v>
      </c>
      <c r="X11">
        <v>5</v>
      </c>
      <c r="Y11">
        <v>32768</v>
      </c>
      <c r="Z11">
        <v>52</v>
      </c>
      <c r="AA11" t="s">
        <v>1</v>
      </c>
      <c r="AB11" t="s">
        <v>2</v>
      </c>
      <c r="AC11" s="8">
        <v>11</v>
      </c>
      <c r="AD11">
        <v>15619</v>
      </c>
      <c r="AE11" s="5">
        <v>1419.909090909091</v>
      </c>
      <c r="AI11" s="3">
        <v>44305</v>
      </c>
      <c r="AJ11" t="s">
        <v>27</v>
      </c>
      <c r="AK11">
        <v>74</v>
      </c>
      <c r="AL11">
        <v>131072</v>
      </c>
      <c r="AM11">
        <v>34234</v>
      </c>
      <c r="AN11">
        <v>96838</v>
      </c>
      <c r="AO11">
        <v>26</v>
      </c>
      <c r="AP11">
        <v>131072</v>
      </c>
      <c r="AQ11">
        <v>74</v>
      </c>
      <c r="AR11" t="s">
        <v>1</v>
      </c>
      <c r="AS11" t="s">
        <v>2</v>
      </c>
      <c r="AT11" s="8">
        <v>526</v>
      </c>
      <c r="AU11">
        <v>34234</v>
      </c>
      <c r="AV11" s="5">
        <v>65.083650190114071</v>
      </c>
    </row>
    <row r="12" spans="1:49" x14ac:dyDescent="0.25">
      <c r="A12" s="3">
        <v>44249</v>
      </c>
      <c r="B12" t="s">
        <v>26</v>
      </c>
      <c r="C12">
        <v>94</v>
      </c>
      <c r="D12">
        <v>15788</v>
      </c>
      <c r="E12">
        <v>920</v>
      </c>
      <c r="F12">
        <v>14868</v>
      </c>
      <c r="G12">
        <v>6</v>
      </c>
      <c r="H12">
        <v>40960</v>
      </c>
      <c r="I12">
        <v>36</v>
      </c>
      <c r="J12" t="s">
        <v>1</v>
      </c>
      <c r="K12" t="s">
        <v>2</v>
      </c>
      <c r="L12" s="8">
        <f>InterspecUsage[[#This Row],[Used-MB]]-F2</f>
        <v>64</v>
      </c>
      <c r="M12">
        <f>InterspecUsage[[#This Row],[Max]]-InterspecUsage[[#This Row],[Used-MB]]</f>
        <v>26092</v>
      </c>
      <c r="N12" s="5">
        <f>IF($L12&gt;0,InterspecUsage[[#This Row],[Free-of-Max]]/InterspecUsage[[#This Row],[Usage-Delta-MB]],InterspecUsage[[#This Row],[Free-of-Max]])</f>
        <v>407.6875</v>
      </c>
      <c r="R12" s="3">
        <v>44312</v>
      </c>
      <c r="S12" t="s">
        <v>24</v>
      </c>
      <c r="T12">
        <v>96</v>
      </c>
      <c r="U12">
        <v>18000</v>
      </c>
      <c r="V12">
        <v>786</v>
      </c>
      <c r="W12">
        <v>17214</v>
      </c>
      <c r="X12">
        <v>4</v>
      </c>
      <c r="Y12">
        <v>32768</v>
      </c>
      <c r="Z12">
        <v>53</v>
      </c>
      <c r="AA12" t="s">
        <v>1</v>
      </c>
      <c r="AB12" t="s">
        <v>2</v>
      </c>
      <c r="AC12" s="8">
        <v>65</v>
      </c>
      <c r="AD12">
        <v>15554</v>
      </c>
      <c r="AE12" s="5">
        <v>239.2923076923077</v>
      </c>
      <c r="AI12" s="3">
        <v>44312</v>
      </c>
      <c r="AJ12" t="s">
        <v>27</v>
      </c>
      <c r="AK12">
        <v>75</v>
      </c>
      <c r="AL12">
        <v>131072</v>
      </c>
      <c r="AM12">
        <v>33393</v>
      </c>
      <c r="AN12">
        <v>97679</v>
      </c>
      <c r="AO12">
        <v>25</v>
      </c>
      <c r="AP12">
        <v>131072</v>
      </c>
      <c r="AQ12">
        <v>75</v>
      </c>
      <c r="AR12" t="s">
        <v>1</v>
      </c>
      <c r="AS12" t="s">
        <v>2</v>
      </c>
      <c r="AT12" s="8">
        <v>841</v>
      </c>
      <c r="AU12">
        <v>33393</v>
      </c>
      <c r="AV12" s="5">
        <v>39.70630202140309</v>
      </c>
    </row>
    <row r="13" spans="1:49" x14ac:dyDescent="0.25">
      <c r="A13" s="3">
        <v>44249</v>
      </c>
      <c r="B13" t="s">
        <v>24</v>
      </c>
      <c r="C13">
        <v>95</v>
      </c>
      <c r="D13">
        <v>17000</v>
      </c>
      <c r="E13">
        <v>841</v>
      </c>
      <c r="F13">
        <v>16159</v>
      </c>
      <c r="G13">
        <v>5</v>
      </c>
      <c r="H13">
        <v>32768</v>
      </c>
      <c r="I13">
        <v>49</v>
      </c>
      <c r="J13" t="s">
        <v>1</v>
      </c>
      <c r="K13" t="s">
        <v>2</v>
      </c>
      <c r="L13" s="8">
        <f>InterspecUsage[[#This Row],[Used-MB]]-F3</f>
        <v>0</v>
      </c>
      <c r="M13">
        <f>InterspecUsage[[#This Row],[Max]]-InterspecUsage[[#This Row],[Used-MB]]</f>
        <v>16609</v>
      </c>
      <c r="N13" s="5">
        <f>IF($L13&gt;0,InterspecUsage[[#This Row],[Free-of-Max]]/InterspecUsage[[#This Row],[Usage-Delta-MB]],InterspecUsage[[#This Row],[Free-of-Max]])</f>
        <v>16609</v>
      </c>
      <c r="R13" s="3">
        <v>44319</v>
      </c>
      <c r="S13" t="s">
        <v>24</v>
      </c>
      <c r="T13">
        <v>96</v>
      </c>
      <c r="U13">
        <v>18000</v>
      </c>
      <c r="V13">
        <v>721</v>
      </c>
      <c r="W13">
        <v>17279</v>
      </c>
      <c r="X13">
        <v>4</v>
      </c>
      <c r="Y13">
        <v>32768</v>
      </c>
      <c r="Z13">
        <v>53</v>
      </c>
      <c r="AA13" t="s">
        <v>1</v>
      </c>
      <c r="AB13" t="s">
        <v>2</v>
      </c>
      <c r="AC13" s="8">
        <v>65</v>
      </c>
      <c r="AD13">
        <v>15489</v>
      </c>
      <c r="AE13" s="5">
        <v>238.2923076923077</v>
      </c>
      <c r="AI13" s="3">
        <v>44319</v>
      </c>
      <c r="AJ13" t="s">
        <v>27</v>
      </c>
      <c r="AK13">
        <v>75</v>
      </c>
      <c r="AL13">
        <v>131072</v>
      </c>
      <c r="AM13">
        <v>32489</v>
      </c>
      <c r="AN13">
        <v>98583</v>
      </c>
      <c r="AO13">
        <v>25</v>
      </c>
      <c r="AP13">
        <v>131072</v>
      </c>
      <c r="AQ13">
        <v>75</v>
      </c>
      <c r="AR13" t="s">
        <v>1</v>
      </c>
      <c r="AS13" t="s">
        <v>2</v>
      </c>
      <c r="AT13" s="8">
        <v>904</v>
      </c>
      <c r="AU13">
        <v>32489</v>
      </c>
      <c r="AV13" s="5">
        <v>35.939159292035399</v>
      </c>
    </row>
    <row r="14" spans="1:49" x14ac:dyDescent="0.25">
      <c r="A14" s="3">
        <v>44249</v>
      </c>
      <c r="B14" s="7" t="s">
        <v>35</v>
      </c>
      <c r="C14">
        <v>95</v>
      </c>
      <c r="D14">
        <v>19400</v>
      </c>
      <c r="E14">
        <v>965</v>
      </c>
      <c r="F14">
        <v>18435</v>
      </c>
      <c r="G14">
        <v>5</v>
      </c>
      <c r="H14">
        <v>32768</v>
      </c>
      <c r="I14">
        <v>56</v>
      </c>
      <c r="J14" t="s">
        <v>1</v>
      </c>
      <c r="K14" t="s">
        <v>2</v>
      </c>
      <c r="L14" s="8">
        <f>InterspecUsage[[#This Row],[Used-MB]]-F4</f>
        <v>64</v>
      </c>
      <c r="M14">
        <f>InterspecUsage[[#This Row],[Max]]-InterspecUsage[[#This Row],[Used-MB]]</f>
        <v>14333</v>
      </c>
      <c r="N14" s="5">
        <f>IF($L14&gt;0,InterspecUsage[[#This Row],[Free-of-Max]]/InterspecUsage[[#This Row],[Usage-Delta-MB]],InterspecUsage[[#This Row],[Free-of-Max]])</f>
        <v>223.953125</v>
      </c>
      <c r="R14" s="3">
        <v>44326</v>
      </c>
      <c r="S14" t="s">
        <v>24</v>
      </c>
      <c r="T14">
        <v>96</v>
      </c>
      <c r="U14">
        <v>18000</v>
      </c>
      <c r="V14">
        <v>720</v>
      </c>
      <c r="W14">
        <v>17280</v>
      </c>
      <c r="X14">
        <v>4</v>
      </c>
      <c r="Y14">
        <v>32768</v>
      </c>
      <c r="Z14">
        <v>53</v>
      </c>
      <c r="AA14" t="s">
        <v>1</v>
      </c>
      <c r="AB14" t="s">
        <v>2</v>
      </c>
      <c r="AC14" s="8">
        <v>1</v>
      </c>
      <c r="AD14">
        <v>15488</v>
      </c>
      <c r="AE14" s="5">
        <v>15488</v>
      </c>
      <c r="AI14" s="3">
        <v>44326</v>
      </c>
      <c r="AJ14" t="s">
        <v>27</v>
      </c>
      <c r="AK14">
        <v>76</v>
      </c>
      <c r="AL14">
        <v>131072</v>
      </c>
      <c r="AM14">
        <v>31913</v>
      </c>
      <c r="AN14">
        <v>99159</v>
      </c>
      <c r="AO14">
        <v>24</v>
      </c>
      <c r="AP14">
        <v>131072</v>
      </c>
      <c r="AQ14">
        <v>76</v>
      </c>
      <c r="AR14" t="s">
        <v>1</v>
      </c>
      <c r="AS14" t="s">
        <v>2</v>
      </c>
      <c r="AT14" s="8">
        <v>576</v>
      </c>
      <c r="AU14">
        <v>31913</v>
      </c>
      <c r="AV14" s="5">
        <v>55.404513888888886</v>
      </c>
    </row>
    <row r="15" spans="1:49" x14ac:dyDescent="0.25">
      <c r="A15" s="3">
        <v>44249</v>
      </c>
      <c r="B15" t="s">
        <v>27</v>
      </c>
      <c r="C15">
        <v>71</v>
      </c>
      <c r="D15">
        <v>131072</v>
      </c>
      <c r="E15">
        <v>38535</v>
      </c>
      <c r="F15">
        <v>92537</v>
      </c>
      <c r="G15">
        <v>29</v>
      </c>
      <c r="H15">
        <v>131072</v>
      </c>
      <c r="I15">
        <v>71</v>
      </c>
      <c r="J15" t="s">
        <v>1</v>
      </c>
      <c r="K15" t="s">
        <v>2</v>
      </c>
      <c r="L15" s="8">
        <f>InterspecUsage[[#This Row],[Used-MB]]-F5</f>
        <v>128</v>
      </c>
      <c r="M15">
        <f>InterspecUsage[[#This Row],[Max]]-InterspecUsage[[#This Row],[Used-MB]]</f>
        <v>38535</v>
      </c>
      <c r="N15" s="5">
        <f>IF($L15&gt;0,InterspecUsage[[#This Row],[Free-of-Max]]/InterspecUsage[[#This Row],[Usage-Delta-MB]],InterspecUsage[[#This Row],[Free-of-Max]])</f>
        <v>301.0546875</v>
      </c>
      <c r="R15" s="3">
        <v>44333</v>
      </c>
      <c r="S15" t="s">
        <v>24</v>
      </c>
      <c r="T15">
        <v>96</v>
      </c>
      <c r="U15">
        <v>18000</v>
      </c>
      <c r="V15">
        <v>712</v>
      </c>
      <c r="W15">
        <v>17288</v>
      </c>
      <c r="X15">
        <v>4</v>
      </c>
      <c r="Y15">
        <v>32768</v>
      </c>
      <c r="Z15">
        <v>53</v>
      </c>
      <c r="AA15" t="s">
        <v>1</v>
      </c>
      <c r="AB15" t="s">
        <v>2</v>
      </c>
      <c r="AC15" s="8">
        <v>8</v>
      </c>
      <c r="AD15">
        <v>15480</v>
      </c>
      <c r="AE15" s="5">
        <v>1935</v>
      </c>
      <c r="AI15" s="3">
        <v>44333</v>
      </c>
      <c r="AJ15" t="s">
        <v>27</v>
      </c>
      <c r="AK15">
        <v>76</v>
      </c>
      <c r="AL15">
        <v>131072</v>
      </c>
      <c r="AM15">
        <v>31713</v>
      </c>
      <c r="AN15">
        <v>99359</v>
      </c>
      <c r="AO15">
        <v>24</v>
      </c>
      <c r="AP15">
        <v>131072</v>
      </c>
      <c r="AQ15">
        <v>76</v>
      </c>
      <c r="AR15" t="s">
        <v>1</v>
      </c>
      <c r="AS15" t="s">
        <v>2</v>
      </c>
      <c r="AT15" s="8">
        <v>200</v>
      </c>
      <c r="AU15">
        <v>31713</v>
      </c>
      <c r="AV15" s="5">
        <v>158.565</v>
      </c>
    </row>
    <row r="16" spans="1:49" x14ac:dyDescent="0.25">
      <c r="A16" s="3">
        <v>44249</v>
      </c>
      <c r="B16" t="s">
        <v>7</v>
      </c>
      <c r="C16">
        <v>95</v>
      </c>
      <c r="D16">
        <v>780</v>
      </c>
      <c r="E16">
        <v>36</v>
      </c>
      <c r="F16">
        <v>744</v>
      </c>
      <c r="G16">
        <v>5</v>
      </c>
      <c r="H16">
        <v>32768</v>
      </c>
      <c r="I16">
        <v>2</v>
      </c>
      <c r="J16" t="s">
        <v>1</v>
      </c>
      <c r="K16" t="s">
        <v>2</v>
      </c>
      <c r="L16" s="8">
        <f>InterspecUsage[[#This Row],[Used-MB]]-F6</f>
        <v>0</v>
      </c>
      <c r="M16">
        <f>InterspecUsage[[#This Row],[Max]]-InterspecUsage[[#This Row],[Used-MB]]</f>
        <v>32024</v>
      </c>
      <c r="N16" s="5">
        <f>IF($L16&gt;0,InterspecUsage[[#This Row],[Free-of-Max]]/InterspecUsage[[#This Row],[Usage-Delta-MB]],InterspecUsage[[#This Row],[Free-of-Max]])</f>
        <v>32024</v>
      </c>
      <c r="R16" s="3">
        <v>44341</v>
      </c>
      <c r="S16" t="s">
        <v>24</v>
      </c>
      <c r="T16">
        <v>96</v>
      </c>
      <c r="U16">
        <v>18000</v>
      </c>
      <c r="V16">
        <v>648</v>
      </c>
      <c r="W16">
        <v>17352</v>
      </c>
      <c r="X16">
        <v>4</v>
      </c>
      <c r="Y16">
        <v>32768</v>
      </c>
      <c r="Z16">
        <v>53</v>
      </c>
      <c r="AA16" t="s">
        <v>1</v>
      </c>
      <c r="AB16" t="s">
        <v>2</v>
      </c>
      <c r="AC16" s="8">
        <v>64</v>
      </c>
      <c r="AD16">
        <v>15416</v>
      </c>
      <c r="AE16" s="5">
        <v>240.875</v>
      </c>
      <c r="AI16" s="3">
        <v>44341</v>
      </c>
      <c r="AJ16" t="s">
        <v>27</v>
      </c>
      <c r="AK16">
        <v>76</v>
      </c>
      <c r="AL16">
        <v>131072</v>
      </c>
      <c r="AM16">
        <v>31198</v>
      </c>
      <c r="AN16">
        <v>99874</v>
      </c>
      <c r="AO16">
        <v>24</v>
      </c>
      <c r="AP16">
        <v>131072</v>
      </c>
      <c r="AQ16">
        <v>76</v>
      </c>
      <c r="AR16" t="s">
        <v>1</v>
      </c>
      <c r="AS16" t="s">
        <v>2</v>
      </c>
      <c r="AT16" s="8">
        <v>515</v>
      </c>
      <c r="AU16">
        <v>31198</v>
      </c>
      <c r="AV16" s="5">
        <v>60.578640776699032</v>
      </c>
    </row>
    <row r="17" spans="1:48" x14ac:dyDescent="0.25">
      <c r="A17" s="3">
        <v>44249</v>
      </c>
      <c r="B17" t="s">
        <v>0</v>
      </c>
      <c r="C17">
        <v>100</v>
      </c>
      <c r="D17">
        <v>2620</v>
      </c>
      <c r="E17">
        <v>2</v>
      </c>
      <c r="F17">
        <v>2619</v>
      </c>
      <c r="G17">
        <v>0</v>
      </c>
      <c r="H17">
        <v>32768</v>
      </c>
      <c r="I17">
        <v>8</v>
      </c>
      <c r="J17" t="s">
        <v>1</v>
      </c>
      <c r="K17" t="s">
        <v>2</v>
      </c>
      <c r="L17" s="8">
        <f>InterspecUsage[[#This Row],[Used-MB]]-F7</f>
        <v>0</v>
      </c>
      <c r="M17">
        <f>InterspecUsage[[#This Row],[Max]]-InterspecUsage[[#This Row],[Used-MB]]</f>
        <v>30149</v>
      </c>
      <c r="N17" s="5">
        <f>IF($L17&gt;0,InterspecUsage[[#This Row],[Free-of-Max]]/InterspecUsage[[#This Row],[Usage-Delta-MB]],InterspecUsage[[#This Row],[Free-of-Max]])</f>
        <v>30149</v>
      </c>
      <c r="R17" s="3">
        <v>44347</v>
      </c>
      <c r="S17" t="s">
        <v>24</v>
      </c>
      <c r="T17">
        <v>96</v>
      </c>
      <c r="U17">
        <v>18000</v>
      </c>
      <c r="V17">
        <v>648</v>
      </c>
      <c r="W17">
        <v>17352</v>
      </c>
      <c r="X17">
        <v>4</v>
      </c>
      <c r="Y17">
        <v>32768</v>
      </c>
      <c r="Z17">
        <v>53</v>
      </c>
      <c r="AA17" t="s">
        <v>1</v>
      </c>
      <c r="AB17" t="s">
        <v>2</v>
      </c>
      <c r="AC17" s="8">
        <v>0</v>
      </c>
      <c r="AD17">
        <v>15416</v>
      </c>
      <c r="AE17" s="5">
        <v>15416</v>
      </c>
      <c r="AI17" s="3">
        <v>44347</v>
      </c>
      <c r="AJ17" t="s">
        <v>27</v>
      </c>
      <c r="AK17">
        <v>76</v>
      </c>
      <c r="AL17">
        <v>131072</v>
      </c>
      <c r="AM17">
        <v>31068</v>
      </c>
      <c r="AN17">
        <v>100004</v>
      </c>
      <c r="AO17">
        <v>24</v>
      </c>
      <c r="AP17">
        <v>131072</v>
      </c>
      <c r="AQ17">
        <v>76</v>
      </c>
      <c r="AR17" t="s">
        <v>1</v>
      </c>
      <c r="AS17" t="s">
        <v>2</v>
      </c>
      <c r="AT17" s="8">
        <v>130</v>
      </c>
      <c r="AU17">
        <v>31068</v>
      </c>
      <c r="AV17" s="5">
        <v>238.98461538461538</v>
      </c>
    </row>
    <row r="18" spans="1:48" x14ac:dyDescent="0.25">
      <c r="A18" s="3">
        <v>44249</v>
      </c>
      <c r="B18" t="s">
        <v>30</v>
      </c>
      <c r="C18">
        <v>0</v>
      </c>
      <c r="D18">
        <v>32767</v>
      </c>
      <c r="E18">
        <v>32739</v>
      </c>
      <c r="F18">
        <v>28</v>
      </c>
      <c r="G18">
        <v>100</v>
      </c>
      <c r="H18">
        <v>32768</v>
      </c>
      <c r="I18">
        <v>0</v>
      </c>
      <c r="J18" t="s">
        <v>1</v>
      </c>
      <c r="K18" t="s">
        <v>13</v>
      </c>
      <c r="L18" s="8">
        <f>InterspecUsage[[#This Row],[Used-MB]]-F8</f>
        <v>-6</v>
      </c>
      <c r="M18">
        <f>InterspecUsage[[#This Row],[Max]]-InterspecUsage[[#This Row],[Used-MB]]</f>
        <v>32740</v>
      </c>
      <c r="N18" s="5">
        <f>IF($L18&gt;0,InterspecUsage[[#This Row],[Free-of-Max]]/InterspecUsage[[#This Row],[Usage-Delta-MB]],InterspecUsage[[#This Row],[Free-of-Max]])</f>
        <v>32740</v>
      </c>
      <c r="R18" s="3">
        <v>44354</v>
      </c>
      <c r="S18" t="s">
        <v>24</v>
      </c>
      <c r="T18">
        <v>96</v>
      </c>
      <c r="U18">
        <v>18000</v>
      </c>
      <c r="V18">
        <v>648</v>
      </c>
      <c r="W18">
        <v>17352</v>
      </c>
      <c r="X18">
        <v>4</v>
      </c>
      <c r="Y18">
        <v>32768</v>
      </c>
      <c r="Z18">
        <v>53</v>
      </c>
      <c r="AA18" t="s">
        <v>1</v>
      </c>
      <c r="AB18" t="s">
        <v>2</v>
      </c>
      <c r="AC18" s="8">
        <v>0</v>
      </c>
      <c r="AD18">
        <v>15416</v>
      </c>
      <c r="AE18" s="5">
        <v>15416</v>
      </c>
      <c r="AI18" s="3">
        <v>44354</v>
      </c>
      <c r="AJ18" t="s">
        <v>27</v>
      </c>
      <c r="AK18">
        <v>77</v>
      </c>
      <c r="AL18">
        <v>131072</v>
      </c>
      <c r="AM18">
        <v>30684</v>
      </c>
      <c r="AN18">
        <v>100388</v>
      </c>
      <c r="AO18">
        <v>23</v>
      </c>
      <c r="AP18">
        <v>131072</v>
      </c>
      <c r="AQ18">
        <v>77</v>
      </c>
      <c r="AR18" t="s">
        <v>1</v>
      </c>
      <c r="AS18" t="s">
        <v>2</v>
      </c>
      <c r="AT18" s="8">
        <v>384</v>
      </c>
      <c r="AU18">
        <v>30684</v>
      </c>
      <c r="AV18" s="5">
        <v>79.90625</v>
      </c>
    </row>
    <row r="19" spans="1:48" x14ac:dyDescent="0.25">
      <c r="A19" s="3">
        <v>44249</v>
      </c>
      <c r="B19" t="s">
        <v>28</v>
      </c>
      <c r="C19">
        <v>24</v>
      </c>
      <c r="D19">
        <v>16400</v>
      </c>
      <c r="E19">
        <v>12436</v>
      </c>
      <c r="F19">
        <v>3965</v>
      </c>
      <c r="G19">
        <v>76</v>
      </c>
      <c r="H19">
        <v>32768</v>
      </c>
      <c r="I19">
        <v>12</v>
      </c>
      <c r="J19" t="s">
        <v>1</v>
      </c>
      <c r="K19" t="s">
        <v>10</v>
      </c>
      <c r="L19" s="8">
        <f>InterspecUsage[[#This Row],[Used-MB]]-F9</f>
        <v>-76</v>
      </c>
      <c r="M19">
        <f>InterspecUsage[[#This Row],[Max]]-InterspecUsage[[#This Row],[Used-MB]]</f>
        <v>28803</v>
      </c>
      <c r="N19" s="5">
        <f>IF($L19&gt;0,InterspecUsage[[#This Row],[Free-of-Max]]/InterspecUsage[[#This Row],[Usage-Delta-MB]],InterspecUsage[[#This Row],[Free-of-Max]])</f>
        <v>28803</v>
      </c>
      <c r="R19" s="3">
        <v>44361</v>
      </c>
      <c r="S19" t="s">
        <v>24</v>
      </c>
      <c r="T19">
        <v>96</v>
      </c>
      <c r="U19">
        <v>18000</v>
      </c>
      <c r="V19">
        <v>646</v>
      </c>
      <c r="W19">
        <v>17354</v>
      </c>
      <c r="X19">
        <v>4</v>
      </c>
      <c r="Y19">
        <v>32768</v>
      </c>
      <c r="Z19">
        <v>53</v>
      </c>
      <c r="AA19" t="s">
        <v>1</v>
      </c>
      <c r="AB19" t="s">
        <v>2</v>
      </c>
      <c r="AC19" s="8">
        <v>2</v>
      </c>
      <c r="AD19">
        <v>15414</v>
      </c>
      <c r="AE19" s="5">
        <v>7707</v>
      </c>
      <c r="AI19" s="3">
        <v>44361</v>
      </c>
      <c r="AJ19" t="s">
        <v>27</v>
      </c>
      <c r="AK19">
        <v>77</v>
      </c>
      <c r="AL19">
        <v>131072</v>
      </c>
      <c r="AM19">
        <v>30492</v>
      </c>
      <c r="AN19">
        <v>100580</v>
      </c>
      <c r="AO19">
        <v>23</v>
      </c>
      <c r="AP19">
        <v>131072</v>
      </c>
      <c r="AQ19">
        <v>77</v>
      </c>
      <c r="AR19" t="s">
        <v>1</v>
      </c>
      <c r="AS19" t="s">
        <v>2</v>
      </c>
      <c r="AT19" s="8">
        <v>192</v>
      </c>
      <c r="AU19">
        <v>30492</v>
      </c>
      <c r="AV19" s="5">
        <v>158.8125</v>
      </c>
    </row>
    <row r="20" spans="1:48" x14ac:dyDescent="0.25">
      <c r="A20" s="3">
        <v>44249</v>
      </c>
      <c r="B20" t="s">
        <v>25</v>
      </c>
      <c r="C20">
        <v>94</v>
      </c>
      <c r="D20">
        <v>8950</v>
      </c>
      <c r="E20">
        <v>521</v>
      </c>
      <c r="F20">
        <v>8429</v>
      </c>
      <c r="G20">
        <v>6</v>
      </c>
      <c r="H20">
        <v>32768</v>
      </c>
      <c r="I20">
        <v>26</v>
      </c>
      <c r="J20" t="s">
        <v>1</v>
      </c>
      <c r="K20" t="s">
        <v>2</v>
      </c>
      <c r="L20" s="8">
        <f>InterspecUsage[[#This Row],[Used-MB]]-F10</f>
        <v>1</v>
      </c>
      <c r="M20">
        <f>InterspecUsage[[#This Row],[Max]]-InterspecUsage[[#This Row],[Used-MB]]</f>
        <v>24339</v>
      </c>
      <c r="N20" s="5">
        <f>IF($L20&gt;0,InterspecUsage[[#This Row],[Free-of-Max]]/InterspecUsage[[#This Row],[Usage-Delta-MB]],InterspecUsage[[#This Row],[Free-of-Max]])</f>
        <v>24339</v>
      </c>
      <c r="R20" s="3">
        <v>44368</v>
      </c>
      <c r="S20" t="s">
        <v>24</v>
      </c>
      <c r="T20">
        <v>97</v>
      </c>
      <c r="U20">
        <v>18000</v>
      </c>
      <c r="V20">
        <v>556</v>
      </c>
      <c r="W20">
        <v>17444</v>
      </c>
      <c r="X20">
        <v>3</v>
      </c>
      <c r="Y20">
        <v>32768</v>
      </c>
      <c r="Z20">
        <v>53</v>
      </c>
      <c r="AA20" t="s">
        <v>1</v>
      </c>
      <c r="AB20" t="s">
        <v>2</v>
      </c>
      <c r="AC20" s="8">
        <v>90</v>
      </c>
      <c r="AD20">
        <v>15324</v>
      </c>
      <c r="AE20" s="5">
        <v>170.26666666666668</v>
      </c>
      <c r="AI20" s="3">
        <v>44368</v>
      </c>
      <c r="AJ20" t="s">
        <v>27</v>
      </c>
      <c r="AK20">
        <v>78</v>
      </c>
      <c r="AL20">
        <v>131072</v>
      </c>
      <c r="AM20">
        <v>28999</v>
      </c>
      <c r="AN20">
        <v>102073</v>
      </c>
      <c r="AO20">
        <v>22</v>
      </c>
      <c r="AP20">
        <v>131072</v>
      </c>
      <c r="AQ20">
        <v>78</v>
      </c>
      <c r="AR20" t="s">
        <v>1</v>
      </c>
      <c r="AS20" t="s">
        <v>2</v>
      </c>
      <c r="AT20" s="8">
        <v>1493</v>
      </c>
      <c r="AU20">
        <v>28999</v>
      </c>
      <c r="AV20" s="5">
        <v>19.423308774279974</v>
      </c>
    </row>
    <row r="21" spans="1:48" x14ac:dyDescent="0.25">
      <c r="A21" s="3">
        <v>44249</v>
      </c>
      <c r="B21" t="s">
        <v>29</v>
      </c>
      <c r="C21">
        <v>0</v>
      </c>
      <c r="D21">
        <v>500</v>
      </c>
      <c r="E21">
        <v>499</v>
      </c>
      <c r="F21">
        <v>1</v>
      </c>
      <c r="G21">
        <v>100</v>
      </c>
      <c r="H21">
        <v>500</v>
      </c>
      <c r="I21">
        <v>0</v>
      </c>
      <c r="J21" t="s">
        <v>1</v>
      </c>
      <c r="K21" t="s">
        <v>2</v>
      </c>
      <c r="L21" s="8">
        <f>InterspecUsage[[#This Row],[Used-MB]]-F11</f>
        <v>0</v>
      </c>
      <c r="M21">
        <f>InterspecUsage[[#This Row],[Max]]-InterspecUsage[[#This Row],[Used-MB]]</f>
        <v>499</v>
      </c>
      <c r="N21" s="5">
        <f>IF($L21&gt;0,InterspecUsage[[#This Row],[Free-of-Max]]/InterspecUsage[[#This Row],[Usage-Delta-MB]],InterspecUsage[[#This Row],[Free-of-Max]])</f>
        <v>499</v>
      </c>
      <c r="R21" s="3">
        <v>44375</v>
      </c>
      <c r="S21" t="s">
        <v>24</v>
      </c>
      <c r="T21">
        <v>97</v>
      </c>
      <c r="U21">
        <v>18000</v>
      </c>
      <c r="V21">
        <v>492</v>
      </c>
      <c r="W21">
        <v>17508</v>
      </c>
      <c r="X21">
        <v>3</v>
      </c>
      <c r="Y21">
        <v>32768</v>
      </c>
      <c r="Z21">
        <v>53</v>
      </c>
      <c r="AA21" t="s">
        <v>1</v>
      </c>
      <c r="AB21" t="s">
        <v>2</v>
      </c>
      <c r="AC21" s="8">
        <v>64</v>
      </c>
      <c r="AD21">
        <v>15260</v>
      </c>
      <c r="AE21" s="5">
        <v>238.4375</v>
      </c>
      <c r="AI21" s="3">
        <v>44375</v>
      </c>
      <c r="AJ21" t="s">
        <v>27</v>
      </c>
      <c r="AK21">
        <v>78</v>
      </c>
      <c r="AL21">
        <v>131072</v>
      </c>
      <c r="AM21">
        <v>28614</v>
      </c>
      <c r="AN21">
        <v>102458</v>
      </c>
      <c r="AO21">
        <v>22</v>
      </c>
      <c r="AP21">
        <v>131072</v>
      </c>
      <c r="AQ21">
        <v>78</v>
      </c>
      <c r="AR21" t="s">
        <v>1</v>
      </c>
      <c r="AS21" t="s">
        <v>2</v>
      </c>
      <c r="AT21" s="8">
        <v>385</v>
      </c>
      <c r="AU21">
        <v>28614</v>
      </c>
      <c r="AV21" s="5">
        <v>74.322077922077924</v>
      </c>
    </row>
    <row r="22" spans="1:48" x14ac:dyDescent="0.25">
      <c r="A22" s="3">
        <v>44256</v>
      </c>
      <c r="B22" t="s">
        <v>26</v>
      </c>
      <c r="C22">
        <v>95</v>
      </c>
      <c r="D22">
        <v>15788</v>
      </c>
      <c r="E22">
        <v>792</v>
      </c>
      <c r="F22">
        <v>14996</v>
      </c>
      <c r="G22">
        <v>5</v>
      </c>
      <c r="H22">
        <v>40960</v>
      </c>
      <c r="I22">
        <v>37</v>
      </c>
      <c r="J22" t="s">
        <v>1</v>
      </c>
      <c r="K22" t="s">
        <v>2</v>
      </c>
      <c r="L22" s="8">
        <f>InterspecUsage[[#This Row],[Used-MB]]-F12</f>
        <v>128</v>
      </c>
      <c r="M22">
        <f>InterspecUsage[[#This Row],[Max]]-InterspecUsage[[#This Row],[Used-MB]]</f>
        <v>25964</v>
      </c>
      <c r="N22" s="5">
        <f>IF($L22&gt;0,InterspecUsage[[#This Row],[Free-of-Max]]/InterspecUsage[[#This Row],[Usage-Delta-MB]],InterspecUsage[[#This Row],[Free-of-Max]])</f>
        <v>202.84375</v>
      </c>
      <c r="R22" s="3">
        <v>44382</v>
      </c>
      <c r="S22" t="s">
        <v>24</v>
      </c>
      <c r="T22">
        <v>97</v>
      </c>
      <c r="U22">
        <v>18000</v>
      </c>
      <c r="V22">
        <v>491</v>
      </c>
      <c r="W22">
        <v>17509</v>
      </c>
      <c r="X22">
        <v>3</v>
      </c>
      <c r="Y22">
        <v>32768</v>
      </c>
      <c r="Z22">
        <v>53</v>
      </c>
      <c r="AA22" t="s">
        <v>1</v>
      </c>
      <c r="AB22" t="s">
        <v>2</v>
      </c>
      <c r="AC22" s="8">
        <v>1</v>
      </c>
      <c r="AD22">
        <v>15259</v>
      </c>
      <c r="AE22" s="5">
        <v>15259</v>
      </c>
      <c r="AI22" s="3">
        <v>44382</v>
      </c>
      <c r="AJ22" t="s">
        <v>27</v>
      </c>
      <c r="AK22">
        <v>79</v>
      </c>
      <c r="AL22">
        <v>131072</v>
      </c>
      <c r="AM22">
        <v>28076</v>
      </c>
      <c r="AN22">
        <v>102996</v>
      </c>
      <c r="AO22">
        <v>21</v>
      </c>
      <c r="AP22">
        <v>131072</v>
      </c>
      <c r="AQ22">
        <v>79</v>
      </c>
      <c r="AR22" t="s">
        <v>1</v>
      </c>
      <c r="AS22" t="s">
        <v>2</v>
      </c>
      <c r="AT22" s="8">
        <v>538</v>
      </c>
      <c r="AU22">
        <v>28076</v>
      </c>
      <c r="AV22" s="5">
        <v>52.185873605947954</v>
      </c>
    </row>
    <row r="23" spans="1:48" x14ac:dyDescent="0.25">
      <c r="A23" s="3">
        <v>44256</v>
      </c>
      <c r="B23" t="s">
        <v>24</v>
      </c>
      <c r="C23">
        <v>94</v>
      </c>
      <c r="D23">
        <v>18000</v>
      </c>
      <c r="E23">
        <v>1009</v>
      </c>
      <c r="F23">
        <v>16991</v>
      </c>
      <c r="G23">
        <v>6</v>
      </c>
      <c r="H23">
        <v>32768</v>
      </c>
      <c r="I23">
        <v>52</v>
      </c>
      <c r="J23" t="s">
        <v>1</v>
      </c>
      <c r="K23" t="s">
        <v>2</v>
      </c>
      <c r="L23" s="8">
        <f>InterspecUsage[[#This Row],[Used-MB]]-F13</f>
        <v>832</v>
      </c>
      <c r="M23">
        <f>InterspecUsage[[#This Row],[Max]]-InterspecUsage[[#This Row],[Used-MB]]</f>
        <v>15777</v>
      </c>
      <c r="N23" s="5">
        <f>IF($L23&gt;0,InterspecUsage[[#This Row],[Free-of-Max]]/InterspecUsage[[#This Row],[Usage-Delta-MB]],InterspecUsage[[#This Row],[Free-of-Max]])</f>
        <v>18.962740384615383</v>
      </c>
      <c r="R23" s="3">
        <v>44389</v>
      </c>
      <c r="S23" t="s">
        <v>24</v>
      </c>
      <c r="T23">
        <v>97</v>
      </c>
      <c r="U23">
        <v>18000</v>
      </c>
      <c r="V23">
        <v>490</v>
      </c>
      <c r="W23">
        <v>17510</v>
      </c>
      <c r="X23">
        <v>3</v>
      </c>
      <c r="Y23">
        <v>32768</v>
      </c>
      <c r="Z23">
        <v>53</v>
      </c>
      <c r="AA23" t="s">
        <v>1</v>
      </c>
      <c r="AB23" t="s">
        <v>2</v>
      </c>
      <c r="AC23" s="8">
        <v>1</v>
      </c>
      <c r="AD23">
        <v>15258</v>
      </c>
      <c r="AE23" s="5">
        <v>15258</v>
      </c>
      <c r="AI23" s="3">
        <v>44389</v>
      </c>
      <c r="AJ23" t="s">
        <v>27</v>
      </c>
      <c r="AK23">
        <v>79</v>
      </c>
      <c r="AL23">
        <v>131072</v>
      </c>
      <c r="AM23">
        <v>27868</v>
      </c>
      <c r="AN23">
        <v>103204</v>
      </c>
      <c r="AO23">
        <v>21</v>
      </c>
      <c r="AP23">
        <v>131072</v>
      </c>
      <c r="AQ23">
        <v>79</v>
      </c>
      <c r="AR23" t="s">
        <v>1</v>
      </c>
      <c r="AS23" t="s">
        <v>2</v>
      </c>
      <c r="AT23" s="8">
        <v>208</v>
      </c>
      <c r="AU23">
        <v>27868</v>
      </c>
      <c r="AV23" s="5">
        <v>133.98076923076923</v>
      </c>
    </row>
    <row r="24" spans="1:48" x14ac:dyDescent="0.25">
      <c r="A24" s="3">
        <v>44256</v>
      </c>
      <c r="B24" s="7" t="s">
        <v>35</v>
      </c>
      <c r="C24">
        <v>94</v>
      </c>
      <c r="D24">
        <v>19600</v>
      </c>
      <c r="E24">
        <v>1101</v>
      </c>
      <c r="F24">
        <v>18499</v>
      </c>
      <c r="G24">
        <v>6</v>
      </c>
      <c r="H24">
        <v>32768</v>
      </c>
      <c r="I24">
        <v>56</v>
      </c>
      <c r="J24" t="s">
        <v>1</v>
      </c>
      <c r="K24" t="s">
        <v>2</v>
      </c>
      <c r="L24" s="8">
        <f>InterspecUsage[[#This Row],[Used-MB]]-F14</f>
        <v>64</v>
      </c>
      <c r="M24">
        <f>InterspecUsage[[#This Row],[Max]]-InterspecUsage[[#This Row],[Used-MB]]</f>
        <v>14269</v>
      </c>
      <c r="N24" s="5">
        <f>IF($L24&gt;0,InterspecUsage[[#This Row],[Free-of-Max]]/InterspecUsage[[#This Row],[Usage-Delta-MB]],InterspecUsage[[#This Row],[Free-of-Max]])</f>
        <v>222.953125</v>
      </c>
      <c r="R24" s="3">
        <v>44396</v>
      </c>
      <c r="S24" t="s">
        <v>24</v>
      </c>
      <c r="T24">
        <v>98</v>
      </c>
      <c r="U24">
        <v>18000</v>
      </c>
      <c r="V24">
        <v>418</v>
      </c>
      <c r="W24">
        <v>17582</v>
      </c>
      <c r="X24">
        <v>2</v>
      </c>
      <c r="Y24">
        <v>32768</v>
      </c>
      <c r="Z24">
        <v>54</v>
      </c>
      <c r="AA24" t="s">
        <v>1</v>
      </c>
      <c r="AB24" t="s">
        <v>2</v>
      </c>
      <c r="AC24" s="8">
        <v>72</v>
      </c>
      <c r="AD24">
        <v>15186</v>
      </c>
      <c r="AE24" s="5">
        <v>210.91666666666666</v>
      </c>
      <c r="AI24" s="3">
        <v>44396</v>
      </c>
      <c r="AJ24" t="s">
        <v>27</v>
      </c>
      <c r="AK24">
        <v>79</v>
      </c>
      <c r="AL24">
        <v>131072</v>
      </c>
      <c r="AM24">
        <v>27292</v>
      </c>
      <c r="AN24">
        <v>103780</v>
      </c>
      <c r="AO24">
        <v>21</v>
      </c>
      <c r="AP24">
        <v>131072</v>
      </c>
      <c r="AQ24">
        <v>79</v>
      </c>
      <c r="AR24" t="s">
        <v>1</v>
      </c>
      <c r="AS24" t="s">
        <v>2</v>
      </c>
      <c r="AT24" s="8">
        <v>576</v>
      </c>
      <c r="AU24">
        <v>27292</v>
      </c>
      <c r="AV24" s="5">
        <v>47.381944444444443</v>
      </c>
    </row>
    <row r="25" spans="1:48" x14ac:dyDescent="0.25">
      <c r="A25" s="3">
        <v>44256</v>
      </c>
      <c r="B25" t="s">
        <v>27</v>
      </c>
      <c r="C25">
        <v>71</v>
      </c>
      <c r="D25">
        <v>131072</v>
      </c>
      <c r="E25">
        <v>37726</v>
      </c>
      <c r="F25">
        <v>93346</v>
      </c>
      <c r="G25">
        <v>29</v>
      </c>
      <c r="H25">
        <v>131072</v>
      </c>
      <c r="I25">
        <v>71</v>
      </c>
      <c r="J25" t="s">
        <v>1</v>
      </c>
      <c r="K25" t="s">
        <v>2</v>
      </c>
      <c r="L25" s="8">
        <f>InterspecUsage[[#This Row],[Used-MB]]-F15</f>
        <v>809</v>
      </c>
      <c r="M25">
        <f>InterspecUsage[[#This Row],[Max]]-InterspecUsage[[#This Row],[Used-MB]]</f>
        <v>37726</v>
      </c>
      <c r="N25" s="5">
        <f>IF($L25&gt;0,InterspecUsage[[#This Row],[Free-of-Max]]/InterspecUsage[[#This Row],[Usage-Delta-MB]],InterspecUsage[[#This Row],[Free-of-Max]])</f>
        <v>46.632880098887519</v>
      </c>
      <c r="R25" s="3">
        <v>44403</v>
      </c>
      <c r="S25" t="s">
        <v>24</v>
      </c>
      <c r="T25">
        <v>98</v>
      </c>
      <c r="U25">
        <v>18000</v>
      </c>
      <c r="V25">
        <v>410</v>
      </c>
      <c r="W25">
        <v>17590</v>
      </c>
      <c r="X25">
        <v>2</v>
      </c>
      <c r="Y25">
        <v>32768</v>
      </c>
      <c r="Z25">
        <v>54</v>
      </c>
      <c r="AA25" t="s">
        <v>1</v>
      </c>
      <c r="AB25" t="s">
        <v>2</v>
      </c>
      <c r="AC25" s="8">
        <v>8</v>
      </c>
      <c r="AD25">
        <v>15178</v>
      </c>
      <c r="AE25" s="5">
        <v>1897.25</v>
      </c>
      <c r="AI25" s="3">
        <v>44403</v>
      </c>
      <c r="AJ25" t="s">
        <v>27</v>
      </c>
      <c r="AK25">
        <v>79</v>
      </c>
      <c r="AL25">
        <v>131072</v>
      </c>
      <c r="AM25">
        <v>27161</v>
      </c>
      <c r="AN25">
        <v>103911</v>
      </c>
      <c r="AO25">
        <v>21</v>
      </c>
      <c r="AP25">
        <v>131072</v>
      </c>
      <c r="AQ25">
        <v>79</v>
      </c>
      <c r="AR25" t="s">
        <v>1</v>
      </c>
      <c r="AS25" t="s">
        <v>2</v>
      </c>
      <c r="AT25" s="8">
        <v>131</v>
      </c>
      <c r="AU25">
        <v>27161</v>
      </c>
      <c r="AV25" s="5">
        <v>207.33587786259542</v>
      </c>
    </row>
    <row r="26" spans="1:48" x14ac:dyDescent="0.25">
      <c r="A26" s="3">
        <v>44256</v>
      </c>
      <c r="B26" t="s">
        <v>7</v>
      </c>
      <c r="C26">
        <v>95</v>
      </c>
      <c r="D26">
        <v>790</v>
      </c>
      <c r="E26">
        <v>36</v>
      </c>
      <c r="F26">
        <v>754</v>
      </c>
      <c r="G26">
        <v>5</v>
      </c>
      <c r="H26">
        <v>32768</v>
      </c>
      <c r="I26">
        <v>2</v>
      </c>
      <c r="J26" t="s">
        <v>1</v>
      </c>
      <c r="K26" t="s">
        <v>2</v>
      </c>
      <c r="L26" s="8">
        <f>InterspecUsage[[#This Row],[Used-MB]]-F16</f>
        <v>10</v>
      </c>
      <c r="M26">
        <f>InterspecUsage[[#This Row],[Max]]-InterspecUsage[[#This Row],[Used-MB]]</f>
        <v>32014</v>
      </c>
      <c r="N26" s="5">
        <f>IF($L26&gt;0,InterspecUsage[[#This Row],[Free-of-Max]]/InterspecUsage[[#This Row],[Usage-Delta-MB]],InterspecUsage[[#This Row],[Free-of-Max]])</f>
        <v>3201.4</v>
      </c>
      <c r="R26" s="3">
        <v>44410</v>
      </c>
      <c r="S26" t="s">
        <v>24</v>
      </c>
      <c r="T26">
        <v>98</v>
      </c>
      <c r="U26">
        <v>18000</v>
      </c>
      <c r="V26">
        <v>409</v>
      </c>
      <c r="W26">
        <v>17591</v>
      </c>
      <c r="X26">
        <v>2</v>
      </c>
      <c r="Y26">
        <v>32768</v>
      </c>
      <c r="Z26">
        <v>54</v>
      </c>
      <c r="AA26" t="s">
        <v>1</v>
      </c>
      <c r="AB26" t="s">
        <v>2</v>
      </c>
      <c r="AC26" s="8">
        <v>1</v>
      </c>
      <c r="AD26">
        <v>15177</v>
      </c>
      <c r="AE26" s="5">
        <v>15177</v>
      </c>
      <c r="AI26" s="3">
        <v>44410</v>
      </c>
      <c r="AJ26" t="s">
        <v>27</v>
      </c>
      <c r="AK26">
        <v>79</v>
      </c>
      <c r="AL26">
        <v>131072</v>
      </c>
      <c r="AM26">
        <v>26967</v>
      </c>
      <c r="AN26">
        <v>104105</v>
      </c>
      <c r="AO26">
        <v>21</v>
      </c>
      <c r="AP26">
        <v>131072</v>
      </c>
      <c r="AQ26">
        <v>79</v>
      </c>
      <c r="AR26" t="s">
        <v>1</v>
      </c>
      <c r="AS26" t="s">
        <v>2</v>
      </c>
      <c r="AT26" s="8">
        <v>194</v>
      </c>
      <c r="AU26">
        <v>26967</v>
      </c>
      <c r="AV26" s="5">
        <v>139.00515463917526</v>
      </c>
    </row>
    <row r="27" spans="1:48" x14ac:dyDescent="0.25">
      <c r="A27" s="3">
        <v>44256</v>
      </c>
      <c r="B27" t="s">
        <v>0</v>
      </c>
      <c r="C27">
        <v>100</v>
      </c>
      <c r="D27">
        <v>2620</v>
      </c>
      <c r="E27">
        <v>2</v>
      </c>
      <c r="F27">
        <v>2619</v>
      </c>
      <c r="G27">
        <v>0</v>
      </c>
      <c r="H27">
        <v>32768</v>
      </c>
      <c r="I27">
        <v>8</v>
      </c>
      <c r="J27" t="s">
        <v>1</v>
      </c>
      <c r="K27" t="s">
        <v>2</v>
      </c>
      <c r="L27" s="8">
        <f>InterspecUsage[[#This Row],[Used-MB]]-F17</f>
        <v>0</v>
      </c>
      <c r="M27">
        <f>InterspecUsage[[#This Row],[Max]]-InterspecUsage[[#This Row],[Used-MB]]</f>
        <v>30149</v>
      </c>
      <c r="N27" s="5">
        <f>IF($L27&gt;0,InterspecUsage[[#This Row],[Free-of-Max]]/InterspecUsage[[#This Row],[Usage-Delta-MB]],InterspecUsage[[#This Row],[Free-of-Max]])</f>
        <v>30149</v>
      </c>
      <c r="R27" s="3">
        <v>44417</v>
      </c>
      <c r="S27" t="s">
        <v>24</v>
      </c>
      <c r="T27">
        <v>98</v>
      </c>
      <c r="U27">
        <v>18000</v>
      </c>
      <c r="V27">
        <v>409</v>
      </c>
      <c r="W27">
        <v>17591</v>
      </c>
      <c r="X27">
        <v>2</v>
      </c>
      <c r="Y27">
        <v>32768</v>
      </c>
      <c r="Z27">
        <v>54</v>
      </c>
      <c r="AA27" t="s">
        <v>1</v>
      </c>
      <c r="AB27" t="s">
        <v>2</v>
      </c>
      <c r="AC27" s="8">
        <v>0</v>
      </c>
      <c r="AD27">
        <v>15177</v>
      </c>
      <c r="AE27" s="5">
        <v>15177</v>
      </c>
      <c r="AI27" s="3">
        <v>44417</v>
      </c>
      <c r="AJ27" t="s">
        <v>27</v>
      </c>
      <c r="AK27">
        <v>80</v>
      </c>
      <c r="AL27">
        <v>131072</v>
      </c>
      <c r="AM27">
        <v>26837</v>
      </c>
      <c r="AN27">
        <v>104235</v>
      </c>
      <c r="AO27">
        <v>20</v>
      </c>
      <c r="AP27">
        <v>131072</v>
      </c>
      <c r="AQ27">
        <v>80</v>
      </c>
      <c r="AR27" t="s">
        <v>1</v>
      </c>
      <c r="AS27" t="s">
        <v>2</v>
      </c>
      <c r="AT27" s="8">
        <v>130</v>
      </c>
      <c r="AU27">
        <v>26837</v>
      </c>
      <c r="AV27" s="5">
        <v>206.43846153846152</v>
      </c>
    </row>
    <row r="28" spans="1:48" x14ac:dyDescent="0.25">
      <c r="A28" s="3">
        <v>44256</v>
      </c>
      <c r="B28" t="s">
        <v>30</v>
      </c>
      <c r="C28">
        <v>0</v>
      </c>
      <c r="D28">
        <v>32767</v>
      </c>
      <c r="E28">
        <v>32755</v>
      </c>
      <c r="F28">
        <v>12</v>
      </c>
      <c r="G28">
        <v>100</v>
      </c>
      <c r="H28">
        <v>32768</v>
      </c>
      <c r="I28">
        <v>0</v>
      </c>
      <c r="J28" t="s">
        <v>1</v>
      </c>
      <c r="K28" t="s">
        <v>13</v>
      </c>
      <c r="L28" s="8">
        <f>InterspecUsage[[#This Row],[Used-MB]]-F18</f>
        <v>-16</v>
      </c>
      <c r="M28">
        <f>InterspecUsage[[#This Row],[Max]]-InterspecUsage[[#This Row],[Used-MB]]</f>
        <v>32756</v>
      </c>
      <c r="N28" s="5">
        <f>IF($L28&gt;0,InterspecUsage[[#This Row],[Free-of-Max]]/InterspecUsage[[#This Row],[Usage-Delta-MB]],InterspecUsage[[#This Row],[Free-of-Max]])</f>
        <v>32756</v>
      </c>
      <c r="R28" s="3">
        <v>44425</v>
      </c>
      <c r="S28" t="s">
        <v>24</v>
      </c>
      <c r="T28">
        <v>98</v>
      </c>
      <c r="U28">
        <v>18000</v>
      </c>
      <c r="V28">
        <v>409</v>
      </c>
      <c r="W28">
        <v>17591</v>
      </c>
      <c r="X28">
        <v>2</v>
      </c>
      <c r="Y28">
        <v>32768</v>
      </c>
      <c r="Z28">
        <v>54</v>
      </c>
      <c r="AA28" t="s">
        <v>1</v>
      </c>
      <c r="AB28" t="s">
        <v>2</v>
      </c>
      <c r="AC28" s="8">
        <v>0</v>
      </c>
      <c r="AD28">
        <v>15177</v>
      </c>
      <c r="AE28" s="5">
        <v>15177</v>
      </c>
      <c r="AI28" s="3">
        <v>44425</v>
      </c>
      <c r="AJ28" t="s">
        <v>27</v>
      </c>
      <c r="AK28">
        <v>80</v>
      </c>
      <c r="AL28">
        <v>131072</v>
      </c>
      <c r="AM28">
        <v>26708</v>
      </c>
      <c r="AN28">
        <v>104364</v>
      </c>
      <c r="AO28">
        <v>20</v>
      </c>
      <c r="AP28">
        <v>131072</v>
      </c>
      <c r="AQ28">
        <v>80</v>
      </c>
      <c r="AR28" t="s">
        <v>1</v>
      </c>
      <c r="AS28" t="s">
        <v>2</v>
      </c>
      <c r="AT28" s="8">
        <v>129</v>
      </c>
      <c r="AU28">
        <v>26708</v>
      </c>
      <c r="AV28" s="5">
        <v>207.03875968992247</v>
      </c>
    </row>
    <row r="29" spans="1:48" x14ac:dyDescent="0.25">
      <c r="A29" s="3">
        <v>44256</v>
      </c>
      <c r="B29" t="s">
        <v>28</v>
      </c>
      <c r="C29">
        <v>24</v>
      </c>
      <c r="D29">
        <v>16400</v>
      </c>
      <c r="E29">
        <v>12445</v>
      </c>
      <c r="F29">
        <v>3955</v>
      </c>
      <c r="G29">
        <v>76</v>
      </c>
      <c r="H29">
        <v>32768</v>
      </c>
      <c r="I29">
        <v>12</v>
      </c>
      <c r="J29" t="s">
        <v>1</v>
      </c>
      <c r="K29" t="s">
        <v>10</v>
      </c>
      <c r="L29" s="8">
        <f>InterspecUsage[[#This Row],[Used-MB]]-F19</f>
        <v>-10</v>
      </c>
      <c r="M29">
        <f>InterspecUsage[[#This Row],[Max]]-InterspecUsage[[#This Row],[Used-MB]]</f>
        <v>28813</v>
      </c>
      <c r="N29" s="5">
        <f>IF($L29&gt;0,InterspecUsage[[#This Row],[Free-of-Max]]/InterspecUsage[[#This Row],[Usage-Delta-MB]],InterspecUsage[[#This Row],[Free-of-Max]])</f>
        <v>28813</v>
      </c>
      <c r="R29" s="3">
        <v>44431</v>
      </c>
      <c r="S29" t="s">
        <v>24</v>
      </c>
      <c r="T29">
        <v>98</v>
      </c>
      <c r="U29">
        <v>18000</v>
      </c>
      <c r="V29">
        <v>408</v>
      </c>
      <c r="W29">
        <v>17592</v>
      </c>
      <c r="X29">
        <v>2</v>
      </c>
      <c r="Y29">
        <v>32768</v>
      </c>
      <c r="Z29">
        <v>54</v>
      </c>
      <c r="AA29" t="s">
        <v>1</v>
      </c>
      <c r="AB29" t="s">
        <v>2</v>
      </c>
      <c r="AC29" s="8">
        <v>1</v>
      </c>
      <c r="AD29">
        <v>15176</v>
      </c>
      <c r="AE29" s="5">
        <v>15176</v>
      </c>
      <c r="AI29" s="3">
        <v>44431</v>
      </c>
      <c r="AJ29" t="s">
        <v>27</v>
      </c>
      <c r="AK29">
        <v>80</v>
      </c>
      <c r="AL29">
        <v>131072</v>
      </c>
      <c r="AM29">
        <v>26640</v>
      </c>
      <c r="AN29">
        <v>104432</v>
      </c>
      <c r="AO29">
        <v>20</v>
      </c>
      <c r="AP29">
        <v>131072</v>
      </c>
      <c r="AQ29">
        <v>80</v>
      </c>
      <c r="AR29" t="s">
        <v>1</v>
      </c>
      <c r="AS29" t="s">
        <v>2</v>
      </c>
      <c r="AT29" s="8">
        <v>68</v>
      </c>
      <c r="AU29">
        <v>26640</v>
      </c>
      <c r="AV29" s="5">
        <v>391.76470588235293</v>
      </c>
    </row>
    <row r="30" spans="1:48" x14ac:dyDescent="0.25">
      <c r="A30" s="3">
        <v>44256</v>
      </c>
      <c r="B30" t="s">
        <v>25</v>
      </c>
      <c r="C30">
        <v>94</v>
      </c>
      <c r="D30">
        <v>8950</v>
      </c>
      <c r="E30">
        <v>521</v>
      </c>
      <c r="F30">
        <v>8429</v>
      </c>
      <c r="G30">
        <v>6</v>
      </c>
      <c r="H30">
        <v>32768</v>
      </c>
      <c r="I30">
        <v>26</v>
      </c>
      <c r="J30" t="s">
        <v>1</v>
      </c>
      <c r="K30" t="s">
        <v>2</v>
      </c>
      <c r="L30" s="8">
        <f>InterspecUsage[[#This Row],[Used-MB]]-F20</f>
        <v>0</v>
      </c>
      <c r="M30">
        <f>InterspecUsage[[#This Row],[Max]]-InterspecUsage[[#This Row],[Used-MB]]</f>
        <v>24339</v>
      </c>
      <c r="N30" s="5">
        <f>IF($L30&gt;0,InterspecUsage[[#This Row],[Free-of-Max]]/InterspecUsage[[#This Row],[Usage-Delta-MB]],InterspecUsage[[#This Row],[Free-of-Max]])</f>
        <v>24339</v>
      </c>
      <c r="R30" s="3">
        <v>44438</v>
      </c>
      <c r="S30" t="s">
        <v>24</v>
      </c>
      <c r="T30">
        <v>98</v>
      </c>
      <c r="U30">
        <v>18000</v>
      </c>
      <c r="V30">
        <v>399</v>
      </c>
      <c r="W30">
        <v>17601</v>
      </c>
      <c r="X30">
        <v>2</v>
      </c>
      <c r="Y30">
        <v>32768</v>
      </c>
      <c r="Z30">
        <v>54</v>
      </c>
      <c r="AA30" t="s">
        <v>1</v>
      </c>
      <c r="AB30" t="s">
        <v>2</v>
      </c>
      <c r="AC30" s="8">
        <v>9</v>
      </c>
      <c r="AD30">
        <v>15167</v>
      </c>
      <c r="AE30" s="5">
        <v>1685.2222222222222</v>
      </c>
      <c r="AI30" s="3">
        <v>44438</v>
      </c>
      <c r="AJ30" t="s">
        <v>27</v>
      </c>
      <c r="AK30">
        <v>80</v>
      </c>
      <c r="AL30">
        <v>131072</v>
      </c>
      <c r="AM30">
        <v>26381</v>
      </c>
      <c r="AN30">
        <v>104691</v>
      </c>
      <c r="AO30">
        <v>20</v>
      </c>
      <c r="AP30">
        <v>131072</v>
      </c>
      <c r="AQ30">
        <v>80</v>
      </c>
      <c r="AR30" t="s">
        <v>1</v>
      </c>
      <c r="AS30" t="s">
        <v>2</v>
      </c>
      <c r="AT30" s="8">
        <v>259</v>
      </c>
      <c r="AU30">
        <v>26381</v>
      </c>
      <c r="AV30" s="5">
        <v>101.85714285714286</v>
      </c>
    </row>
    <row r="31" spans="1:48" x14ac:dyDescent="0.25">
      <c r="A31" s="3">
        <v>44256</v>
      </c>
      <c r="B31" t="s">
        <v>29</v>
      </c>
      <c r="C31">
        <v>0</v>
      </c>
      <c r="D31">
        <v>500</v>
      </c>
      <c r="E31">
        <v>499</v>
      </c>
      <c r="F31">
        <v>1</v>
      </c>
      <c r="G31">
        <v>100</v>
      </c>
      <c r="H31">
        <v>500</v>
      </c>
      <c r="I31">
        <v>0</v>
      </c>
      <c r="J31" t="s">
        <v>1</v>
      </c>
      <c r="K31" t="s">
        <v>2</v>
      </c>
      <c r="L31" s="8">
        <f>InterspecUsage[[#This Row],[Used-MB]]-F21</f>
        <v>0</v>
      </c>
      <c r="M31">
        <f>InterspecUsage[[#This Row],[Max]]-InterspecUsage[[#This Row],[Used-MB]]</f>
        <v>499</v>
      </c>
      <c r="N31" s="5">
        <f>IF($L31&gt;0,InterspecUsage[[#This Row],[Free-of-Max]]/InterspecUsage[[#This Row],[Usage-Delta-MB]],InterspecUsage[[#This Row],[Free-of-Max]])</f>
        <v>499</v>
      </c>
      <c r="R31" s="3">
        <v>44445</v>
      </c>
      <c r="S31" t="s">
        <v>24</v>
      </c>
      <c r="T31">
        <v>98</v>
      </c>
      <c r="U31">
        <v>18000</v>
      </c>
      <c r="V31">
        <v>327</v>
      </c>
      <c r="W31">
        <v>17673</v>
      </c>
      <c r="X31">
        <v>2</v>
      </c>
      <c r="Y31">
        <v>32768</v>
      </c>
      <c r="Z31">
        <v>54</v>
      </c>
      <c r="AA31" t="s">
        <v>1</v>
      </c>
      <c r="AB31" t="s">
        <v>2</v>
      </c>
      <c r="AC31" s="8">
        <v>72</v>
      </c>
      <c r="AD31">
        <v>15095</v>
      </c>
      <c r="AE31" s="5">
        <v>209.65277777777777</v>
      </c>
      <c r="AI31" s="3">
        <v>44445</v>
      </c>
      <c r="AJ31" t="s">
        <v>27</v>
      </c>
      <c r="AK31">
        <v>80</v>
      </c>
      <c r="AL31">
        <v>131072</v>
      </c>
      <c r="AM31">
        <v>26123</v>
      </c>
      <c r="AN31">
        <v>104949</v>
      </c>
      <c r="AO31">
        <v>20</v>
      </c>
      <c r="AP31">
        <v>131072</v>
      </c>
      <c r="AQ31">
        <v>80</v>
      </c>
      <c r="AR31" t="s">
        <v>1</v>
      </c>
      <c r="AS31" t="s">
        <v>2</v>
      </c>
      <c r="AT31" s="8">
        <v>258</v>
      </c>
      <c r="AU31">
        <v>26123</v>
      </c>
      <c r="AV31" s="5">
        <v>101.25193798449612</v>
      </c>
    </row>
    <row r="32" spans="1:48" x14ac:dyDescent="0.25">
      <c r="A32" s="3">
        <v>44263</v>
      </c>
      <c r="B32" t="s">
        <v>26</v>
      </c>
      <c r="C32">
        <v>92</v>
      </c>
      <c r="D32">
        <v>16288</v>
      </c>
      <c r="E32">
        <v>1228</v>
      </c>
      <c r="F32">
        <v>15060</v>
      </c>
      <c r="G32">
        <v>8</v>
      </c>
      <c r="H32">
        <v>40960</v>
      </c>
      <c r="I32">
        <v>37</v>
      </c>
      <c r="J32" t="s">
        <v>1</v>
      </c>
      <c r="K32" t="s">
        <v>2</v>
      </c>
      <c r="L32" s="8">
        <f>InterspecUsage[[#This Row],[Used-MB]]-F22</f>
        <v>64</v>
      </c>
      <c r="M32">
        <f>InterspecUsage[[#This Row],[Max]]-InterspecUsage[[#This Row],[Used-MB]]</f>
        <v>25900</v>
      </c>
      <c r="N32" s="5">
        <f>IF($L32&gt;0,InterspecUsage[[#This Row],[Free-of-Max]]/InterspecUsage[[#This Row],[Usage-Delta-MB]],InterspecUsage[[#This Row],[Free-of-Max]])</f>
        <v>404.6875</v>
      </c>
      <c r="R32" s="3">
        <v>44452</v>
      </c>
      <c r="S32" t="s">
        <v>24</v>
      </c>
      <c r="T32">
        <v>98</v>
      </c>
      <c r="U32">
        <v>18000</v>
      </c>
      <c r="V32">
        <v>326</v>
      </c>
      <c r="W32">
        <v>17674</v>
      </c>
      <c r="X32">
        <v>2</v>
      </c>
      <c r="Y32">
        <v>32768</v>
      </c>
      <c r="Z32">
        <v>54</v>
      </c>
      <c r="AA32" t="s">
        <v>1</v>
      </c>
      <c r="AB32" t="s">
        <v>2</v>
      </c>
      <c r="AC32" s="8">
        <v>1</v>
      </c>
      <c r="AD32">
        <v>15094</v>
      </c>
      <c r="AE32" s="5">
        <v>15094</v>
      </c>
      <c r="AI32" s="3">
        <v>44452</v>
      </c>
      <c r="AJ32" t="s">
        <v>27</v>
      </c>
      <c r="AK32">
        <v>80</v>
      </c>
      <c r="AL32">
        <v>131072</v>
      </c>
      <c r="AM32">
        <v>26059</v>
      </c>
      <c r="AN32">
        <v>105013</v>
      </c>
      <c r="AO32">
        <v>20</v>
      </c>
      <c r="AP32">
        <v>131072</v>
      </c>
      <c r="AQ32">
        <v>80</v>
      </c>
      <c r="AR32" t="s">
        <v>1</v>
      </c>
      <c r="AS32" t="s">
        <v>2</v>
      </c>
      <c r="AT32" s="8">
        <v>64</v>
      </c>
      <c r="AU32">
        <v>26059</v>
      </c>
      <c r="AV32" s="5">
        <v>407.171875</v>
      </c>
    </row>
    <row r="33" spans="1:48" x14ac:dyDescent="0.25">
      <c r="A33" s="3">
        <v>44263</v>
      </c>
      <c r="B33" t="s">
        <v>24</v>
      </c>
      <c r="C33">
        <v>94</v>
      </c>
      <c r="D33">
        <v>18000</v>
      </c>
      <c r="E33">
        <v>1001</v>
      </c>
      <c r="F33">
        <v>16999</v>
      </c>
      <c r="G33">
        <v>6</v>
      </c>
      <c r="H33">
        <v>32768</v>
      </c>
      <c r="I33">
        <v>52</v>
      </c>
      <c r="J33" t="s">
        <v>1</v>
      </c>
      <c r="K33" t="s">
        <v>2</v>
      </c>
      <c r="L33" s="8">
        <f>InterspecUsage[[#This Row],[Used-MB]]-F23</f>
        <v>8</v>
      </c>
      <c r="M33">
        <f>InterspecUsage[[#This Row],[Max]]-InterspecUsage[[#This Row],[Used-MB]]</f>
        <v>15769</v>
      </c>
      <c r="N33" s="5">
        <f>IF($L33&gt;0,InterspecUsage[[#This Row],[Free-of-Max]]/InterspecUsage[[#This Row],[Usage-Delta-MB]],InterspecUsage[[#This Row],[Free-of-Max]])</f>
        <v>1971.125</v>
      </c>
      <c r="R33" s="3">
        <v>44459</v>
      </c>
      <c r="S33" t="s">
        <v>24</v>
      </c>
      <c r="T33">
        <v>98</v>
      </c>
      <c r="U33">
        <v>18000</v>
      </c>
      <c r="V33">
        <v>326</v>
      </c>
      <c r="W33">
        <v>17674</v>
      </c>
      <c r="X33">
        <v>2</v>
      </c>
      <c r="Y33">
        <v>32768</v>
      </c>
      <c r="Z33">
        <v>54</v>
      </c>
      <c r="AA33" t="s">
        <v>1</v>
      </c>
      <c r="AB33" t="s">
        <v>2</v>
      </c>
      <c r="AC33" s="8">
        <v>0</v>
      </c>
      <c r="AD33">
        <v>15094</v>
      </c>
      <c r="AE33" s="5">
        <v>15094</v>
      </c>
      <c r="AI33" s="3">
        <v>44459</v>
      </c>
      <c r="AJ33" t="s">
        <v>27</v>
      </c>
      <c r="AK33">
        <v>80</v>
      </c>
      <c r="AL33">
        <v>131072</v>
      </c>
      <c r="AM33">
        <v>25865</v>
      </c>
      <c r="AN33">
        <v>105207</v>
      </c>
      <c r="AO33">
        <v>20</v>
      </c>
      <c r="AP33">
        <v>131072</v>
      </c>
      <c r="AQ33">
        <v>80</v>
      </c>
      <c r="AR33" t="s">
        <v>1</v>
      </c>
      <c r="AS33" t="s">
        <v>2</v>
      </c>
      <c r="AT33" s="8">
        <v>194</v>
      </c>
      <c r="AU33">
        <v>25865</v>
      </c>
      <c r="AV33" s="5">
        <v>133.32474226804123</v>
      </c>
    </row>
    <row r="34" spans="1:48" x14ac:dyDescent="0.25">
      <c r="A34" s="3">
        <v>44263</v>
      </c>
      <c r="B34" s="7" t="s">
        <v>35</v>
      </c>
      <c r="C34">
        <v>95</v>
      </c>
      <c r="D34">
        <v>19600</v>
      </c>
      <c r="E34">
        <v>972</v>
      </c>
      <c r="F34">
        <v>18628</v>
      </c>
      <c r="G34">
        <v>5</v>
      </c>
      <c r="H34">
        <v>32768</v>
      </c>
      <c r="I34">
        <v>57</v>
      </c>
      <c r="J34" t="s">
        <v>1</v>
      </c>
      <c r="K34" t="s">
        <v>2</v>
      </c>
      <c r="L34" s="8">
        <f>InterspecUsage[[#This Row],[Used-MB]]-F24</f>
        <v>129</v>
      </c>
      <c r="M34">
        <f>InterspecUsage[[#This Row],[Max]]-InterspecUsage[[#This Row],[Used-MB]]</f>
        <v>14140</v>
      </c>
      <c r="N34" s="5">
        <f>IF($L34&gt;0,InterspecUsage[[#This Row],[Free-of-Max]]/InterspecUsage[[#This Row],[Usage-Delta-MB]],InterspecUsage[[#This Row],[Free-of-Max]])</f>
        <v>109.6124031007752</v>
      </c>
      <c r="R34" s="3">
        <v>44469</v>
      </c>
      <c r="S34" t="s">
        <v>24</v>
      </c>
      <c r="T34">
        <v>99</v>
      </c>
      <c r="U34">
        <v>18000</v>
      </c>
      <c r="V34">
        <v>253</v>
      </c>
      <c r="W34">
        <v>17748</v>
      </c>
      <c r="X34">
        <v>1</v>
      </c>
      <c r="Y34">
        <v>32768</v>
      </c>
      <c r="Z34">
        <v>54</v>
      </c>
      <c r="AA34" t="s">
        <v>1</v>
      </c>
      <c r="AB34" t="s">
        <v>2</v>
      </c>
      <c r="AC34" s="8">
        <v>74</v>
      </c>
      <c r="AD34">
        <v>15020</v>
      </c>
      <c r="AE34" s="5">
        <v>202.97297297297297</v>
      </c>
      <c r="AI34" s="3">
        <v>44469</v>
      </c>
      <c r="AJ34" t="s">
        <v>27</v>
      </c>
      <c r="AK34">
        <v>81</v>
      </c>
      <c r="AL34">
        <v>131072</v>
      </c>
      <c r="AM34">
        <v>24694</v>
      </c>
      <c r="AN34">
        <v>106378</v>
      </c>
      <c r="AO34">
        <v>19</v>
      </c>
      <c r="AP34">
        <v>131072</v>
      </c>
      <c r="AQ34">
        <v>81</v>
      </c>
      <c r="AR34" t="s">
        <v>1</v>
      </c>
      <c r="AS34" t="s">
        <v>2</v>
      </c>
      <c r="AT34" s="8">
        <v>1171</v>
      </c>
      <c r="AU34">
        <v>24694</v>
      </c>
      <c r="AV34" s="5">
        <v>21.087959009393682</v>
      </c>
    </row>
    <row r="35" spans="1:48" x14ac:dyDescent="0.25">
      <c r="A35" s="3">
        <v>44263</v>
      </c>
      <c r="B35" t="s">
        <v>27</v>
      </c>
      <c r="C35">
        <v>72</v>
      </c>
      <c r="D35">
        <v>131072</v>
      </c>
      <c r="E35">
        <v>37149</v>
      </c>
      <c r="F35">
        <v>93923</v>
      </c>
      <c r="G35">
        <v>28</v>
      </c>
      <c r="H35">
        <v>131072</v>
      </c>
      <c r="I35">
        <v>72</v>
      </c>
      <c r="J35" t="s">
        <v>1</v>
      </c>
      <c r="K35" t="s">
        <v>2</v>
      </c>
      <c r="L35" s="8">
        <f>InterspecUsage[[#This Row],[Used-MB]]-F25</f>
        <v>577</v>
      </c>
      <c r="M35">
        <f>InterspecUsage[[#This Row],[Max]]-InterspecUsage[[#This Row],[Used-MB]]</f>
        <v>37149</v>
      </c>
      <c r="N35" s="5">
        <f>IF($L35&gt;0,InterspecUsage[[#This Row],[Free-of-Max]]/InterspecUsage[[#This Row],[Usage-Delta-MB]],InterspecUsage[[#This Row],[Free-of-Max]])</f>
        <v>64.383015597920277</v>
      </c>
      <c r="R35" s="3">
        <v>44473</v>
      </c>
      <c r="S35" t="s">
        <v>24</v>
      </c>
      <c r="T35">
        <v>99</v>
      </c>
      <c r="U35">
        <v>18000</v>
      </c>
      <c r="V35">
        <v>245</v>
      </c>
      <c r="W35">
        <v>17756</v>
      </c>
      <c r="X35">
        <v>1</v>
      </c>
      <c r="Y35">
        <v>32768</v>
      </c>
      <c r="Z35">
        <v>54</v>
      </c>
      <c r="AA35" t="s">
        <v>1</v>
      </c>
      <c r="AB35" t="s">
        <v>2</v>
      </c>
      <c r="AC35" s="8">
        <v>8</v>
      </c>
      <c r="AD35">
        <v>15012</v>
      </c>
      <c r="AE35" s="5">
        <v>1876.5</v>
      </c>
      <c r="AI35" s="3">
        <v>44473</v>
      </c>
      <c r="AJ35" t="s">
        <v>27</v>
      </c>
      <c r="AK35">
        <v>81</v>
      </c>
      <c r="AL35">
        <v>131072</v>
      </c>
      <c r="AM35">
        <v>24500</v>
      </c>
      <c r="AN35">
        <v>106572</v>
      </c>
      <c r="AO35">
        <v>19</v>
      </c>
      <c r="AP35">
        <v>131072</v>
      </c>
      <c r="AQ35">
        <v>81</v>
      </c>
      <c r="AR35" t="s">
        <v>1</v>
      </c>
      <c r="AS35" t="s">
        <v>2</v>
      </c>
      <c r="AT35" s="8">
        <v>194</v>
      </c>
      <c r="AU35">
        <v>24500</v>
      </c>
      <c r="AV35" s="5">
        <v>126.28865979381443</v>
      </c>
    </row>
    <row r="36" spans="1:48" x14ac:dyDescent="0.25">
      <c r="A36" s="3">
        <v>44263</v>
      </c>
      <c r="B36" t="s">
        <v>7</v>
      </c>
      <c r="C36">
        <v>94</v>
      </c>
      <c r="D36">
        <v>810</v>
      </c>
      <c r="E36">
        <v>48</v>
      </c>
      <c r="F36">
        <v>763</v>
      </c>
      <c r="G36">
        <v>6</v>
      </c>
      <c r="H36">
        <v>32768</v>
      </c>
      <c r="I36">
        <v>2</v>
      </c>
      <c r="J36" t="s">
        <v>1</v>
      </c>
      <c r="K36" t="s">
        <v>2</v>
      </c>
      <c r="L36" s="8">
        <f>InterspecUsage[[#This Row],[Used-MB]]-F26</f>
        <v>9</v>
      </c>
      <c r="M36">
        <f>InterspecUsage[[#This Row],[Max]]-InterspecUsage[[#This Row],[Used-MB]]</f>
        <v>32005</v>
      </c>
      <c r="N36" s="5">
        <f>IF($L36&gt;0,InterspecUsage[[#This Row],[Free-of-Max]]/InterspecUsage[[#This Row],[Usage-Delta-MB]],InterspecUsage[[#This Row],[Free-of-Max]])</f>
        <v>3556.1111111111113</v>
      </c>
      <c r="R36" s="3">
        <v>44480</v>
      </c>
      <c r="S36" t="s">
        <v>24</v>
      </c>
      <c r="T36">
        <v>99</v>
      </c>
      <c r="U36">
        <v>18000</v>
      </c>
      <c r="V36">
        <v>243</v>
      </c>
      <c r="W36">
        <v>17758</v>
      </c>
      <c r="X36">
        <v>1</v>
      </c>
      <c r="Y36">
        <v>32768</v>
      </c>
      <c r="Z36">
        <v>54</v>
      </c>
      <c r="AA36" t="s">
        <v>1</v>
      </c>
      <c r="AB36" t="s">
        <v>2</v>
      </c>
      <c r="AC36" s="8">
        <v>2</v>
      </c>
      <c r="AD36">
        <v>15010</v>
      </c>
      <c r="AE36" s="5">
        <v>7505</v>
      </c>
      <c r="AI36" s="3">
        <v>44480</v>
      </c>
      <c r="AJ36" t="s">
        <v>27</v>
      </c>
      <c r="AK36">
        <v>82</v>
      </c>
      <c r="AL36">
        <v>131072</v>
      </c>
      <c r="AM36">
        <v>24052</v>
      </c>
      <c r="AN36">
        <v>107020</v>
      </c>
      <c r="AO36">
        <v>18</v>
      </c>
      <c r="AP36">
        <v>131072</v>
      </c>
      <c r="AQ36">
        <v>82</v>
      </c>
      <c r="AR36" t="s">
        <v>1</v>
      </c>
      <c r="AS36" t="s">
        <v>2</v>
      </c>
      <c r="AT36" s="8">
        <v>448</v>
      </c>
      <c r="AU36">
        <v>24052</v>
      </c>
      <c r="AV36" s="5">
        <v>53.6875</v>
      </c>
    </row>
    <row r="37" spans="1:48" x14ac:dyDescent="0.25">
      <c r="A37" s="3">
        <v>44263</v>
      </c>
      <c r="B37" t="s">
        <v>0</v>
      </c>
      <c r="C37">
        <v>100</v>
      </c>
      <c r="D37">
        <v>2690</v>
      </c>
      <c r="E37">
        <v>8</v>
      </c>
      <c r="F37">
        <v>2683</v>
      </c>
      <c r="G37">
        <v>0</v>
      </c>
      <c r="H37">
        <v>32768</v>
      </c>
      <c r="I37">
        <v>8</v>
      </c>
      <c r="J37" t="s">
        <v>1</v>
      </c>
      <c r="K37" t="s">
        <v>2</v>
      </c>
      <c r="L37" s="8">
        <f>InterspecUsage[[#This Row],[Used-MB]]-F27</f>
        <v>64</v>
      </c>
      <c r="M37">
        <f>InterspecUsage[[#This Row],[Max]]-InterspecUsage[[#This Row],[Used-MB]]</f>
        <v>30085</v>
      </c>
      <c r="N37" s="5">
        <f>IF($L37&gt;0,InterspecUsage[[#This Row],[Free-of-Max]]/InterspecUsage[[#This Row],[Usage-Delta-MB]],InterspecUsage[[#This Row],[Free-of-Max]])</f>
        <v>470.078125</v>
      </c>
      <c r="R37" s="3">
        <v>44487</v>
      </c>
      <c r="S37" t="s">
        <v>24</v>
      </c>
      <c r="T37">
        <v>99</v>
      </c>
      <c r="U37">
        <v>18000</v>
      </c>
      <c r="V37">
        <v>178</v>
      </c>
      <c r="W37">
        <v>17823</v>
      </c>
      <c r="X37">
        <v>1</v>
      </c>
      <c r="Y37">
        <v>32768</v>
      </c>
      <c r="Z37">
        <v>54</v>
      </c>
      <c r="AA37" t="s">
        <v>1</v>
      </c>
      <c r="AB37" t="s">
        <v>2</v>
      </c>
      <c r="AC37" s="8">
        <v>65</v>
      </c>
      <c r="AD37">
        <v>14945</v>
      </c>
      <c r="AE37" s="5">
        <v>229.92307692307693</v>
      </c>
      <c r="AI37" s="3">
        <v>44487</v>
      </c>
      <c r="AJ37" t="s">
        <v>27</v>
      </c>
      <c r="AK37">
        <v>82</v>
      </c>
      <c r="AL37">
        <v>131072</v>
      </c>
      <c r="AM37">
        <v>23530</v>
      </c>
      <c r="AN37">
        <v>107542</v>
      </c>
      <c r="AO37">
        <v>18</v>
      </c>
      <c r="AP37">
        <v>131072</v>
      </c>
      <c r="AQ37">
        <v>82</v>
      </c>
      <c r="AR37" t="s">
        <v>1</v>
      </c>
      <c r="AS37" t="s">
        <v>2</v>
      </c>
      <c r="AT37" s="8">
        <v>522</v>
      </c>
      <c r="AU37">
        <v>23530</v>
      </c>
      <c r="AV37" s="5">
        <v>45.076628352490424</v>
      </c>
    </row>
    <row r="38" spans="1:48" x14ac:dyDescent="0.25">
      <c r="A38" s="3">
        <v>44263</v>
      </c>
      <c r="B38" t="s">
        <v>30</v>
      </c>
      <c r="C38">
        <v>0</v>
      </c>
      <c r="D38">
        <v>32767</v>
      </c>
      <c r="E38">
        <v>32743</v>
      </c>
      <c r="F38">
        <v>24</v>
      </c>
      <c r="G38">
        <v>100</v>
      </c>
      <c r="H38">
        <v>32768</v>
      </c>
      <c r="I38">
        <v>0</v>
      </c>
      <c r="J38" t="s">
        <v>1</v>
      </c>
      <c r="K38" t="s">
        <v>13</v>
      </c>
      <c r="L38" s="8">
        <f>InterspecUsage[[#This Row],[Used-MB]]-F28</f>
        <v>12</v>
      </c>
      <c r="M38">
        <f>InterspecUsage[[#This Row],[Max]]-InterspecUsage[[#This Row],[Used-MB]]</f>
        <v>32744</v>
      </c>
      <c r="N38" s="5">
        <f>IF($L38&gt;0,InterspecUsage[[#This Row],[Free-of-Max]]/InterspecUsage[[#This Row],[Usage-Delta-MB]],InterspecUsage[[#This Row],[Free-of-Max]])</f>
        <v>2728.6666666666665</v>
      </c>
      <c r="R38" s="3">
        <v>44494</v>
      </c>
      <c r="S38" t="s">
        <v>24</v>
      </c>
      <c r="T38">
        <v>99</v>
      </c>
      <c r="U38">
        <v>18000</v>
      </c>
      <c r="V38">
        <v>177</v>
      </c>
      <c r="W38">
        <v>17824</v>
      </c>
      <c r="X38">
        <v>1</v>
      </c>
      <c r="Y38">
        <v>32768</v>
      </c>
      <c r="Z38">
        <v>54</v>
      </c>
      <c r="AA38" t="s">
        <v>1</v>
      </c>
      <c r="AB38" t="s">
        <v>2</v>
      </c>
      <c r="AC38" s="8">
        <v>1</v>
      </c>
      <c r="AD38">
        <v>14944</v>
      </c>
      <c r="AE38" s="5">
        <v>14944</v>
      </c>
      <c r="AI38" s="3">
        <v>44494</v>
      </c>
      <c r="AJ38" t="s">
        <v>27</v>
      </c>
      <c r="AK38">
        <v>82</v>
      </c>
      <c r="AL38">
        <v>131072</v>
      </c>
      <c r="AM38">
        <v>23384</v>
      </c>
      <c r="AN38">
        <v>107688</v>
      </c>
      <c r="AO38">
        <v>18</v>
      </c>
      <c r="AP38">
        <v>131072</v>
      </c>
      <c r="AQ38">
        <v>82</v>
      </c>
      <c r="AR38" t="s">
        <v>1</v>
      </c>
      <c r="AS38" t="s">
        <v>2</v>
      </c>
      <c r="AT38" s="8">
        <v>146</v>
      </c>
      <c r="AU38">
        <v>23384</v>
      </c>
      <c r="AV38" s="5">
        <v>160.16438356164383</v>
      </c>
    </row>
    <row r="39" spans="1:48" x14ac:dyDescent="0.25">
      <c r="A39" s="3">
        <v>44263</v>
      </c>
      <c r="B39" t="s">
        <v>28</v>
      </c>
      <c r="C39">
        <v>24</v>
      </c>
      <c r="D39">
        <v>16400</v>
      </c>
      <c r="E39">
        <v>12462</v>
      </c>
      <c r="F39">
        <v>3938</v>
      </c>
      <c r="G39">
        <v>76</v>
      </c>
      <c r="H39">
        <v>32768</v>
      </c>
      <c r="I39">
        <v>12</v>
      </c>
      <c r="J39" t="s">
        <v>1</v>
      </c>
      <c r="K39" t="s">
        <v>10</v>
      </c>
      <c r="L39" s="8">
        <f>InterspecUsage[[#This Row],[Used-MB]]-F29</f>
        <v>-17</v>
      </c>
      <c r="M39">
        <f>InterspecUsage[[#This Row],[Max]]-InterspecUsage[[#This Row],[Used-MB]]</f>
        <v>28830</v>
      </c>
      <c r="N39" s="5">
        <f>IF($L39&gt;0,InterspecUsage[[#This Row],[Free-of-Max]]/InterspecUsage[[#This Row],[Usage-Delta-MB]],InterspecUsage[[#This Row],[Free-of-Max]])</f>
        <v>28830</v>
      </c>
      <c r="R39" s="3">
        <v>44501</v>
      </c>
      <c r="S39" t="s">
        <v>24</v>
      </c>
      <c r="T39">
        <v>99</v>
      </c>
      <c r="U39">
        <v>18000</v>
      </c>
      <c r="V39">
        <v>177</v>
      </c>
      <c r="W39">
        <v>17824</v>
      </c>
      <c r="X39">
        <v>1</v>
      </c>
      <c r="Y39">
        <v>32768</v>
      </c>
      <c r="Z39">
        <v>54</v>
      </c>
      <c r="AA39" t="s">
        <v>1</v>
      </c>
      <c r="AB39" t="s">
        <v>2</v>
      </c>
      <c r="AC39" s="8">
        <v>0</v>
      </c>
      <c r="AD39">
        <v>14944</v>
      </c>
      <c r="AE39" s="5">
        <v>14944</v>
      </c>
      <c r="AI39" s="3">
        <v>44501</v>
      </c>
      <c r="AJ39" t="s">
        <v>27</v>
      </c>
      <c r="AK39">
        <v>82</v>
      </c>
      <c r="AL39">
        <v>131072</v>
      </c>
      <c r="AM39">
        <v>23183</v>
      </c>
      <c r="AN39">
        <v>107889</v>
      </c>
      <c r="AO39">
        <v>18</v>
      </c>
      <c r="AP39">
        <v>131072</v>
      </c>
      <c r="AQ39">
        <v>82</v>
      </c>
      <c r="AR39" t="s">
        <v>1</v>
      </c>
      <c r="AS39" t="s">
        <v>2</v>
      </c>
      <c r="AT39" s="8">
        <v>201</v>
      </c>
      <c r="AU39">
        <v>23183</v>
      </c>
      <c r="AV39" s="5">
        <v>115.33830845771145</v>
      </c>
    </row>
    <row r="40" spans="1:48" x14ac:dyDescent="0.25">
      <c r="A40" s="3">
        <v>44263</v>
      </c>
      <c r="B40" t="s">
        <v>25</v>
      </c>
      <c r="C40">
        <v>94</v>
      </c>
      <c r="D40">
        <v>8950</v>
      </c>
      <c r="E40">
        <v>521</v>
      </c>
      <c r="F40">
        <v>8429</v>
      </c>
      <c r="G40">
        <v>6</v>
      </c>
      <c r="H40">
        <v>32768</v>
      </c>
      <c r="I40">
        <v>26</v>
      </c>
      <c r="J40" t="s">
        <v>1</v>
      </c>
      <c r="K40" t="s">
        <v>2</v>
      </c>
      <c r="L40" s="8">
        <f>InterspecUsage[[#This Row],[Used-MB]]-F30</f>
        <v>0</v>
      </c>
      <c r="M40">
        <f>InterspecUsage[[#This Row],[Max]]-InterspecUsage[[#This Row],[Used-MB]]</f>
        <v>24339</v>
      </c>
      <c r="N40" s="5">
        <f>IF($L40&gt;0,InterspecUsage[[#This Row],[Free-of-Max]]/InterspecUsage[[#This Row],[Usage-Delta-MB]],InterspecUsage[[#This Row],[Free-of-Max]])</f>
        <v>24339</v>
      </c>
      <c r="R40" s="3">
        <v>44508</v>
      </c>
      <c r="S40" t="s">
        <v>24</v>
      </c>
      <c r="T40">
        <v>99</v>
      </c>
      <c r="U40">
        <v>18000</v>
      </c>
      <c r="V40">
        <v>175</v>
      </c>
      <c r="W40">
        <v>17826</v>
      </c>
      <c r="X40">
        <v>1</v>
      </c>
      <c r="Y40">
        <v>32768</v>
      </c>
      <c r="Z40">
        <v>54</v>
      </c>
      <c r="AA40" t="s">
        <v>1</v>
      </c>
      <c r="AB40" t="s">
        <v>2</v>
      </c>
      <c r="AC40" s="8">
        <v>2</v>
      </c>
      <c r="AD40">
        <v>14942</v>
      </c>
      <c r="AE40" s="5">
        <v>7471</v>
      </c>
      <c r="AI40" s="3">
        <v>44508</v>
      </c>
      <c r="AJ40" t="s">
        <v>27</v>
      </c>
      <c r="AK40">
        <v>82</v>
      </c>
      <c r="AL40">
        <v>131072</v>
      </c>
      <c r="AM40">
        <v>23119</v>
      </c>
      <c r="AN40">
        <v>107953</v>
      </c>
      <c r="AO40">
        <v>18</v>
      </c>
      <c r="AP40">
        <v>131072</v>
      </c>
      <c r="AQ40">
        <v>82</v>
      </c>
      <c r="AR40" t="s">
        <v>1</v>
      </c>
      <c r="AS40" t="s">
        <v>2</v>
      </c>
      <c r="AT40" s="8">
        <v>64</v>
      </c>
      <c r="AU40">
        <v>23119</v>
      </c>
      <c r="AV40" s="5">
        <v>361.234375</v>
      </c>
    </row>
    <row r="41" spans="1:48" x14ac:dyDescent="0.25">
      <c r="A41" s="3">
        <v>44263</v>
      </c>
      <c r="B41" t="s">
        <v>29</v>
      </c>
      <c r="C41">
        <v>0</v>
      </c>
      <c r="D41">
        <v>500</v>
      </c>
      <c r="E41">
        <v>499</v>
      </c>
      <c r="F41">
        <v>1</v>
      </c>
      <c r="G41">
        <v>100</v>
      </c>
      <c r="H41">
        <v>500</v>
      </c>
      <c r="I41">
        <v>0</v>
      </c>
      <c r="J41" t="s">
        <v>1</v>
      </c>
      <c r="K41" t="s">
        <v>2</v>
      </c>
      <c r="L41" s="8">
        <f>InterspecUsage[[#This Row],[Used-MB]]-F31</f>
        <v>0</v>
      </c>
      <c r="M41">
        <f>InterspecUsage[[#This Row],[Max]]-InterspecUsage[[#This Row],[Used-MB]]</f>
        <v>499</v>
      </c>
      <c r="N41" s="5">
        <f>IF($L41&gt;0,InterspecUsage[[#This Row],[Free-of-Max]]/InterspecUsage[[#This Row],[Usage-Delta-MB]],InterspecUsage[[#This Row],[Free-of-Max]])</f>
        <v>499</v>
      </c>
      <c r="R41" s="3">
        <v>44515</v>
      </c>
      <c r="S41" t="s">
        <v>24</v>
      </c>
      <c r="T41">
        <v>99</v>
      </c>
      <c r="U41">
        <v>18000</v>
      </c>
      <c r="V41">
        <v>173</v>
      </c>
      <c r="W41">
        <v>17827</v>
      </c>
      <c r="X41">
        <v>1</v>
      </c>
      <c r="Y41">
        <v>32768</v>
      </c>
      <c r="Z41">
        <v>54</v>
      </c>
      <c r="AA41" t="s">
        <v>1</v>
      </c>
      <c r="AB41" t="s">
        <v>2</v>
      </c>
      <c r="AC41" s="8">
        <v>1</v>
      </c>
      <c r="AD41">
        <v>14941</v>
      </c>
      <c r="AE41" s="5">
        <v>14941</v>
      </c>
      <c r="AI41" s="3">
        <v>44515</v>
      </c>
      <c r="AJ41" t="s">
        <v>27</v>
      </c>
      <c r="AK41">
        <v>83</v>
      </c>
      <c r="AL41">
        <v>131072</v>
      </c>
      <c r="AM41">
        <v>22734</v>
      </c>
      <c r="AN41">
        <v>108338</v>
      </c>
      <c r="AO41">
        <v>17</v>
      </c>
      <c r="AP41">
        <v>131072</v>
      </c>
      <c r="AQ41">
        <v>83</v>
      </c>
      <c r="AR41" t="s">
        <v>1</v>
      </c>
      <c r="AS41" t="s">
        <v>2</v>
      </c>
      <c r="AT41" s="8">
        <v>385</v>
      </c>
      <c r="AU41">
        <v>22734</v>
      </c>
      <c r="AV41" s="5">
        <v>59.04935064935065</v>
      </c>
    </row>
    <row r="42" spans="1:48" x14ac:dyDescent="0.25">
      <c r="A42" s="3">
        <v>44270</v>
      </c>
      <c r="B42" t="s">
        <v>26</v>
      </c>
      <c r="C42">
        <v>92</v>
      </c>
      <c r="D42">
        <v>16288</v>
      </c>
      <c r="E42">
        <v>1228</v>
      </c>
      <c r="F42">
        <v>15060</v>
      </c>
      <c r="G42">
        <v>8</v>
      </c>
      <c r="H42">
        <v>40960</v>
      </c>
      <c r="I42">
        <v>37</v>
      </c>
      <c r="J42" t="s">
        <v>1</v>
      </c>
      <c r="K42" t="s">
        <v>2</v>
      </c>
      <c r="L42" s="8">
        <f>InterspecUsage[[#This Row],[Used-MB]]-F32</f>
        <v>0</v>
      </c>
      <c r="M42">
        <f>InterspecUsage[[#This Row],[Max]]-InterspecUsage[[#This Row],[Used-MB]]</f>
        <v>25900</v>
      </c>
      <c r="N42" s="5">
        <f>IF($L42&gt;0,InterspecUsage[[#This Row],[Free-of-Max]]/InterspecUsage[[#This Row],[Usage-Delta-MB]],InterspecUsage[[#This Row],[Free-of-Max]])</f>
        <v>25900</v>
      </c>
      <c r="R42" s="3">
        <v>44523</v>
      </c>
      <c r="S42" t="s">
        <v>24</v>
      </c>
      <c r="T42">
        <v>99</v>
      </c>
      <c r="U42">
        <v>18000</v>
      </c>
      <c r="V42">
        <v>172</v>
      </c>
      <c r="W42">
        <v>17828</v>
      </c>
      <c r="X42">
        <v>1</v>
      </c>
      <c r="Y42">
        <v>32768</v>
      </c>
      <c r="Z42">
        <v>54</v>
      </c>
      <c r="AA42" t="s">
        <v>1</v>
      </c>
      <c r="AB42" t="s">
        <v>2</v>
      </c>
      <c r="AC42" s="8">
        <v>1</v>
      </c>
      <c r="AD42">
        <v>14940</v>
      </c>
      <c r="AE42" s="5">
        <v>14940</v>
      </c>
      <c r="AI42" s="3">
        <v>44523</v>
      </c>
      <c r="AJ42" t="s">
        <v>27</v>
      </c>
      <c r="AK42">
        <v>83</v>
      </c>
      <c r="AL42">
        <v>131072</v>
      </c>
      <c r="AM42">
        <v>22605</v>
      </c>
      <c r="AN42">
        <v>108467</v>
      </c>
      <c r="AO42">
        <v>17</v>
      </c>
      <c r="AP42">
        <v>131072</v>
      </c>
      <c r="AQ42">
        <v>83</v>
      </c>
      <c r="AR42" t="s">
        <v>1</v>
      </c>
      <c r="AS42" t="s">
        <v>2</v>
      </c>
      <c r="AT42" s="8">
        <v>129</v>
      </c>
      <c r="AU42">
        <v>22605</v>
      </c>
      <c r="AV42" s="5">
        <v>175.23255813953489</v>
      </c>
    </row>
    <row r="43" spans="1:48" x14ac:dyDescent="0.25">
      <c r="A43" s="3">
        <v>44270</v>
      </c>
      <c r="B43" t="s">
        <v>24</v>
      </c>
      <c r="C43">
        <v>95</v>
      </c>
      <c r="D43">
        <v>18000</v>
      </c>
      <c r="E43">
        <v>936</v>
      </c>
      <c r="F43">
        <v>17064</v>
      </c>
      <c r="G43">
        <v>5</v>
      </c>
      <c r="H43">
        <v>32768</v>
      </c>
      <c r="I43">
        <v>52</v>
      </c>
      <c r="J43" t="s">
        <v>1</v>
      </c>
      <c r="K43" t="s">
        <v>2</v>
      </c>
      <c r="L43" s="8">
        <f>InterspecUsage[[#This Row],[Used-MB]]-F33</f>
        <v>65</v>
      </c>
      <c r="M43">
        <f>InterspecUsage[[#This Row],[Max]]-InterspecUsage[[#This Row],[Used-MB]]</f>
        <v>15704</v>
      </c>
      <c r="N43" s="5">
        <f>IF($L43&gt;0,InterspecUsage[[#This Row],[Free-of-Max]]/InterspecUsage[[#This Row],[Usage-Delta-MB]],InterspecUsage[[#This Row],[Free-of-Max]])</f>
        <v>241.6</v>
      </c>
      <c r="R43" s="3">
        <v>44529</v>
      </c>
      <c r="S43" t="s">
        <v>24</v>
      </c>
      <c r="T43">
        <v>99</v>
      </c>
      <c r="U43">
        <v>18000</v>
      </c>
      <c r="V43">
        <v>172</v>
      </c>
      <c r="W43">
        <v>17828</v>
      </c>
      <c r="X43">
        <v>1</v>
      </c>
      <c r="Y43">
        <v>32768</v>
      </c>
      <c r="Z43">
        <v>54</v>
      </c>
      <c r="AA43" t="s">
        <v>1</v>
      </c>
      <c r="AB43" t="s">
        <v>2</v>
      </c>
      <c r="AC43" s="8">
        <v>0</v>
      </c>
      <c r="AD43">
        <v>14940</v>
      </c>
      <c r="AE43" s="5">
        <v>14940</v>
      </c>
      <c r="AI43" s="3">
        <v>44529</v>
      </c>
      <c r="AJ43" t="s">
        <v>27</v>
      </c>
      <c r="AK43">
        <v>83</v>
      </c>
      <c r="AL43">
        <v>131072</v>
      </c>
      <c r="AM43">
        <v>22412</v>
      </c>
      <c r="AN43">
        <v>108660</v>
      </c>
      <c r="AO43">
        <v>17</v>
      </c>
      <c r="AP43">
        <v>131072</v>
      </c>
      <c r="AQ43">
        <v>83</v>
      </c>
      <c r="AR43" t="s">
        <v>1</v>
      </c>
      <c r="AS43" t="s">
        <v>2</v>
      </c>
      <c r="AT43" s="8">
        <v>193</v>
      </c>
      <c r="AU43">
        <v>22412</v>
      </c>
      <c r="AV43" s="5">
        <v>116.12435233160622</v>
      </c>
    </row>
    <row r="44" spans="1:48" x14ac:dyDescent="0.25">
      <c r="A44" s="3">
        <v>44270</v>
      </c>
      <c r="B44" t="s">
        <v>35</v>
      </c>
      <c r="C44">
        <v>94</v>
      </c>
      <c r="D44">
        <v>19800</v>
      </c>
      <c r="E44">
        <v>1108</v>
      </c>
      <c r="F44">
        <v>18692</v>
      </c>
      <c r="G44">
        <v>6</v>
      </c>
      <c r="H44">
        <v>32768</v>
      </c>
      <c r="I44">
        <v>57</v>
      </c>
      <c r="J44" t="s">
        <v>1</v>
      </c>
      <c r="K44" t="s">
        <v>2</v>
      </c>
      <c r="L44" s="8">
        <f>InterspecUsage[[#This Row],[Used-MB]]-F34</f>
        <v>64</v>
      </c>
      <c r="M44">
        <f>InterspecUsage[[#This Row],[Max]]-InterspecUsage[[#This Row],[Used-MB]]</f>
        <v>14076</v>
      </c>
      <c r="N44" s="5">
        <f>IF($L44&gt;0,InterspecUsage[[#This Row],[Free-of-Max]]/InterspecUsage[[#This Row],[Usage-Delta-MB]],InterspecUsage[[#This Row],[Free-of-Max]])</f>
        <v>219.9375</v>
      </c>
      <c r="R44" s="3">
        <v>44536</v>
      </c>
      <c r="S44" t="s">
        <v>24</v>
      </c>
      <c r="T44">
        <v>99</v>
      </c>
      <c r="U44">
        <v>18000</v>
      </c>
      <c r="V44">
        <v>97</v>
      </c>
      <c r="W44">
        <v>17903</v>
      </c>
      <c r="X44">
        <v>1</v>
      </c>
      <c r="Y44">
        <v>32768</v>
      </c>
      <c r="Z44">
        <v>55</v>
      </c>
      <c r="AA44" t="s">
        <v>1</v>
      </c>
      <c r="AB44" t="s">
        <v>2</v>
      </c>
      <c r="AC44" s="8">
        <v>75</v>
      </c>
      <c r="AD44">
        <v>14865</v>
      </c>
      <c r="AE44" s="5">
        <v>198.2</v>
      </c>
      <c r="AI44" s="3">
        <v>44536</v>
      </c>
      <c r="AJ44" t="s">
        <v>27</v>
      </c>
      <c r="AK44">
        <v>83</v>
      </c>
      <c r="AL44">
        <v>131072</v>
      </c>
      <c r="AM44">
        <v>22282</v>
      </c>
      <c r="AN44">
        <v>108790</v>
      </c>
      <c r="AO44">
        <v>17</v>
      </c>
      <c r="AP44">
        <v>131072</v>
      </c>
      <c r="AQ44">
        <v>83</v>
      </c>
      <c r="AR44" t="s">
        <v>1</v>
      </c>
      <c r="AS44" t="s">
        <v>2</v>
      </c>
      <c r="AT44" s="8">
        <v>130</v>
      </c>
      <c r="AU44">
        <v>22282</v>
      </c>
      <c r="AV44" s="5">
        <v>171.4</v>
      </c>
    </row>
    <row r="45" spans="1:48" x14ac:dyDescent="0.25">
      <c r="A45" s="3">
        <v>44270</v>
      </c>
      <c r="B45" t="s">
        <v>27</v>
      </c>
      <c r="C45">
        <v>72</v>
      </c>
      <c r="D45">
        <v>131072</v>
      </c>
      <c r="E45">
        <v>36627</v>
      </c>
      <c r="F45">
        <v>94445</v>
      </c>
      <c r="G45">
        <v>28</v>
      </c>
      <c r="H45">
        <v>131072</v>
      </c>
      <c r="I45">
        <v>72</v>
      </c>
      <c r="J45" t="s">
        <v>1</v>
      </c>
      <c r="K45" t="s">
        <v>2</v>
      </c>
      <c r="L45" s="8">
        <f>InterspecUsage[[#This Row],[Used-MB]]-F35</f>
        <v>522</v>
      </c>
      <c r="M45">
        <f>InterspecUsage[[#This Row],[Max]]-InterspecUsage[[#This Row],[Used-MB]]</f>
        <v>36627</v>
      </c>
      <c r="N45" s="5">
        <f>IF($L45&gt;0,InterspecUsage[[#This Row],[Free-of-Max]]/InterspecUsage[[#This Row],[Usage-Delta-MB]],InterspecUsage[[#This Row],[Free-of-Max]])</f>
        <v>70.166666666666671</v>
      </c>
      <c r="R45" s="3">
        <v>44543</v>
      </c>
      <c r="S45" t="s">
        <v>24</v>
      </c>
      <c r="T45">
        <v>100</v>
      </c>
      <c r="U45">
        <v>18000</v>
      </c>
      <c r="V45">
        <v>88</v>
      </c>
      <c r="W45">
        <v>17912</v>
      </c>
      <c r="X45">
        <v>0</v>
      </c>
      <c r="Y45">
        <v>32768</v>
      </c>
      <c r="Z45">
        <v>55</v>
      </c>
      <c r="AA45" t="s">
        <v>1</v>
      </c>
      <c r="AB45" t="s">
        <v>2</v>
      </c>
      <c r="AC45" s="8">
        <v>9</v>
      </c>
      <c r="AD45">
        <v>14856</v>
      </c>
      <c r="AE45" s="5">
        <v>1650.6666666666667</v>
      </c>
      <c r="AI45" s="3">
        <v>44543</v>
      </c>
      <c r="AJ45" t="s">
        <v>27</v>
      </c>
      <c r="AK45">
        <v>83</v>
      </c>
      <c r="AL45">
        <v>131072</v>
      </c>
      <c r="AM45">
        <v>22145</v>
      </c>
      <c r="AN45">
        <v>108927</v>
      </c>
      <c r="AO45">
        <v>17</v>
      </c>
      <c r="AP45">
        <v>131072</v>
      </c>
      <c r="AQ45">
        <v>83</v>
      </c>
      <c r="AR45" t="s">
        <v>1</v>
      </c>
      <c r="AS45" t="s">
        <v>2</v>
      </c>
      <c r="AT45" s="8">
        <v>137</v>
      </c>
      <c r="AU45">
        <v>22145</v>
      </c>
      <c r="AV45" s="5">
        <v>161.64233576642334</v>
      </c>
    </row>
    <row r="46" spans="1:48" x14ac:dyDescent="0.25">
      <c r="A46" s="3">
        <v>44270</v>
      </c>
      <c r="B46" t="s">
        <v>7</v>
      </c>
      <c r="C46">
        <v>95</v>
      </c>
      <c r="D46">
        <v>810</v>
      </c>
      <c r="E46">
        <v>39</v>
      </c>
      <c r="F46">
        <v>771</v>
      </c>
      <c r="G46">
        <v>5</v>
      </c>
      <c r="H46">
        <v>32768</v>
      </c>
      <c r="I46">
        <v>2</v>
      </c>
      <c r="J46" t="s">
        <v>1</v>
      </c>
      <c r="K46" t="s">
        <v>2</v>
      </c>
      <c r="L46" s="8">
        <f>InterspecUsage[[#This Row],[Used-MB]]-F36</f>
        <v>8</v>
      </c>
      <c r="M46">
        <f>InterspecUsage[[#This Row],[Max]]-InterspecUsage[[#This Row],[Used-MB]]</f>
        <v>31997</v>
      </c>
      <c r="N46" s="5">
        <f>IF($L46&gt;0,InterspecUsage[[#This Row],[Free-of-Max]]/InterspecUsage[[#This Row],[Usage-Delta-MB]],InterspecUsage[[#This Row],[Free-of-Max]])</f>
        <v>3999.625</v>
      </c>
      <c r="R46" s="3">
        <v>44551</v>
      </c>
      <c r="S46" t="s">
        <v>24</v>
      </c>
      <c r="T46">
        <v>100</v>
      </c>
      <c r="U46">
        <v>18000</v>
      </c>
      <c r="V46">
        <v>88</v>
      </c>
      <c r="W46">
        <v>17912</v>
      </c>
      <c r="X46">
        <v>0</v>
      </c>
      <c r="Y46">
        <v>32768</v>
      </c>
      <c r="Z46">
        <v>55</v>
      </c>
      <c r="AA46" t="s">
        <v>1</v>
      </c>
      <c r="AB46" t="s">
        <v>2</v>
      </c>
      <c r="AC46" s="8">
        <v>0</v>
      </c>
      <c r="AD46">
        <v>14856</v>
      </c>
      <c r="AE46" s="5">
        <v>14856</v>
      </c>
      <c r="AI46" s="3">
        <v>44551</v>
      </c>
      <c r="AJ46" t="s">
        <v>27</v>
      </c>
      <c r="AK46">
        <v>83</v>
      </c>
      <c r="AL46">
        <v>131072</v>
      </c>
      <c r="AM46">
        <v>21822</v>
      </c>
      <c r="AN46">
        <v>109250</v>
      </c>
      <c r="AO46">
        <v>17</v>
      </c>
      <c r="AP46">
        <v>131072</v>
      </c>
      <c r="AQ46">
        <v>83</v>
      </c>
      <c r="AR46" t="s">
        <v>1</v>
      </c>
      <c r="AS46" t="s">
        <v>2</v>
      </c>
      <c r="AT46" s="8">
        <v>323</v>
      </c>
      <c r="AU46">
        <v>21822</v>
      </c>
      <c r="AV46" s="5">
        <v>67.56037151702786</v>
      </c>
    </row>
    <row r="47" spans="1:48" x14ac:dyDescent="0.25">
      <c r="A47" s="3">
        <v>44270</v>
      </c>
      <c r="B47" t="s">
        <v>0</v>
      </c>
      <c r="C47">
        <v>100</v>
      </c>
      <c r="D47">
        <v>2690</v>
      </c>
      <c r="E47">
        <v>8</v>
      </c>
      <c r="F47">
        <v>2683</v>
      </c>
      <c r="G47">
        <v>0</v>
      </c>
      <c r="H47">
        <v>32768</v>
      </c>
      <c r="I47">
        <v>8</v>
      </c>
      <c r="J47" t="s">
        <v>1</v>
      </c>
      <c r="K47" t="s">
        <v>2</v>
      </c>
      <c r="L47" s="8">
        <f>InterspecUsage[[#This Row],[Used-MB]]-F37</f>
        <v>0</v>
      </c>
      <c r="M47">
        <f>InterspecUsage[[#This Row],[Max]]-InterspecUsage[[#This Row],[Used-MB]]</f>
        <v>30085</v>
      </c>
      <c r="N47" s="5">
        <f>IF($L47&gt;0,InterspecUsage[[#This Row],[Free-of-Max]]/InterspecUsage[[#This Row],[Usage-Delta-MB]],InterspecUsage[[#This Row],[Free-of-Max]])</f>
        <v>30085</v>
      </c>
      <c r="R47" s="3">
        <v>44565</v>
      </c>
      <c r="S47" t="s">
        <v>24</v>
      </c>
      <c r="T47">
        <v>100</v>
      </c>
      <c r="U47">
        <v>18000</v>
      </c>
      <c r="V47">
        <v>80</v>
      </c>
      <c r="W47">
        <v>17920</v>
      </c>
      <c r="X47">
        <v>0</v>
      </c>
      <c r="Y47">
        <v>32768</v>
      </c>
      <c r="Z47">
        <v>55</v>
      </c>
      <c r="AA47" t="s">
        <v>1</v>
      </c>
      <c r="AB47" t="s">
        <v>2</v>
      </c>
      <c r="AC47" s="8">
        <v>8</v>
      </c>
      <c r="AD47">
        <v>14848</v>
      </c>
      <c r="AE47" s="5">
        <v>1856</v>
      </c>
      <c r="AI47" s="3">
        <v>44565</v>
      </c>
      <c r="AJ47" t="s">
        <v>27</v>
      </c>
      <c r="AK47">
        <v>84</v>
      </c>
      <c r="AL47">
        <v>131072</v>
      </c>
      <c r="AM47">
        <v>21365</v>
      </c>
      <c r="AN47">
        <v>109707</v>
      </c>
      <c r="AO47">
        <v>16</v>
      </c>
      <c r="AP47">
        <v>131072</v>
      </c>
      <c r="AQ47">
        <v>84</v>
      </c>
      <c r="AR47" t="s">
        <v>1</v>
      </c>
      <c r="AS47" t="s">
        <v>2</v>
      </c>
      <c r="AT47" s="8">
        <v>457</v>
      </c>
      <c r="AU47">
        <v>21365</v>
      </c>
      <c r="AV47" s="5">
        <v>46.750547045951862</v>
      </c>
    </row>
    <row r="48" spans="1:48" x14ac:dyDescent="0.25">
      <c r="A48" s="3">
        <v>44270</v>
      </c>
      <c r="B48" t="s">
        <v>30</v>
      </c>
      <c r="C48">
        <v>0</v>
      </c>
      <c r="D48">
        <v>32767</v>
      </c>
      <c r="E48">
        <v>32748</v>
      </c>
      <c r="F48">
        <v>19</v>
      </c>
      <c r="G48">
        <v>100</v>
      </c>
      <c r="H48">
        <v>32768</v>
      </c>
      <c r="I48">
        <v>0</v>
      </c>
      <c r="J48" t="s">
        <v>1</v>
      </c>
      <c r="K48" t="s">
        <v>13</v>
      </c>
      <c r="L48" s="8">
        <f>InterspecUsage[[#This Row],[Used-MB]]-F38</f>
        <v>-5</v>
      </c>
      <c r="M48">
        <f>InterspecUsage[[#This Row],[Max]]-InterspecUsage[[#This Row],[Used-MB]]</f>
        <v>32749</v>
      </c>
      <c r="N48" s="5">
        <f>IF($L48&gt;0,InterspecUsage[[#This Row],[Free-of-Max]]/InterspecUsage[[#This Row],[Usage-Delta-MB]],InterspecUsage[[#This Row],[Free-of-Max]])</f>
        <v>32749</v>
      </c>
      <c r="R48" s="3">
        <v>44571</v>
      </c>
      <c r="S48" t="s">
        <v>24</v>
      </c>
      <c r="T48">
        <v>100</v>
      </c>
      <c r="U48">
        <v>18000</v>
      </c>
      <c r="V48">
        <v>79</v>
      </c>
      <c r="W48">
        <v>17921</v>
      </c>
      <c r="X48">
        <v>0</v>
      </c>
      <c r="Y48">
        <v>32768</v>
      </c>
      <c r="Z48">
        <v>55</v>
      </c>
      <c r="AA48" t="s">
        <v>1</v>
      </c>
      <c r="AB48" t="s">
        <v>2</v>
      </c>
      <c r="AC48" s="8">
        <v>1</v>
      </c>
      <c r="AD48">
        <v>14847</v>
      </c>
      <c r="AE48" s="5">
        <v>14847</v>
      </c>
      <c r="AI48" s="3">
        <v>44571</v>
      </c>
      <c r="AJ48" t="s">
        <v>27</v>
      </c>
      <c r="AK48">
        <v>84</v>
      </c>
      <c r="AL48">
        <v>131072</v>
      </c>
      <c r="AM48">
        <v>21165</v>
      </c>
      <c r="AN48">
        <v>109907</v>
      </c>
      <c r="AO48">
        <v>16</v>
      </c>
      <c r="AP48">
        <v>131072</v>
      </c>
      <c r="AQ48">
        <v>84</v>
      </c>
      <c r="AR48" t="s">
        <v>1</v>
      </c>
      <c r="AS48" t="s">
        <v>2</v>
      </c>
      <c r="AT48" s="8">
        <v>200</v>
      </c>
      <c r="AU48">
        <v>21165</v>
      </c>
      <c r="AV48" s="5">
        <v>105.825</v>
      </c>
    </row>
    <row r="49" spans="1:48" x14ac:dyDescent="0.25">
      <c r="A49" s="3">
        <v>44270</v>
      </c>
      <c r="B49" t="s">
        <v>28</v>
      </c>
      <c r="C49">
        <v>24</v>
      </c>
      <c r="D49">
        <v>16400</v>
      </c>
      <c r="E49">
        <v>12486</v>
      </c>
      <c r="F49">
        <v>3914</v>
      </c>
      <c r="G49">
        <v>76</v>
      </c>
      <c r="H49">
        <v>32768</v>
      </c>
      <c r="I49">
        <v>12</v>
      </c>
      <c r="J49" t="s">
        <v>1</v>
      </c>
      <c r="K49" t="s">
        <v>10</v>
      </c>
      <c r="L49" s="8">
        <f>InterspecUsage[[#This Row],[Used-MB]]-F39</f>
        <v>-24</v>
      </c>
      <c r="M49">
        <f>InterspecUsage[[#This Row],[Max]]-InterspecUsage[[#This Row],[Used-MB]]</f>
        <v>28854</v>
      </c>
      <c r="N49" s="5">
        <f>IF($L49&gt;0,InterspecUsage[[#This Row],[Free-of-Max]]/InterspecUsage[[#This Row],[Usage-Delta-MB]],InterspecUsage[[#This Row],[Free-of-Max]])</f>
        <v>28854</v>
      </c>
      <c r="R49" s="3">
        <v>44578</v>
      </c>
      <c r="S49" t="s">
        <v>24</v>
      </c>
      <c r="T49">
        <v>100</v>
      </c>
      <c r="U49">
        <v>18000</v>
      </c>
      <c r="V49">
        <v>14</v>
      </c>
      <c r="W49">
        <v>17986</v>
      </c>
      <c r="X49">
        <v>0</v>
      </c>
      <c r="Y49">
        <v>32768</v>
      </c>
      <c r="Z49">
        <v>55</v>
      </c>
      <c r="AA49" t="s">
        <v>1</v>
      </c>
      <c r="AB49" t="s">
        <v>2</v>
      </c>
      <c r="AC49" s="8">
        <v>65</v>
      </c>
      <c r="AD49">
        <v>14782</v>
      </c>
      <c r="AE49" s="5">
        <v>227.41538461538462</v>
      </c>
      <c r="AI49" s="3">
        <v>44578</v>
      </c>
      <c r="AJ49" t="s">
        <v>27</v>
      </c>
      <c r="AK49">
        <v>84</v>
      </c>
      <c r="AL49">
        <v>131072</v>
      </c>
      <c r="AM49">
        <v>20972</v>
      </c>
      <c r="AN49">
        <v>110100</v>
      </c>
      <c r="AO49">
        <v>16</v>
      </c>
      <c r="AP49">
        <v>131072</v>
      </c>
      <c r="AQ49">
        <v>84</v>
      </c>
      <c r="AR49" t="s">
        <v>1</v>
      </c>
      <c r="AS49" t="s">
        <v>2</v>
      </c>
      <c r="AT49" s="8">
        <v>193</v>
      </c>
      <c r="AU49">
        <v>20972</v>
      </c>
      <c r="AV49" s="5">
        <v>108.66321243523316</v>
      </c>
    </row>
    <row r="50" spans="1:48" x14ac:dyDescent="0.25">
      <c r="A50" s="3">
        <v>44270</v>
      </c>
      <c r="B50" t="s">
        <v>25</v>
      </c>
      <c r="C50">
        <v>94</v>
      </c>
      <c r="D50">
        <v>8950</v>
      </c>
      <c r="E50">
        <v>521</v>
      </c>
      <c r="F50">
        <v>8429</v>
      </c>
      <c r="G50">
        <v>6</v>
      </c>
      <c r="H50">
        <v>32768</v>
      </c>
      <c r="I50">
        <v>26</v>
      </c>
      <c r="J50" t="s">
        <v>1</v>
      </c>
      <c r="K50" t="s">
        <v>2</v>
      </c>
      <c r="L50" s="8">
        <f>InterspecUsage[[#This Row],[Used-MB]]-F40</f>
        <v>0</v>
      </c>
      <c r="M50">
        <f>InterspecUsage[[#This Row],[Max]]-InterspecUsage[[#This Row],[Used-MB]]</f>
        <v>24339</v>
      </c>
      <c r="N50" s="5">
        <f>IF($L50&gt;0,InterspecUsage[[#This Row],[Free-of-Max]]/InterspecUsage[[#This Row],[Usage-Delta-MB]],InterspecUsage[[#This Row],[Free-of-Max]])</f>
        <v>24339</v>
      </c>
      <c r="R50" s="3">
        <v>44585</v>
      </c>
      <c r="S50" t="s">
        <v>24</v>
      </c>
      <c r="T50">
        <v>100</v>
      </c>
      <c r="U50">
        <v>18000</v>
      </c>
      <c r="V50">
        <v>14</v>
      </c>
      <c r="W50">
        <v>17986</v>
      </c>
      <c r="X50">
        <v>0</v>
      </c>
      <c r="Y50">
        <v>32768</v>
      </c>
      <c r="Z50">
        <v>55</v>
      </c>
      <c r="AA50" t="s">
        <v>1</v>
      </c>
      <c r="AB50" t="s">
        <v>2</v>
      </c>
      <c r="AC50" s="8">
        <v>0</v>
      </c>
      <c r="AD50">
        <v>14782</v>
      </c>
      <c r="AE50" s="5">
        <v>14782</v>
      </c>
      <c r="AI50" s="3">
        <v>44585</v>
      </c>
      <c r="AJ50" t="s">
        <v>27</v>
      </c>
      <c r="AK50">
        <v>84</v>
      </c>
      <c r="AL50">
        <v>131072</v>
      </c>
      <c r="AM50">
        <v>20779</v>
      </c>
      <c r="AN50">
        <v>110293</v>
      </c>
      <c r="AO50">
        <v>16</v>
      </c>
      <c r="AP50">
        <v>131072</v>
      </c>
      <c r="AQ50">
        <v>84</v>
      </c>
      <c r="AR50" t="s">
        <v>1</v>
      </c>
      <c r="AS50" t="s">
        <v>2</v>
      </c>
      <c r="AT50" s="8">
        <v>193</v>
      </c>
      <c r="AU50">
        <v>20779</v>
      </c>
      <c r="AV50" s="5">
        <v>107.66321243523316</v>
      </c>
    </row>
    <row r="51" spans="1:48" x14ac:dyDescent="0.25">
      <c r="A51" s="3">
        <v>44270</v>
      </c>
      <c r="B51" t="s">
        <v>29</v>
      </c>
      <c r="C51">
        <v>0</v>
      </c>
      <c r="D51">
        <v>500</v>
      </c>
      <c r="E51">
        <v>499</v>
      </c>
      <c r="F51">
        <v>1</v>
      </c>
      <c r="G51">
        <v>100</v>
      </c>
      <c r="H51">
        <v>500</v>
      </c>
      <c r="I51">
        <v>0</v>
      </c>
      <c r="J51" t="s">
        <v>1</v>
      </c>
      <c r="K51" t="s">
        <v>2</v>
      </c>
      <c r="L51" s="8">
        <f>InterspecUsage[[#This Row],[Used-MB]]-F41</f>
        <v>0</v>
      </c>
      <c r="M51">
        <f>InterspecUsage[[#This Row],[Max]]-InterspecUsage[[#This Row],[Used-MB]]</f>
        <v>499</v>
      </c>
      <c r="N51" s="5">
        <f>IF($L51&gt;0,InterspecUsage[[#This Row],[Free-of-Max]]/InterspecUsage[[#This Row],[Usage-Delta-MB]],InterspecUsage[[#This Row],[Free-of-Max]])</f>
        <v>499</v>
      </c>
      <c r="R51" s="3">
        <v>44592</v>
      </c>
      <c r="S51" t="s">
        <v>24</v>
      </c>
      <c r="T51">
        <v>100</v>
      </c>
      <c r="U51">
        <v>18000</v>
      </c>
      <c r="V51">
        <v>6</v>
      </c>
      <c r="W51">
        <v>17994</v>
      </c>
      <c r="X51">
        <v>0</v>
      </c>
      <c r="Y51">
        <v>32768</v>
      </c>
      <c r="Z51">
        <v>55</v>
      </c>
      <c r="AA51" t="s">
        <v>1</v>
      </c>
      <c r="AB51" t="s">
        <v>2</v>
      </c>
      <c r="AC51" s="8">
        <v>8</v>
      </c>
      <c r="AD51">
        <v>14774</v>
      </c>
      <c r="AE51" s="5">
        <v>1846.75</v>
      </c>
      <c r="AI51" s="3">
        <v>44592</v>
      </c>
      <c r="AJ51" t="s">
        <v>27</v>
      </c>
      <c r="AK51">
        <v>84</v>
      </c>
      <c r="AL51">
        <v>131072</v>
      </c>
      <c r="AM51">
        <v>20587</v>
      </c>
      <c r="AN51">
        <v>110485</v>
      </c>
      <c r="AO51">
        <v>16</v>
      </c>
      <c r="AP51">
        <v>131072</v>
      </c>
      <c r="AQ51">
        <v>84</v>
      </c>
      <c r="AR51" t="s">
        <v>1</v>
      </c>
      <c r="AS51" t="s">
        <v>2</v>
      </c>
      <c r="AT51" s="8">
        <v>192</v>
      </c>
      <c r="AU51">
        <v>20587</v>
      </c>
      <c r="AV51" s="5">
        <v>107.22395833333333</v>
      </c>
    </row>
    <row r="52" spans="1:48" x14ac:dyDescent="0.25">
      <c r="A52" s="3">
        <v>44277</v>
      </c>
      <c r="B52" t="s">
        <v>26</v>
      </c>
      <c r="C52">
        <v>93</v>
      </c>
      <c r="D52">
        <v>16288</v>
      </c>
      <c r="E52">
        <v>1100</v>
      </c>
      <c r="F52">
        <v>15188</v>
      </c>
      <c r="G52">
        <v>7</v>
      </c>
      <c r="H52">
        <v>40960</v>
      </c>
      <c r="I52">
        <v>37</v>
      </c>
      <c r="J52" t="s">
        <v>1</v>
      </c>
      <c r="K52" t="s">
        <v>2</v>
      </c>
      <c r="L52" s="8">
        <f>InterspecUsage[[#This Row],[Used-MB]]-F42</f>
        <v>128</v>
      </c>
      <c r="M52">
        <f>InterspecUsage[[#This Row],[Max]]-InterspecUsage[[#This Row],[Used-MB]]</f>
        <v>25772</v>
      </c>
      <c r="N52" s="5">
        <f>IF($L52&gt;0,InterspecUsage[[#This Row],[Free-of-Max]]/InterspecUsage[[#This Row],[Usage-Delta-MB]],InterspecUsage[[#This Row],[Free-of-Max]])</f>
        <v>201.34375</v>
      </c>
      <c r="R52" s="3">
        <v>44599</v>
      </c>
      <c r="S52" t="s">
        <v>24</v>
      </c>
      <c r="T52">
        <v>77</v>
      </c>
      <c r="U52">
        <v>18000</v>
      </c>
      <c r="V52">
        <v>4128</v>
      </c>
      <c r="W52">
        <v>13872</v>
      </c>
      <c r="X52">
        <v>23</v>
      </c>
      <c r="Y52">
        <v>32768</v>
      </c>
      <c r="Z52">
        <v>42</v>
      </c>
      <c r="AA52" t="s">
        <v>1</v>
      </c>
      <c r="AB52" t="s">
        <v>2</v>
      </c>
      <c r="AC52" s="8">
        <v>-4122</v>
      </c>
      <c r="AD52">
        <v>18896</v>
      </c>
      <c r="AE52" s="5">
        <v>18896</v>
      </c>
      <c r="AI52" s="3">
        <v>44599</v>
      </c>
      <c r="AJ52" t="s">
        <v>27</v>
      </c>
      <c r="AK52">
        <v>83</v>
      </c>
      <c r="AL52">
        <v>131072</v>
      </c>
      <c r="AM52">
        <v>22073</v>
      </c>
      <c r="AN52">
        <v>108999</v>
      </c>
      <c r="AO52">
        <v>17</v>
      </c>
      <c r="AP52">
        <v>131072</v>
      </c>
      <c r="AQ52">
        <v>83</v>
      </c>
      <c r="AR52" t="s">
        <v>1</v>
      </c>
      <c r="AS52" t="s">
        <v>2</v>
      </c>
      <c r="AT52" s="8">
        <v>-1486</v>
      </c>
      <c r="AU52">
        <v>22073</v>
      </c>
      <c r="AV52" s="5">
        <v>22073</v>
      </c>
    </row>
    <row r="53" spans="1:48" x14ac:dyDescent="0.25">
      <c r="A53" s="3">
        <v>44277</v>
      </c>
      <c r="B53" t="s">
        <v>24</v>
      </c>
      <c r="C53">
        <v>95</v>
      </c>
      <c r="D53">
        <v>18000</v>
      </c>
      <c r="E53">
        <v>935</v>
      </c>
      <c r="F53">
        <v>17065</v>
      </c>
      <c r="G53">
        <v>5</v>
      </c>
      <c r="H53">
        <v>32768</v>
      </c>
      <c r="I53">
        <v>52</v>
      </c>
      <c r="J53" t="s">
        <v>1</v>
      </c>
      <c r="K53" t="s">
        <v>2</v>
      </c>
      <c r="L53" s="8">
        <f>InterspecUsage[[#This Row],[Used-MB]]-F43</f>
        <v>1</v>
      </c>
      <c r="M53">
        <f>InterspecUsage[[#This Row],[Max]]-InterspecUsage[[#This Row],[Used-MB]]</f>
        <v>15703</v>
      </c>
      <c r="N53" s="5">
        <f>IF($L53&gt;0,InterspecUsage[[#This Row],[Free-of-Max]]/InterspecUsage[[#This Row],[Usage-Delta-MB]],InterspecUsage[[#This Row],[Free-of-Max]])</f>
        <v>15703</v>
      </c>
      <c r="R53" s="3">
        <v>44606</v>
      </c>
      <c r="S53" t="s">
        <v>24</v>
      </c>
      <c r="T53">
        <v>77</v>
      </c>
      <c r="U53">
        <v>18000</v>
      </c>
      <c r="V53">
        <v>4128</v>
      </c>
      <c r="W53">
        <v>13872</v>
      </c>
      <c r="X53">
        <v>23</v>
      </c>
      <c r="Y53">
        <v>32768</v>
      </c>
      <c r="Z53">
        <v>42</v>
      </c>
      <c r="AA53" t="s">
        <v>1</v>
      </c>
      <c r="AB53" t="s">
        <v>2</v>
      </c>
      <c r="AC53" s="8">
        <v>0</v>
      </c>
      <c r="AD53">
        <v>18896</v>
      </c>
      <c r="AE53" s="5">
        <v>18896</v>
      </c>
      <c r="AI53" s="3">
        <v>44606</v>
      </c>
      <c r="AJ53" t="s">
        <v>27</v>
      </c>
      <c r="AK53">
        <v>83</v>
      </c>
      <c r="AL53">
        <v>131072</v>
      </c>
      <c r="AM53">
        <v>21944</v>
      </c>
      <c r="AN53">
        <v>109128</v>
      </c>
      <c r="AO53">
        <v>17</v>
      </c>
      <c r="AP53">
        <v>131072</v>
      </c>
      <c r="AQ53">
        <v>83</v>
      </c>
      <c r="AR53" t="s">
        <v>1</v>
      </c>
      <c r="AS53" t="s">
        <v>2</v>
      </c>
      <c r="AT53" s="8">
        <v>129</v>
      </c>
      <c r="AU53">
        <v>21944</v>
      </c>
      <c r="AV53" s="5">
        <v>170.10852713178295</v>
      </c>
    </row>
    <row r="54" spans="1:48" x14ac:dyDescent="0.25">
      <c r="A54" s="3">
        <v>44277</v>
      </c>
      <c r="B54" s="7" t="s">
        <v>35</v>
      </c>
      <c r="C54">
        <v>94</v>
      </c>
      <c r="D54">
        <v>20000</v>
      </c>
      <c r="E54">
        <v>1116</v>
      </c>
      <c r="F54">
        <v>18884</v>
      </c>
      <c r="G54">
        <v>6</v>
      </c>
      <c r="H54">
        <v>32768</v>
      </c>
      <c r="I54">
        <v>58</v>
      </c>
      <c r="J54" t="s">
        <v>1</v>
      </c>
      <c r="K54" t="s">
        <v>2</v>
      </c>
      <c r="L54" s="8">
        <f>InterspecUsage[[#This Row],[Used-MB]]-F44</f>
        <v>192</v>
      </c>
      <c r="M54">
        <f>InterspecUsage[[#This Row],[Max]]-InterspecUsage[[#This Row],[Used-MB]]</f>
        <v>13884</v>
      </c>
      <c r="N54" s="5">
        <f>IF($L54&gt;0,InterspecUsage[[#This Row],[Free-of-Max]]/InterspecUsage[[#This Row],[Usage-Delta-MB]],InterspecUsage[[#This Row],[Free-of-Max]])</f>
        <v>72.3125</v>
      </c>
      <c r="R54" s="3">
        <v>44613</v>
      </c>
      <c r="S54" t="s">
        <v>24</v>
      </c>
      <c r="T54">
        <v>77</v>
      </c>
      <c r="U54">
        <v>18000</v>
      </c>
      <c r="V54">
        <v>4128</v>
      </c>
      <c r="W54">
        <v>13872</v>
      </c>
      <c r="X54">
        <v>23</v>
      </c>
      <c r="Y54">
        <v>32768</v>
      </c>
      <c r="Z54">
        <v>42</v>
      </c>
      <c r="AA54" t="s">
        <v>1</v>
      </c>
      <c r="AB54" t="s">
        <v>2</v>
      </c>
      <c r="AC54" s="8">
        <v>0</v>
      </c>
      <c r="AD54">
        <v>18896</v>
      </c>
      <c r="AE54" s="5">
        <v>18896</v>
      </c>
      <c r="AI54" s="3">
        <v>44613</v>
      </c>
      <c r="AJ54" t="s">
        <v>27</v>
      </c>
      <c r="AK54">
        <v>83</v>
      </c>
      <c r="AL54">
        <v>131072</v>
      </c>
      <c r="AM54">
        <v>21760</v>
      </c>
      <c r="AN54">
        <v>109312</v>
      </c>
      <c r="AO54">
        <v>17</v>
      </c>
      <c r="AP54">
        <v>131072</v>
      </c>
      <c r="AQ54">
        <v>83</v>
      </c>
      <c r="AR54" t="s">
        <v>1</v>
      </c>
      <c r="AS54" t="s">
        <v>2</v>
      </c>
      <c r="AT54" s="8">
        <v>184</v>
      </c>
      <c r="AU54">
        <v>21760</v>
      </c>
      <c r="AV54" s="5">
        <v>118.26086956521739</v>
      </c>
    </row>
    <row r="55" spans="1:48" x14ac:dyDescent="0.25">
      <c r="A55" s="3">
        <v>44277</v>
      </c>
      <c r="B55" t="s">
        <v>27</v>
      </c>
      <c r="C55">
        <v>73</v>
      </c>
      <c r="D55">
        <v>131072</v>
      </c>
      <c r="E55">
        <v>35539</v>
      </c>
      <c r="F55">
        <v>95533</v>
      </c>
      <c r="G55">
        <v>27</v>
      </c>
      <c r="H55">
        <v>131072</v>
      </c>
      <c r="I55">
        <v>73</v>
      </c>
      <c r="J55" t="s">
        <v>1</v>
      </c>
      <c r="K55" t="s">
        <v>2</v>
      </c>
      <c r="L55" s="8">
        <f>InterspecUsage[[#This Row],[Used-MB]]-F45</f>
        <v>1088</v>
      </c>
      <c r="M55">
        <f>InterspecUsage[[#This Row],[Max]]-InterspecUsage[[#This Row],[Used-MB]]</f>
        <v>35539</v>
      </c>
      <c r="N55" s="5">
        <f>IF($L55&gt;0,InterspecUsage[[#This Row],[Free-of-Max]]/InterspecUsage[[#This Row],[Usage-Delta-MB]],InterspecUsage[[#This Row],[Free-of-Max]])</f>
        <v>32.664522058823529</v>
      </c>
      <c r="R55" s="3">
        <v>44620</v>
      </c>
      <c r="S55" t="s">
        <v>24</v>
      </c>
      <c r="T55">
        <v>77</v>
      </c>
      <c r="U55">
        <v>18000</v>
      </c>
      <c r="V55">
        <v>4128</v>
      </c>
      <c r="W55">
        <v>13872</v>
      </c>
      <c r="X55">
        <v>23</v>
      </c>
      <c r="Y55">
        <v>32768</v>
      </c>
      <c r="Z55">
        <v>42</v>
      </c>
      <c r="AA55" t="s">
        <v>1</v>
      </c>
      <c r="AB55" t="s">
        <v>2</v>
      </c>
      <c r="AC55" s="8">
        <v>0</v>
      </c>
      <c r="AD55">
        <v>18896</v>
      </c>
      <c r="AE55" s="5">
        <v>18896</v>
      </c>
      <c r="AI55" s="3">
        <v>44620</v>
      </c>
      <c r="AJ55" t="s">
        <v>27</v>
      </c>
      <c r="AK55">
        <v>84</v>
      </c>
      <c r="AL55">
        <v>131072</v>
      </c>
      <c r="AM55">
        <v>21537</v>
      </c>
      <c r="AN55">
        <v>109535</v>
      </c>
      <c r="AO55">
        <v>16</v>
      </c>
      <c r="AP55">
        <v>131072</v>
      </c>
      <c r="AQ55">
        <v>84</v>
      </c>
      <c r="AR55" t="s">
        <v>1</v>
      </c>
      <c r="AS55" t="s">
        <v>2</v>
      </c>
      <c r="AT55" s="8">
        <v>223</v>
      </c>
      <c r="AU55">
        <v>21537</v>
      </c>
      <c r="AV55" s="5">
        <v>96.578475336322867</v>
      </c>
    </row>
    <row r="56" spans="1:48" x14ac:dyDescent="0.25">
      <c r="A56" s="3">
        <v>44277</v>
      </c>
      <c r="B56" t="s">
        <v>7</v>
      </c>
      <c r="C56">
        <v>95</v>
      </c>
      <c r="D56">
        <v>810</v>
      </c>
      <c r="E56">
        <v>38</v>
      </c>
      <c r="F56">
        <v>772</v>
      </c>
      <c r="G56">
        <v>5</v>
      </c>
      <c r="H56">
        <v>32768</v>
      </c>
      <c r="I56">
        <v>2</v>
      </c>
      <c r="J56" t="s">
        <v>1</v>
      </c>
      <c r="K56" t="s">
        <v>2</v>
      </c>
      <c r="L56" s="8">
        <f>InterspecUsage[[#This Row],[Used-MB]]-F46</f>
        <v>1</v>
      </c>
      <c r="M56">
        <f>InterspecUsage[[#This Row],[Max]]-InterspecUsage[[#This Row],[Used-MB]]</f>
        <v>31996</v>
      </c>
      <c r="N56" s="5">
        <f>IF($L56&gt;0,InterspecUsage[[#This Row],[Free-of-Max]]/InterspecUsage[[#This Row],[Usage-Delta-MB]],InterspecUsage[[#This Row],[Free-of-Max]])</f>
        <v>31996</v>
      </c>
      <c r="R56" s="3">
        <v>44630</v>
      </c>
      <c r="S56" t="s">
        <v>24</v>
      </c>
      <c r="T56">
        <v>77</v>
      </c>
      <c r="U56">
        <v>18000</v>
      </c>
      <c r="V56">
        <v>4056</v>
      </c>
      <c r="W56">
        <v>13944</v>
      </c>
      <c r="X56">
        <v>23</v>
      </c>
      <c r="Y56">
        <v>32768</v>
      </c>
      <c r="Z56">
        <v>43</v>
      </c>
      <c r="AA56" t="s">
        <v>1</v>
      </c>
      <c r="AB56" t="s">
        <v>2</v>
      </c>
      <c r="AC56" s="8">
        <v>72</v>
      </c>
      <c r="AD56">
        <v>18824</v>
      </c>
      <c r="AE56" s="5">
        <v>261.44444444444446</v>
      </c>
      <c r="AI56" s="3">
        <v>44630</v>
      </c>
      <c r="AJ56" t="s">
        <v>27</v>
      </c>
      <c r="AK56">
        <v>84</v>
      </c>
      <c r="AL56">
        <v>131072</v>
      </c>
      <c r="AM56">
        <v>21306</v>
      </c>
      <c r="AN56">
        <v>109766</v>
      </c>
      <c r="AO56">
        <v>16</v>
      </c>
      <c r="AP56">
        <v>131072</v>
      </c>
      <c r="AQ56">
        <v>84</v>
      </c>
      <c r="AR56" t="s">
        <v>1</v>
      </c>
      <c r="AS56" t="s">
        <v>2</v>
      </c>
      <c r="AT56" s="8">
        <v>231</v>
      </c>
      <c r="AU56">
        <v>21306</v>
      </c>
      <c r="AV56" s="5">
        <v>92.233766233766232</v>
      </c>
    </row>
    <row r="57" spans="1:48" x14ac:dyDescent="0.25">
      <c r="A57" s="3">
        <v>44277</v>
      </c>
      <c r="B57" t="s">
        <v>0</v>
      </c>
      <c r="C57">
        <v>100</v>
      </c>
      <c r="D57">
        <v>2690</v>
      </c>
      <c r="E57">
        <v>8</v>
      </c>
      <c r="F57">
        <v>2683</v>
      </c>
      <c r="G57">
        <v>0</v>
      </c>
      <c r="H57">
        <v>32768</v>
      </c>
      <c r="I57">
        <v>8</v>
      </c>
      <c r="J57" t="s">
        <v>1</v>
      </c>
      <c r="K57" t="s">
        <v>2</v>
      </c>
      <c r="L57" s="8">
        <f>InterspecUsage[[#This Row],[Used-MB]]-F47</f>
        <v>0</v>
      </c>
      <c r="M57">
        <f>InterspecUsage[[#This Row],[Max]]-InterspecUsage[[#This Row],[Used-MB]]</f>
        <v>30085</v>
      </c>
      <c r="N57" s="5">
        <f>IF($L57&gt;0,InterspecUsage[[#This Row],[Free-of-Max]]/InterspecUsage[[#This Row],[Usage-Delta-MB]],InterspecUsage[[#This Row],[Free-of-Max]])</f>
        <v>30085</v>
      </c>
      <c r="R57" s="3">
        <v>44634</v>
      </c>
      <c r="S57" t="s">
        <v>24</v>
      </c>
      <c r="T57">
        <v>77</v>
      </c>
      <c r="U57">
        <v>18000</v>
      </c>
      <c r="V57">
        <v>4056</v>
      </c>
      <c r="W57">
        <v>13944</v>
      </c>
      <c r="X57">
        <v>23</v>
      </c>
      <c r="Y57">
        <v>32768</v>
      </c>
      <c r="Z57">
        <v>43</v>
      </c>
      <c r="AA57" t="s">
        <v>1</v>
      </c>
      <c r="AB57" t="s">
        <v>2</v>
      </c>
      <c r="AC57" s="8">
        <v>0</v>
      </c>
      <c r="AD57">
        <v>18824</v>
      </c>
      <c r="AE57" s="5">
        <v>18824</v>
      </c>
      <c r="AI57" s="3">
        <v>44634</v>
      </c>
      <c r="AJ57" t="s">
        <v>27</v>
      </c>
      <c r="AK57">
        <v>84</v>
      </c>
      <c r="AL57">
        <v>131072</v>
      </c>
      <c r="AM57">
        <v>21273</v>
      </c>
      <c r="AN57">
        <v>109799</v>
      </c>
      <c r="AO57">
        <v>16</v>
      </c>
      <c r="AP57">
        <v>131072</v>
      </c>
      <c r="AQ57">
        <v>84</v>
      </c>
      <c r="AR57" t="s">
        <v>1</v>
      </c>
      <c r="AS57" t="s">
        <v>2</v>
      </c>
      <c r="AT57" s="8">
        <v>33</v>
      </c>
      <c r="AU57">
        <v>21273</v>
      </c>
      <c r="AV57" s="5">
        <v>644.63636363636363</v>
      </c>
    </row>
    <row r="58" spans="1:48" x14ac:dyDescent="0.25">
      <c r="A58" s="3">
        <v>44277</v>
      </c>
      <c r="B58" t="s">
        <v>30</v>
      </c>
      <c r="C58">
        <v>0</v>
      </c>
      <c r="D58">
        <v>32767</v>
      </c>
      <c r="E58">
        <v>32736</v>
      </c>
      <c r="F58">
        <v>31</v>
      </c>
      <c r="G58">
        <v>100</v>
      </c>
      <c r="H58">
        <v>32768</v>
      </c>
      <c r="I58">
        <v>0</v>
      </c>
      <c r="J58" t="s">
        <v>1</v>
      </c>
      <c r="K58" t="s">
        <v>13</v>
      </c>
      <c r="L58" s="8">
        <f>InterspecUsage[[#This Row],[Used-MB]]-F48</f>
        <v>12</v>
      </c>
      <c r="M58">
        <f>InterspecUsage[[#This Row],[Max]]-InterspecUsage[[#This Row],[Used-MB]]</f>
        <v>32737</v>
      </c>
      <c r="N58" s="5">
        <f>IF($L58&gt;0,InterspecUsage[[#This Row],[Free-of-Max]]/InterspecUsage[[#This Row],[Usage-Delta-MB]],InterspecUsage[[#This Row],[Free-of-Max]])</f>
        <v>2728.0833333333335</v>
      </c>
      <c r="R58" s="3">
        <v>44641</v>
      </c>
      <c r="S58" t="s">
        <v>24</v>
      </c>
      <c r="T58">
        <v>77</v>
      </c>
      <c r="U58">
        <v>18000</v>
      </c>
      <c r="V58">
        <v>4055</v>
      </c>
      <c r="W58">
        <v>13945</v>
      </c>
      <c r="X58">
        <v>23</v>
      </c>
      <c r="Y58">
        <v>32768</v>
      </c>
      <c r="Z58">
        <v>43</v>
      </c>
      <c r="AA58" t="s">
        <v>1</v>
      </c>
      <c r="AB58" t="s">
        <v>2</v>
      </c>
      <c r="AC58" s="8">
        <v>1</v>
      </c>
      <c r="AD58">
        <v>18823</v>
      </c>
      <c r="AE58" s="5">
        <v>18823</v>
      </c>
      <c r="AI58" s="3">
        <v>44641</v>
      </c>
      <c r="AJ58" t="s">
        <v>27</v>
      </c>
      <c r="AK58">
        <v>84</v>
      </c>
      <c r="AL58">
        <v>131072</v>
      </c>
      <c r="AM58">
        <v>20988</v>
      </c>
      <c r="AN58">
        <v>110084</v>
      </c>
      <c r="AO58">
        <v>16</v>
      </c>
      <c r="AP58">
        <v>131072</v>
      </c>
      <c r="AQ58">
        <v>84</v>
      </c>
      <c r="AR58" t="s">
        <v>1</v>
      </c>
      <c r="AS58" t="s">
        <v>2</v>
      </c>
      <c r="AT58" s="8">
        <v>285</v>
      </c>
      <c r="AU58">
        <v>20988</v>
      </c>
      <c r="AV58" s="5">
        <v>73.642105263157902</v>
      </c>
    </row>
    <row r="59" spans="1:48" x14ac:dyDescent="0.25">
      <c r="A59" s="3">
        <v>44277</v>
      </c>
      <c r="B59" t="s">
        <v>28</v>
      </c>
      <c r="C59">
        <v>24</v>
      </c>
      <c r="D59">
        <v>16400</v>
      </c>
      <c r="E59">
        <v>12423</v>
      </c>
      <c r="F59">
        <v>3977</v>
      </c>
      <c r="G59">
        <v>76</v>
      </c>
      <c r="H59">
        <v>32768</v>
      </c>
      <c r="I59">
        <v>12</v>
      </c>
      <c r="J59" t="s">
        <v>1</v>
      </c>
      <c r="K59" t="s">
        <v>10</v>
      </c>
      <c r="L59" s="8">
        <f>InterspecUsage[[#This Row],[Used-MB]]-F49</f>
        <v>63</v>
      </c>
      <c r="M59">
        <f>InterspecUsage[[#This Row],[Max]]-InterspecUsage[[#This Row],[Used-MB]]</f>
        <v>28791</v>
      </c>
      <c r="N59" s="5">
        <f>IF($L59&gt;0,InterspecUsage[[#This Row],[Free-of-Max]]/InterspecUsage[[#This Row],[Usage-Delta-MB]],InterspecUsage[[#This Row],[Free-of-Max]])</f>
        <v>457</v>
      </c>
      <c r="R59" s="3">
        <v>44648</v>
      </c>
      <c r="S59" t="s">
        <v>24</v>
      </c>
      <c r="T59">
        <v>77</v>
      </c>
      <c r="U59">
        <v>18000</v>
      </c>
      <c r="V59">
        <v>4055</v>
      </c>
      <c r="W59">
        <v>13945</v>
      </c>
      <c r="X59">
        <v>23</v>
      </c>
      <c r="Y59">
        <v>32768</v>
      </c>
      <c r="Z59">
        <v>43</v>
      </c>
      <c r="AA59" t="s">
        <v>1</v>
      </c>
      <c r="AB59" t="s">
        <v>2</v>
      </c>
      <c r="AC59" s="8">
        <v>0</v>
      </c>
      <c r="AD59">
        <v>18823</v>
      </c>
      <c r="AE59" s="5">
        <v>18823</v>
      </c>
      <c r="AI59" s="3">
        <v>44648</v>
      </c>
      <c r="AJ59" t="s">
        <v>27</v>
      </c>
      <c r="AK59">
        <v>84</v>
      </c>
      <c r="AL59">
        <v>131072</v>
      </c>
      <c r="AM59">
        <v>20752</v>
      </c>
      <c r="AN59">
        <v>110320</v>
      </c>
      <c r="AO59">
        <v>16</v>
      </c>
      <c r="AP59">
        <v>131072</v>
      </c>
      <c r="AQ59">
        <v>84</v>
      </c>
      <c r="AR59" t="s">
        <v>1</v>
      </c>
      <c r="AS59" t="s">
        <v>2</v>
      </c>
      <c r="AT59" s="8">
        <v>236</v>
      </c>
      <c r="AU59">
        <v>20752</v>
      </c>
      <c r="AV59" s="5">
        <v>87.932203389830505</v>
      </c>
    </row>
    <row r="60" spans="1:48" x14ac:dyDescent="0.25">
      <c r="A60" s="3">
        <v>44277</v>
      </c>
      <c r="B60" t="s">
        <v>25</v>
      </c>
      <c r="C60">
        <v>94</v>
      </c>
      <c r="D60">
        <v>8950</v>
      </c>
      <c r="E60">
        <v>521</v>
      </c>
      <c r="F60">
        <v>8429</v>
      </c>
      <c r="G60">
        <v>6</v>
      </c>
      <c r="H60">
        <v>32768</v>
      </c>
      <c r="I60">
        <v>26</v>
      </c>
      <c r="J60" t="s">
        <v>1</v>
      </c>
      <c r="K60" t="s">
        <v>2</v>
      </c>
      <c r="L60" s="8">
        <f>InterspecUsage[[#This Row],[Used-MB]]-F50</f>
        <v>0</v>
      </c>
      <c r="M60">
        <f>InterspecUsage[[#This Row],[Max]]-InterspecUsage[[#This Row],[Used-MB]]</f>
        <v>24339</v>
      </c>
      <c r="N60" s="5">
        <f>IF($L60&gt;0,InterspecUsage[[#This Row],[Free-of-Max]]/InterspecUsage[[#This Row],[Usage-Delta-MB]],InterspecUsage[[#This Row],[Free-of-Max]])</f>
        <v>24339</v>
      </c>
      <c r="R60" s="3">
        <v>44656</v>
      </c>
      <c r="S60" t="s">
        <v>24</v>
      </c>
      <c r="T60">
        <v>78</v>
      </c>
      <c r="U60">
        <v>18000</v>
      </c>
      <c r="V60">
        <v>4046</v>
      </c>
      <c r="W60">
        <v>13954</v>
      </c>
      <c r="X60">
        <v>22</v>
      </c>
      <c r="Y60">
        <v>32768</v>
      </c>
      <c r="Z60">
        <v>43</v>
      </c>
      <c r="AA60" t="s">
        <v>1</v>
      </c>
      <c r="AB60" t="s">
        <v>2</v>
      </c>
      <c r="AC60" s="8">
        <v>9</v>
      </c>
      <c r="AD60">
        <v>18814</v>
      </c>
      <c r="AE60" s="5">
        <v>2090.4444444444443</v>
      </c>
      <c r="AI60" s="3">
        <v>44656</v>
      </c>
      <c r="AJ60" t="s">
        <v>27</v>
      </c>
      <c r="AK60">
        <v>85</v>
      </c>
      <c r="AL60">
        <v>131072</v>
      </c>
      <c r="AM60">
        <v>20206</v>
      </c>
      <c r="AN60">
        <v>110866</v>
      </c>
      <c r="AO60">
        <v>15</v>
      </c>
      <c r="AP60">
        <v>131072</v>
      </c>
      <c r="AQ60">
        <v>85</v>
      </c>
      <c r="AR60" t="s">
        <v>1</v>
      </c>
      <c r="AS60" t="s">
        <v>2</v>
      </c>
      <c r="AT60" s="8">
        <v>546</v>
      </c>
      <c r="AU60">
        <v>20206</v>
      </c>
      <c r="AV60" s="5">
        <v>37.007326007326007</v>
      </c>
    </row>
    <row r="61" spans="1:48" x14ac:dyDescent="0.25">
      <c r="A61" s="3">
        <v>44277</v>
      </c>
      <c r="B61" t="s">
        <v>29</v>
      </c>
      <c r="C61">
        <v>0</v>
      </c>
      <c r="D61">
        <v>500</v>
      </c>
      <c r="E61">
        <v>499</v>
      </c>
      <c r="F61">
        <v>1</v>
      </c>
      <c r="G61">
        <v>100</v>
      </c>
      <c r="H61">
        <v>500</v>
      </c>
      <c r="I61">
        <v>0</v>
      </c>
      <c r="J61" t="s">
        <v>1</v>
      </c>
      <c r="K61" t="s">
        <v>2</v>
      </c>
      <c r="L61" s="8">
        <f>InterspecUsage[[#This Row],[Used-MB]]-F51</f>
        <v>0</v>
      </c>
      <c r="M61">
        <f>InterspecUsage[[#This Row],[Max]]-InterspecUsage[[#This Row],[Used-MB]]</f>
        <v>499</v>
      </c>
      <c r="N61" s="5">
        <f>IF($L61&gt;0,InterspecUsage[[#This Row],[Free-of-Max]]/InterspecUsage[[#This Row],[Usage-Delta-MB]],InterspecUsage[[#This Row],[Free-of-Max]])</f>
        <v>499</v>
      </c>
      <c r="R61" s="3">
        <v>44662</v>
      </c>
      <c r="S61" t="s">
        <v>24</v>
      </c>
      <c r="T61">
        <v>78</v>
      </c>
      <c r="U61">
        <v>18000</v>
      </c>
      <c r="V61">
        <v>3982</v>
      </c>
      <c r="W61">
        <v>14018</v>
      </c>
      <c r="X61">
        <v>22</v>
      </c>
      <c r="Y61">
        <v>32768</v>
      </c>
      <c r="Z61">
        <v>43</v>
      </c>
      <c r="AA61" t="s">
        <v>1</v>
      </c>
      <c r="AB61" t="s">
        <v>2</v>
      </c>
      <c r="AC61" s="8">
        <v>64</v>
      </c>
      <c r="AD61">
        <v>18750</v>
      </c>
      <c r="AE61" s="5">
        <v>292.96875</v>
      </c>
      <c r="AI61" s="3">
        <v>44662</v>
      </c>
      <c r="AJ61" t="s">
        <v>27</v>
      </c>
      <c r="AK61">
        <v>85</v>
      </c>
      <c r="AL61">
        <v>131072</v>
      </c>
      <c r="AM61">
        <v>20061</v>
      </c>
      <c r="AN61">
        <v>111011</v>
      </c>
      <c r="AO61">
        <v>15</v>
      </c>
      <c r="AP61">
        <v>131072</v>
      </c>
      <c r="AQ61">
        <v>85</v>
      </c>
      <c r="AR61" t="s">
        <v>1</v>
      </c>
      <c r="AS61" t="s">
        <v>2</v>
      </c>
      <c r="AT61" s="8">
        <v>145</v>
      </c>
      <c r="AU61">
        <v>20061</v>
      </c>
      <c r="AV61" s="5">
        <v>138.35172413793103</v>
      </c>
    </row>
    <row r="62" spans="1:48" x14ac:dyDescent="0.25">
      <c r="A62" s="3">
        <v>44284</v>
      </c>
      <c r="B62" t="s">
        <v>26</v>
      </c>
      <c r="C62">
        <v>94</v>
      </c>
      <c r="D62">
        <v>16288</v>
      </c>
      <c r="E62">
        <v>970</v>
      </c>
      <c r="F62">
        <v>15318</v>
      </c>
      <c r="G62">
        <v>6</v>
      </c>
      <c r="H62">
        <v>40960</v>
      </c>
      <c r="I62">
        <v>37</v>
      </c>
      <c r="J62" t="s">
        <v>1</v>
      </c>
      <c r="K62" t="s">
        <v>2</v>
      </c>
      <c r="L62" s="8">
        <f>InterspecUsage[[#This Row],[Used-MB]]-F52</f>
        <v>130</v>
      </c>
      <c r="M62">
        <f>InterspecUsage[[#This Row],[Max]]-InterspecUsage[[#This Row],[Used-MB]]</f>
        <v>25642</v>
      </c>
      <c r="N62" s="5">
        <f>IF($L62&gt;0,InterspecUsage[[#This Row],[Free-of-Max]]/InterspecUsage[[#This Row],[Usage-Delta-MB]],InterspecUsage[[#This Row],[Free-of-Max]])</f>
        <v>197.24615384615385</v>
      </c>
      <c r="R62" s="3">
        <v>44670</v>
      </c>
      <c r="S62" t="s">
        <v>24</v>
      </c>
      <c r="T62">
        <v>78</v>
      </c>
      <c r="U62">
        <v>18000</v>
      </c>
      <c r="V62">
        <v>3981</v>
      </c>
      <c r="W62">
        <v>14019</v>
      </c>
      <c r="X62">
        <v>22</v>
      </c>
      <c r="Y62">
        <v>32768</v>
      </c>
      <c r="Z62">
        <v>43</v>
      </c>
      <c r="AA62" t="s">
        <v>1</v>
      </c>
      <c r="AB62" t="s">
        <v>2</v>
      </c>
      <c r="AC62" s="8">
        <v>1</v>
      </c>
      <c r="AD62">
        <v>18749</v>
      </c>
      <c r="AE62" s="5">
        <v>18749</v>
      </c>
      <c r="AI62" s="3">
        <v>44670</v>
      </c>
      <c r="AJ62" t="s">
        <v>27</v>
      </c>
      <c r="AK62">
        <v>85</v>
      </c>
      <c r="AL62">
        <v>131072</v>
      </c>
      <c r="AM62">
        <v>19973</v>
      </c>
      <c r="AN62">
        <v>111099</v>
      </c>
      <c r="AO62">
        <v>15</v>
      </c>
      <c r="AP62">
        <v>131072</v>
      </c>
      <c r="AQ62">
        <v>85</v>
      </c>
      <c r="AR62" t="s">
        <v>1</v>
      </c>
      <c r="AS62" t="s">
        <v>2</v>
      </c>
      <c r="AT62" s="8">
        <v>88</v>
      </c>
      <c r="AU62">
        <v>19973</v>
      </c>
      <c r="AV62" s="5">
        <v>226.96590909090909</v>
      </c>
    </row>
    <row r="63" spans="1:48" x14ac:dyDescent="0.25">
      <c r="A63" s="3">
        <v>44284</v>
      </c>
      <c r="B63" t="s">
        <v>24</v>
      </c>
      <c r="C63">
        <v>95</v>
      </c>
      <c r="D63">
        <v>18000</v>
      </c>
      <c r="E63">
        <v>927</v>
      </c>
      <c r="F63">
        <v>17073</v>
      </c>
      <c r="G63">
        <v>5</v>
      </c>
      <c r="H63">
        <v>32768</v>
      </c>
      <c r="I63">
        <v>52</v>
      </c>
      <c r="J63" t="s">
        <v>1</v>
      </c>
      <c r="K63" t="s">
        <v>2</v>
      </c>
      <c r="L63" s="8">
        <f>InterspecUsage[[#This Row],[Used-MB]]-F53</f>
        <v>8</v>
      </c>
      <c r="M63">
        <f>InterspecUsage[[#This Row],[Max]]-InterspecUsage[[#This Row],[Used-MB]]</f>
        <v>15695</v>
      </c>
      <c r="N63" s="5">
        <f>IF($L63&gt;0,InterspecUsage[[#This Row],[Free-of-Max]]/InterspecUsage[[#This Row],[Usage-Delta-MB]],InterspecUsage[[#This Row],[Free-of-Max]])</f>
        <v>1961.875</v>
      </c>
      <c r="R63" s="3">
        <v>44676</v>
      </c>
      <c r="S63" t="s">
        <v>24</v>
      </c>
      <c r="T63">
        <v>78</v>
      </c>
      <c r="U63">
        <v>18000</v>
      </c>
      <c r="V63">
        <v>3980</v>
      </c>
      <c r="W63">
        <v>14020</v>
      </c>
      <c r="X63">
        <v>22</v>
      </c>
      <c r="Y63">
        <v>32768</v>
      </c>
      <c r="Z63">
        <v>43</v>
      </c>
      <c r="AA63" t="s">
        <v>1</v>
      </c>
      <c r="AB63" t="s">
        <v>2</v>
      </c>
      <c r="AC63" s="8">
        <v>1</v>
      </c>
      <c r="AD63">
        <v>18748</v>
      </c>
      <c r="AE63" s="5">
        <v>18748</v>
      </c>
      <c r="AI63" s="3">
        <v>44676</v>
      </c>
      <c r="AJ63" t="s">
        <v>27</v>
      </c>
      <c r="AK63">
        <v>85</v>
      </c>
      <c r="AL63">
        <v>131072</v>
      </c>
      <c r="AM63">
        <v>19763</v>
      </c>
      <c r="AN63">
        <v>111309</v>
      </c>
      <c r="AO63">
        <v>15</v>
      </c>
      <c r="AP63">
        <v>131072</v>
      </c>
      <c r="AQ63">
        <v>85</v>
      </c>
      <c r="AR63" t="s">
        <v>1</v>
      </c>
      <c r="AS63" t="s">
        <v>2</v>
      </c>
      <c r="AT63" s="8">
        <v>210</v>
      </c>
      <c r="AU63">
        <v>19763</v>
      </c>
      <c r="AV63" s="5">
        <v>94.109523809523807</v>
      </c>
    </row>
    <row r="64" spans="1:48" x14ac:dyDescent="0.25">
      <c r="A64" s="3">
        <v>44284</v>
      </c>
      <c r="B64" s="7" t="s">
        <v>35</v>
      </c>
      <c r="C64">
        <v>95</v>
      </c>
      <c r="D64">
        <v>20000</v>
      </c>
      <c r="E64">
        <v>1052</v>
      </c>
      <c r="F64">
        <v>18948</v>
      </c>
      <c r="G64">
        <v>5</v>
      </c>
      <c r="H64">
        <v>32768</v>
      </c>
      <c r="I64">
        <v>58</v>
      </c>
      <c r="J64" t="s">
        <v>1</v>
      </c>
      <c r="K64" t="s">
        <v>2</v>
      </c>
      <c r="L64" s="8">
        <f>InterspecUsage[[#This Row],[Used-MB]]-F54</f>
        <v>64</v>
      </c>
      <c r="M64">
        <f>InterspecUsage[[#This Row],[Max]]-InterspecUsage[[#This Row],[Used-MB]]</f>
        <v>13820</v>
      </c>
      <c r="N64" s="5">
        <f>IF($L64&gt;0,InterspecUsage[[#This Row],[Free-of-Max]]/InterspecUsage[[#This Row],[Usage-Delta-MB]],InterspecUsage[[#This Row],[Free-of-Max]])</f>
        <v>215.9375</v>
      </c>
      <c r="R64" s="3">
        <v>44686</v>
      </c>
      <c r="S64" t="s">
        <v>24</v>
      </c>
      <c r="T64">
        <v>79</v>
      </c>
      <c r="U64">
        <v>18000</v>
      </c>
      <c r="V64">
        <v>3842</v>
      </c>
      <c r="W64">
        <v>14158</v>
      </c>
      <c r="X64">
        <v>21</v>
      </c>
      <c r="Y64">
        <v>32768</v>
      </c>
      <c r="Z64">
        <v>43</v>
      </c>
      <c r="AA64" t="s">
        <v>1</v>
      </c>
      <c r="AB64" t="s">
        <v>2</v>
      </c>
      <c r="AC64" s="8">
        <v>138</v>
      </c>
      <c r="AD64">
        <v>18610</v>
      </c>
      <c r="AE64" s="5">
        <v>134.85507246376812</v>
      </c>
      <c r="AI64" s="3">
        <v>44686</v>
      </c>
      <c r="AJ64" t="s">
        <v>27</v>
      </c>
      <c r="AK64">
        <v>87</v>
      </c>
      <c r="AL64">
        <v>131072</v>
      </c>
      <c r="AM64">
        <v>17449</v>
      </c>
      <c r="AN64">
        <v>113623</v>
      </c>
      <c r="AO64">
        <v>13</v>
      </c>
      <c r="AP64">
        <v>131072</v>
      </c>
      <c r="AQ64">
        <v>87</v>
      </c>
      <c r="AR64" t="s">
        <v>1</v>
      </c>
      <c r="AS64" t="s">
        <v>2</v>
      </c>
      <c r="AT64" s="8">
        <v>2314</v>
      </c>
      <c r="AU64">
        <v>17449</v>
      </c>
      <c r="AV64" s="5">
        <v>7.5406222990492653</v>
      </c>
    </row>
    <row r="65" spans="1:48" x14ac:dyDescent="0.25">
      <c r="A65" s="3">
        <v>44284</v>
      </c>
      <c r="B65" t="s">
        <v>27</v>
      </c>
      <c r="C65">
        <v>73</v>
      </c>
      <c r="D65">
        <v>131072</v>
      </c>
      <c r="E65">
        <v>35410</v>
      </c>
      <c r="F65">
        <v>95662</v>
      </c>
      <c r="G65">
        <v>27</v>
      </c>
      <c r="H65">
        <v>131072</v>
      </c>
      <c r="I65">
        <v>73</v>
      </c>
      <c r="J65" t="s">
        <v>1</v>
      </c>
      <c r="K65" t="s">
        <v>2</v>
      </c>
      <c r="L65" s="8">
        <f>InterspecUsage[[#This Row],[Used-MB]]-F55</f>
        <v>129</v>
      </c>
      <c r="M65">
        <f>InterspecUsage[[#This Row],[Max]]-InterspecUsage[[#This Row],[Used-MB]]</f>
        <v>35410</v>
      </c>
      <c r="N65" s="5">
        <f>IF($L65&gt;0,InterspecUsage[[#This Row],[Free-of-Max]]/InterspecUsage[[#This Row],[Usage-Delta-MB]],InterspecUsage[[#This Row],[Free-of-Max]])</f>
        <v>274.49612403100775</v>
      </c>
      <c r="R65" s="3">
        <v>44690</v>
      </c>
      <c r="S65" t="s">
        <v>24</v>
      </c>
      <c r="T65">
        <v>79</v>
      </c>
      <c r="U65">
        <v>18000</v>
      </c>
      <c r="V65">
        <v>3842</v>
      </c>
      <c r="W65">
        <v>14158</v>
      </c>
      <c r="X65">
        <v>21</v>
      </c>
      <c r="Y65">
        <v>32768</v>
      </c>
      <c r="Z65">
        <v>43</v>
      </c>
      <c r="AA65" t="s">
        <v>1</v>
      </c>
      <c r="AB65" t="s">
        <v>2</v>
      </c>
      <c r="AC65" s="8">
        <v>0</v>
      </c>
      <c r="AD65">
        <v>18610</v>
      </c>
      <c r="AE65" s="5">
        <v>18610</v>
      </c>
      <c r="AI65" s="3">
        <v>44690</v>
      </c>
      <c r="AJ65" t="s">
        <v>27</v>
      </c>
      <c r="AK65">
        <v>87</v>
      </c>
      <c r="AL65">
        <v>131072</v>
      </c>
      <c r="AM65">
        <v>17320</v>
      </c>
      <c r="AN65">
        <v>113752</v>
      </c>
      <c r="AO65">
        <v>13</v>
      </c>
      <c r="AP65">
        <v>131072</v>
      </c>
      <c r="AQ65">
        <v>87</v>
      </c>
      <c r="AR65" t="s">
        <v>1</v>
      </c>
      <c r="AS65" t="s">
        <v>2</v>
      </c>
      <c r="AT65" s="8">
        <v>129</v>
      </c>
      <c r="AU65">
        <v>17320</v>
      </c>
      <c r="AV65" s="5">
        <v>134.26356589147287</v>
      </c>
    </row>
    <row r="66" spans="1:48" x14ac:dyDescent="0.25">
      <c r="A66" s="3">
        <v>44284</v>
      </c>
      <c r="B66" t="s">
        <v>7</v>
      </c>
      <c r="C66">
        <v>96</v>
      </c>
      <c r="D66">
        <v>810</v>
      </c>
      <c r="E66">
        <v>31</v>
      </c>
      <c r="F66">
        <v>780</v>
      </c>
      <c r="G66">
        <v>4</v>
      </c>
      <c r="H66">
        <v>32768</v>
      </c>
      <c r="I66">
        <v>2</v>
      </c>
      <c r="J66" t="s">
        <v>1</v>
      </c>
      <c r="K66" t="s">
        <v>2</v>
      </c>
      <c r="L66" s="8">
        <f>InterspecUsage[[#This Row],[Used-MB]]-F56</f>
        <v>8</v>
      </c>
      <c r="M66">
        <f>InterspecUsage[[#This Row],[Max]]-InterspecUsage[[#This Row],[Used-MB]]</f>
        <v>31988</v>
      </c>
      <c r="N66" s="5">
        <f>IF($L66&gt;0,InterspecUsage[[#This Row],[Free-of-Max]]/InterspecUsage[[#This Row],[Usage-Delta-MB]],InterspecUsage[[#This Row],[Free-of-Max]])</f>
        <v>3998.5</v>
      </c>
      <c r="R66" s="3">
        <v>44697</v>
      </c>
      <c r="S66" t="s">
        <v>24</v>
      </c>
      <c r="T66">
        <v>79</v>
      </c>
      <c r="U66">
        <v>18000</v>
      </c>
      <c r="V66">
        <v>3842</v>
      </c>
      <c r="W66">
        <v>14158</v>
      </c>
      <c r="X66">
        <v>21</v>
      </c>
      <c r="Y66">
        <v>32768</v>
      </c>
      <c r="Z66">
        <v>43</v>
      </c>
      <c r="AA66" t="s">
        <v>1</v>
      </c>
      <c r="AB66" t="s">
        <v>2</v>
      </c>
      <c r="AC66" s="8">
        <v>0</v>
      </c>
      <c r="AD66">
        <v>18610</v>
      </c>
      <c r="AE66" s="5">
        <v>18610</v>
      </c>
      <c r="AI66" s="3">
        <v>44697</v>
      </c>
      <c r="AJ66" t="s">
        <v>27</v>
      </c>
      <c r="AK66">
        <v>87</v>
      </c>
      <c r="AL66">
        <v>131072</v>
      </c>
      <c r="AM66">
        <v>17254</v>
      </c>
      <c r="AN66">
        <v>113818</v>
      </c>
      <c r="AO66">
        <v>13</v>
      </c>
      <c r="AP66">
        <v>131072</v>
      </c>
      <c r="AQ66">
        <v>87</v>
      </c>
      <c r="AR66" t="s">
        <v>1</v>
      </c>
      <c r="AS66" t="s">
        <v>2</v>
      </c>
      <c r="AT66" s="8">
        <v>66</v>
      </c>
      <c r="AU66">
        <v>17254</v>
      </c>
      <c r="AV66" s="5">
        <v>261.42424242424244</v>
      </c>
    </row>
    <row r="67" spans="1:48" x14ac:dyDescent="0.25">
      <c r="A67" s="3">
        <v>44284</v>
      </c>
      <c r="B67" t="s">
        <v>0</v>
      </c>
      <c r="C67">
        <v>100</v>
      </c>
      <c r="D67">
        <v>2690</v>
      </c>
      <c r="E67">
        <v>8</v>
      </c>
      <c r="F67">
        <v>2683</v>
      </c>
      <c r="G67">
        <v>0</v>
      </c>
      <c r="H67">
        <v>32768</v>
      </c>
      <c r="I67">
        <v>8</v>
      </c>
      <c r="J67" t="s">
        <v>1</v>
      </c>
      <c r="K67" t="s">
        <v>2</v>
      </c>
      <c r="L67" s="8">
        <f>InterspecUsage[[#This Row],[Used-MB]]-F57</f>
        <v>0</v>
      </c>
      <c r="M67">
        <f>InterspecUsage[[#This Row],[Max]]-InterspecUsage[[#This Row],[Used-MB]]</f>
        <v>30085</v>
      </c>
      <c r="N67" s="5">
        <f>IF($L67&gt;0,InterspecUsage[[#This Row],[Free-of-Max]]/InterspecUsage[[#This Row],[Usage-Delta-MB]],InterspecUsage[[#This Row],[Free-of-Max]])</f>
        <v>30085</v>
      </c>
      <c r="R67" s="3">
        <v>44705</v>
      </c>
      <c r="S67" t="s">
        <v>24</v>
      </c>
      <c r="T67">
        <v>79</v>
      </c>
      <c r="U67">
        <v>18000</v>
      </c>
      <c r="V67">
        <v>3842</v>
      </c>
      <c r="W67">
        <v>14158</v>
      </c>
      <c r="X67">
        <v>21</v>
      </c>
      <c r="Y67">
        <v>32768</v>
      </c>
      <c r="Z67">
        <v>43</v>
      </c>
      <c r="AA67" t="s">
        <v>1</v>
      </c>
      <c r="AB67" t="s">
        <v>2</v>
      </c>
      <c r="AC67" s="8">
        <v>0</v>
      </c>
      <c r="AD67">
        <v>18610</v>
      </c>
      <c r="AE67" s="5">
        <v>18610</v>
      </c>
      <c r="AI67" s="3">
        <v>44705</v>
      </c>
      <c r="AJ67" t="s">
        <v>27</v>
      </c>
      <c r="AK67">
        <v>87</v>
      </c>
      <c r="AL67">
        <v>131072</v>
      </c>
      <c r="AM67">
        <v>16485</v>
      </c>
      <c r="AN67">
        <v>114587</v>
      </c>
      <c r="AO67">
        <v>13</v>
      </c>
      <c r="AP67">
        <v>131072</v>
      </c>
      <c r="AQ67">
        <v>87</v>
      </c>
      <c r="AR67" t="s">
        <v>1</v>
      </c>
      <c r="AS67" t="s">
        <v>2</v>
      </c>
      <c r="AT67" s="8">
        <v>769</v>
      </c>
      <c r="AU67">
        <v>16485</v>
      </c>
      <c r="AV67" s="5">
        <v>21.436931079323799</v>
      </c>
    </row>
    <row r="68" spans="1:48" x14ac:dyDescent="0.25">
      <c r="A68" s="3">
        <v>44284</v>
      </c>
      <c r="B68" t="s">
        <v>30</v>
      </c>
      <c r="C68">
        <v>0</v>
      </c>
      <c r="D68">
        <v>32767</v>
      </c>
      <c r="E68">
        <v>32751</v>
      </c>
      <c r="F68">
        <v>16</v>
      </c>
      <c r="G68">
        <v>100</v>
      </c>
      <c r="H68">
        <v>32768</v>
      </c>
      <c r="I68">
        <v>0</v>
      </c>
      <c r="J68" t="s">
        <v>1</v>
      </c>
      <c r="K68" t="s">
        <v>13</v>
      </c>
      <c r="L68" s="8">
        <f>InterspecUsage[[#This Row],[Used-MB]]-F58</f>
        <v>-15</v>
      </c>
      <c r="M68">
        <f>InterspecUsage[[#This Row],[Max]]-InterspecUsage[[#This Row],[Used-MB]]</f>
        <v>32752</v>
      </c>
      <c r="N68" s="5">
        <f>IF($L68&gt;0,InterspecUsage[[#This Row],[Free-of-Max]]/InterspecUsage[[#This Row],[Usage-Delta-MB]],InterspecUsage[[#This Row],[Free-of-Max]])</f>
        <v>32752</v>
      </c>
      <c r="R68" s="3">
        <v>44719</v>
      </c>
      <c r="S68" t="s">
        <v>24</v>
      </c>
      <c r="T68">
        <v>79</v>
      </c>
      <c r="U68">
        <v>18000</v>
      </c>
      <c r="V68">
        <v>3767</v>
      </c>
      <c r="W68">
        <v>14233</v>
      </c>
      <c r="X68">
        <v>21</v>
      </c>
      <c r="Y68">
        <v>32768</v>
      </c>
      <c r="Z68">
        <v>43</v>
      </c>
      <c r="AA68" t="s">
        <v>1</v>
      </c>
      <c r="AB68" t="s">
        <v>2</v>
      </c>
      <c r="AC68" s="8">
        <v>75</v>
      </c>
      <c r="AD68">
        <v>18535</v>
      </c>
      <c r="AE68" s="5">
        <v>247.13333333333333</v>
      </c>
      <c r="AI68" s="3">
        <v>44719</v>
      </c>
      <c r="AJ68" t="s">
        <v>27</v>
      </c>
      <c r="AK68">
        <v>88</v>
      </c>
      <c r="AL68">
        <v>131072</v>
      </c>
      <c r="AM68">
        <v>16208</v>
      </c>
      <c r="AN68">
        <v>114864</v>
      </c>
      <c r="AO68">
        <v>12</v>
      </c>
      <c r="AP68">
        <v>131072</v>
      </c>
      <c r="AQ68">
        <v>88</v>
      </c>
      <c r="AR68" t="s">
        <v>1</v>
      </c>
      <c r="AS68" t="s">
        <v>2</v>
      </c>
      <c r="AT68" s="8">
        <v>277</v>
      </c>
      <c r="AU68">
        <v>16208</v>
      </c>
      <c r="AV68" s="5">
        <v>58.512635379061372</v>
      </c>
    </row>
    <row r="69" spans="1:48" x14ac:dyDescent="0.25">
      <c r="A69" s="3">
        <v>44284</v>
      </c>
      <c r="B69" t="s">
        <v>28</v>
      </c>
      <c r="C69">
        <v>24</v>
      </c>
      <c r="D69">
        <v>16400</v>
      </c>
      <c r="E69">
        <v>12479</v>
      </c>
      <c r="F69">
        <v>3921</v>
      </c>
      <c r="G69">
        <v>76</v>
      </c>
      <c r="H69">
        <v>32768</v>
      </c>
      <c r="I69">
        <v>12</v>
      </c>
      <c r="J69" t="s">
        <v>1</v>
      </c>
      <c r="K69" t="s">
        <v>10</v>
      </c>
      <c r="L69" s="8">
        <f>InterspecUsage[[#This Row],[Used-MB]]-F59</f>
        <v>-56</v>
      </c>
      <c r="M69">
        <f>InterspecUsage[[#This Row],[Max]]-InterspecUsage[[#This Row],[Used-MB]]</f>
        <v>28847</v>
      </c>
      <c r="N69" s="5">
        <f>IF($L69&gt;0,InterspecUsage[[#This Row],[Free-of-Max]]/InterspecUsage[[#This Row],[Usage-Delta-MB]],InterspecUsage[[#This Row],[Free-of-Max]])</f>
        <v>28847</v>
      </c>
      <c r="R69" s="3">
        <v>44726</v>
      </c>
      <c r="S69" t="s">
        <v>24</v>
      </c>
      <c r="T69">
        <v>79</v>
      </c>
      <c r="U69">
        <v>18000</v>
      </c>
      <c r="V69">
        <v>3738</v>
      </c>
      <c r="W69">
        <v>14262</v>
      </c>
      <c r="X69">
        <v>21</v>
      </c>
      <c r="Y69">
        <v>32768</v>
      </c>
      <c r="Z69">
        <v>44</v>
      </c>
      <c r="AA69" t="s">
        <v>1</v>
      </c>
      <c r="AB69" t="s">
        <v>2</v>
      </c>
      <c r="AC69" s="8">
        <v>29</v>
      </c>
      <c r="AD69">
        <v>18506</v>
      </c>
      <c r="AE69" s="5">
        <v>638.13793103448279</v>
      </c>
      <c r="AI69" s="3">
        <v>44726</v>
      </c>
      <c r="AJ69" t="s">
        <v>27</v>
      </c>
      <c r="AK69">
        <v>88</v>
      </c>
      <c r="AL69">
        <v>131072</v>
      </c>
      <c r="AM69">
        <v>16184</v>
      </c>
      <c r="AN69">
        <v>114888</v>
      </c>
      <c r="AO69">
        <v>12</v>
      </c>
      <c r="AP69">
        <v>131072</v>
      </c>
      <c r="AQ69">
        <v>88</v>
      </c>
      <c r="AR69" t="s">
        <v>1</v>
      </c>
      <c r="AS69" t="s">
        <v>2</v>
      </c>
      <c r="AT69" s="8">
        <v>24</v>
      </c>
      <c r="AU69">
        <v>16184</v>
      </c>
      <c r="AV69" s="5">
        <v>674.33333333333337</v>
      </c>
    </row>
    <row r="70" spans="1:48" x14ac:dyDescent="0.25">
      <c r="A70" s="3">
        <v>44284</v>
      </c>
      <c r="B70" t="s">
        <v>25</v>
      </c>
      <c r="C70">
        <v>94</v>
      </c>
      <c r="D70">
        <v>8950</v>
      </c>
      <c r="E70">
        <v>521</v>
      </c>
      <c r="F70">
        <v>8429</v>
      </c>
      <c r="G70">
        <v>6</v>
      </c>
      <c r="H70">
        <v>32768</v>
      </c>
      <c r="I70">
        <v>26</v>
      </c>
      <c r="J70" t="s">
        <v>1</v>
      </c>
      <c r="K70" t="s">
        <v>2</v>
      </c>
      <c r="L70" s="8">
        <f>InterspecUsage[[#This Row],[Used-MB]]-F60</f>
        <v>0</v>
      </c>
      <c r="M70">
        <f>InterspecUsage[[#This Row],[Max]]-InterspecUsage[[#This Row],[Used-MB]]</f>
        <v>24339</v>
      </c>
      <c r="N70" s="5">
        <f>IF($L70&gt;0,InterspecUsage[[#This Row],[Free-of-Max]]/InterspecUsage[[#This Row],[Usage-Delta-MB]],InterspecUsage[[#This Row],[Free-of-Max]])</f>
        <v>24339</v>
      </c>
      <c r="R70" s="3">
        <v>44739</v>
      </c>
      <c r="S70" t="s">
        <v>24</v>
      </c>
      <c r="T70">
        <v>79</v>
      </c>
      <c r="U70">
        <v>18000</v>
      </c>
      <c r="V70">
        <v>3722</v>
      </c>
      <c r="W70">
        <v>14278</v>
      </c>
      <c r="X70">
        <v>21</v>
      </c>
      <c r="Y70">
        <v>32768</v>
      </c>
      <c r="Z70">
        <v>44</v>
      </c>
      <c r="AA70" t="s">
        <v>1</v>
      </c>
      <c r="AB70" t="s">
        <v>2</v>
      </c>
      <c r="AC70" s="8">
        <v>16</v>
      </c>
      <c r="AD70">
        <v>18490</v>
      </c>
      <c r="AE70" s="5">
        <v>1155.625</v>
      </c>
      <c r="AI70" s="3">
        <v>44739</v>
      </c>
      <c r="AJ70" t="s">
        <v>27</v>
      </c>
      <c r="AK70">
        <v>89</v>
      </c>
      <c r="AL70">
        <v>131072</v>
      </c>
      <c r="AM70">
        <v>14948</v>
      </c>
      <c r="AN70">
        <v>116124</v>
      </c>
      <c r="AO70">
        <v>11</v>
      </c>
      <c r="AP70">
        <v>131072</v>
      </c>
      <c r="AQ70">
        <v>89</v>
      </c>
      <c r="AR70" t="s">
        <v>1</v>
      </c>
      <c r="AS70" t="s">
        <v>2</v>
      </c>
      <c r="AT70" s="8">
        <v>1236</v>
      </c>
      <c r="AU70">
        <v>14948</v>
      </c>
      <c r="AV70" s="5">
        <v>12.093851132686083</v>
      </c>
    </row>
    <row r="71" spans="1:48" x14ac:dyDescent="0.25">
      <c r="A71" s="3">
        <v>44284</v>
      </c>
      <c r="B71" t="s">
        <v>29</v>
      </c>
      <c r="C71">
        <v>0</v>
      </c>
      <c r="D71">
        <v>500</v>
      </c>
      <c r="E71">
        <v>499</v>
      </c>
      <c r="F71">
        <v>1</v>
      </c>
      <c r="G71">
        <v>100</v>
      </c>
      <c r="H71">
        <v>500</v>
      </c>
      <c r="I71">
        <v>0</v>
      </c>
      <c r="J71" t="s">
        <v>1</v>
      </c>
      <c r="K71" t="s">
        <v>2</v>
      </c>
      <c r="L71" s="8">
        <f>InterspecUsage[[#This Row],[Used-MB]]-F61</f>
        <v>0</v>
      </c>
      <c r="M71">
        <f>InterspecUsage[[#This Row],[Max]]-InterspecUsage[[#This Row],[Used-MB]]</f>
        <v>499</v>
      </c>
      <c r="N71" s="5">
        <f>IF($L71&gt;0,InterspecUsage[[#This Row],[Free-of-Max]]/InterspecUsage[[#This Row],[Usage-Delta-MB]],InterspecUsage[[#This Row],[Free-of-Max]])</f>
        <v>499</v>
      </c>
      <c r="R71" s="3">
        <v>44745</v>
      </c>
      <c r="S71" t="s">
        <v>24</v>
      </c>
      <c r="T71">
        <v>79</v>
      </c>
      <c r="U71">
        <v>18000</v>
      </c>
      <c r="V71">
        <v>3752</v>
      </c>
      <c r="W71">
        <v>14248</v>
      </c>
      <c r="X71">
        <v>21</v>
      </c>
      <c r="Y71">
        <v>32768</v>
      </c>
      <c r="Z71">
        <v>43</v>
      </c>
      <c r="AA71" t="s">
        <v>1</v>
      </c>
      <c r="AB71" t="s">
        <v>2</v>
      </c>
      <c r="AC71" s="8">
        <v>-30</v>
      </c>
      <c r="AD71">
        <v>18520</v>
      </c>
      <c r="AE71" s="5">
        <v>18520</v>
      </c>
      <c r="AI71" s="3">
        <v>44745</v>
      </c>
      <c r="AJ71" t="s">
        <v>27</v>
      </c>
      <c r="AK71">
        <v>89</v>
      </c>
      <c r="AL71">
        <v>131072</v>
      </c>
      <c r="AM71">
        <v>14908</v>
      </c>
      <c r="AN71">
        <v>116164</v>
      </c>
      <c r="AO71">
        <v>11</v>
      </c>
      <c r="AP71">
        <v>131072</v>
      </c>
      <c r="AQ71">
        <v>89</v>
      </c>
      <c r="AR71" t="s">
        <v>1</v>
      </c>
      <c r="AS71" t="s">
        <v>2</v>
      </c>
      <c r="AT71" s="8">
        <v>40</v>
      </c>
      <c r="AU71">
        <v>14908</v>
      </c>
      <c r="AV71" s="5">
        <v>372.7</v>
      </c>
    </row>
    <row r="72" spans="1:48" x14ac:dyDescent="0.25">
      <c r="A72" s="3">
        <v>44292</v>
      </c>
      <c r="B72" t="s">
        <v>26</v>
      </c>
      <c r="C72">
        <v>94</v>
      </c>
      <c r="D72">
        <v>16288</v>
      </c>
      <c r="E72">
        <v>970</v>
      </c>
      <c r="F72">
        <v>15318</v>
      </c>
      <c r="G72">
        <v>6</v>
      </c>
      <c r="H72">
        <v>40960</v>
      </c>
      <c r="I72">
        <v>37</v>
      </c>
      <c r="J72" t="s">
        <v>1</v>
      </c>
      <c r="K72" t="s">
        <v>2</v>
      </c>
      <c r="L72" s="8">
        <f>InterspecUsage[[#This Row],[Used-MB]]-F62</f>
        <v>0</v>
      </c>
      <c r="M72">
        <f>InterspecUsage[[#This Row],[Max]]-InterspecUsage[[#This Row],[Used-MB]]</f>
        <v>25642</v>
      </c>
      <c r="N72" s="5">
        <f>IF($L72&gt;0,InterspecUsage[[#This Row],[Free-of-Max]]/InterspecUsage[[#This Row],[Usage-Delta-MB]],InterspecUsage[[#This Row],[Free-of-Max]])</f>
        <v>25642</v>
      </c>
      <c r="R72" s="3">
        <v>44760</v>
      </c>
      <c r="S72" t="s">
        <v>24</v>
      </c>
      <c r="T72">
        <v>81</v>
      </c>
      <c r="U72">
        <v>18000</v>
      </c>
      <c r="V72">
        <v>3353</v>
      </c>
      <c r="W72">
        <v>14647</v>
      </c>
      <c r="X72">
        <v>19</v>
      </c>
      <c r="Y72">
        <v>32768</v>
      </c>
      <c r="Z72">
        <v>45</v>
      </c>
      <c r="AA72" t="s">
        <v>1</v>
      </c>
      <c r="AB72" t="s">
        <v>2</v>
      </c>
      <c r="AC72" s="8">
        <v>399</v>
      </c>
      <c r="AD72">
        <v>18121</v>
      </c>
      <c r="AE72" s="5">
        <v>45.416040100250626</v>
      </c>
      <c r="AI72" s="3">
        <v>44760</v>
      </c>
      <c r="AJ72" t="s">
        <v>27</v>
      </c>
      <c r="AK72">
        <v>90</v>
      </c>
      <c r="AL72">
        <v>131072</v>
      </c>
      <c r="AM72">
        <v>12768</v>
      </c>
      <c r="AN72">
        <v>118304</v>
      </c>
      <c r="AO72">
        <v>10</v>
      </c>
      <c r="AP72">
        <v>131072</v>
      </c>
      <c r="AQ72">
        <v>90</v>
      </c>
      <c r="AR72" t="s">
        <v>1</v>
      </c>
      <c r="AS72" t="s">
        <v>2</v>
      </c>
      <c r="AT72" s="8">
        <v>2140</v>
      </c>
      <c r="AU72">
        <v>12768</v>
      </c>
      <c r="AV72" s="5">
        <v>5.9663551401869155</v>
      </c>
    </row>
    <row r="73" spans="1:48" x14ac:dyDescent="0.25">
      <c r="A73" s="3">
        <v>44292</v>
      </c>
      <c r="B73" t="s">
        <v>24</v>
      </c>
      <c r="C73">
        <v>95</v>
      </c>
      <c r="D73">
        <v>18000</v>
      </c>
      <c r="E73">
        <v>863</v>
      </c>
      <c r="F73">
        <v>17137</v>
      </c>
      <c r="G73">
        <v>5</v>
      </c>
      <c r="H73">
        <v>32768</v>
      </c>
      <c r="I73">
        <v>52</v>
      </c>
      <c r="J73" t="s">
        <v>1</v>
      </c>
      <c r="K73" t="s">
        <v>2</v>
      </c>
      <c r="L73" s="8">
        <f>InterspecUsage[[#This Row],[Used-MB]]-F63</f>
        <v>64</v>
      </c>
      <c r="M73">
        <f>InterspecUsage[[#This Row],[Max]]-InterspecUsage[[#This Row],[Used-MB]]</f>
        <v>15631</v>
      </c>
      <c r="N73" s="5">
        <f>IF($L73&gt;0,InterspecUsage[[#This Row],[Free-of-Max]]/InterspecUsage[[#This Row],[Usage-Delta-MB]],InterspecUsage[[#This Row],[Free-of-Max]])</f>
        <v>244.234375</v>
      </c>
      <c r="R73" s="3">
        <v>44767</v>
      </c>
      <c r="S73" t="s">
        <v>24</v>
      </c>
      <c r="T73">
        <v>83</v>
      </c>
      <c r="U73">
        <v>18000</v>
      </c>
      <c r="V73">
        <v>3113</v>
      </c>
      <c r="W73">
        <v>14887</v>
      </c>
      <c r="X73">
        <v>17</v>
      </c>
      <c r="Y73">
        <v>32768</v>
      </c>
      <c r="Z73">
        <v>45</v>
      </c>
      <c r="AA73" t="s">
        <v>1</v>
      </c>
      <c r="AB73" t="s">
        <v>2</v>
      </c>
      <c r="AC73" s="8">
        <v>240</v>
      </c>
      <c r="AD73">
        <v>17881</v>
      </c>
      <c r="AE73" s="5">
        <v>74.504166666666663</v>
      </c>
      <c r="AI73" s="3">
        <v>44767</v>
      </c>
      <c r="AJ73" t="s">
        <v>27</v>
      </c>
      <c r="AK73">
        <v>91</v>
      </c>
      <c r="AL73">
        <v>131072</v>
      </c>
      <c r="AM73">
        <v>12395</v>
      </c>
      <c r="AN73">
        <v>118677</v>
      </c>
      <c r="AO73">
        <v>9</v>
      </c>
      <c r="AP73">
        <v>131072</v>
      </c>
      <c r="AQ73">
        <v>91</v>
      </c>
      <c r="AR73" t="s">
        <v>1</v>
      </c>
      <c r="AS73" t="s">
        <v>2</v>
      </c>
      <c r="AT73" s="8">
        <v>373</v>
      </c>
      <c r="AU73">
        <v>12395</v>
      </c>
      <c r="AV73" s="5">
        <v>33.230563002680967</v>
      </c>
    </row>
    <row r="74" spans="1:48" x14ac:dyDescent="0.25">
      <c r="A74" s="3">
        <v>44292</v>
      </c>
      <c r="B74" t="s">
        <v>35</v>
      </c>
      <c r="C74">
        <v>95</v>
      </c>
      <c r="D74">
        <v>20000</v>
      </c>
      <c r="E74">
        <v>1052</v>
      </c>
      <c r="F74">
        <v>18948</v>
      </c>
      <c r="G74">
        <v>5</v>
      </c>
      <c r="H74">
        <v>32768</v>
      </c>
      <c r="I74">
        <v>58</v>
      </c>
      <c r="J74" t="s">
        <v>1</v>
      </c>
      <c r="K74" t="s">
        <v>2</v>
      </c>
      <c r="L74" s="8">
        <f>InterspecUsage[[#This Row],[Used-MB]]-F64</f>
        <v>0</v>
      </c>
      <c r="M74">
        <f>InterspecUsage[[#This Row],[Max]]-InterspecUsage[[#This Row],[Used-MB]]</f>
        <v>13820</v>
      </c>
      <c r="N74" s="5">
        <f>IF($L74&gt;0,InterspecUsage[[#This Row],[Free-of-Max]]/InterspecUsage[[#This Row],[Usage-Delta-MB]],InterspecUsage[[#This Row],[Free-of-Max]])</f>
        <v>13820</v>
      </c>
      <c r="R74" s="3">
        <v>44781</v>
      </c>
      <c r="S74" t="s">
        <v>24</v>
      </c>
      <c r="T74">
        <v>83</v>
      </c>
      <c r="U74">
        <v>18000</v>
      </c>
      <c r="V74">
        <v>2993</v>
      </c>
      <c r="W74">
        <v>15007</v>
      </c>
      <c r="X74">
        <v>17</v>
      </c>
      <c r="Y74">
        <v>32768</v>
      </c>
      <c r="Z74">
        <v>46</v>
      </c>
      <c r="AA74" t="s">
        <v>1</v>
      </c>
      <c r="AB74" t="s">
        <v>2</v>
      </c>
      <c r="AC74" s="8">
        <v>120</v>
      </c>
      <c r="AD74">
        <v>17761</v>
      </c>
      <c r="AE74" s="5">
        <v>148.00833333333333</v>
      </c>
      <c r="AI74" s="3">
        <v>44781</v>
      </c>
      <c r="AJ74" t="s">
        <v>27</v>
      </c>
      <c r="AK74">
        <v>91</v>
      </c>
      <c r="AL74">
        <v>131072</v>
      </c>
      <c r="AM74">
        <v>11998</v>
      </c>
      <c r="AN74">
        <v>119074</v>
      </c>
      <c r="AO74">
        <v>9</v>
      </c>
      <c r="AP74">
        <v>131072</v>
      </c>
      <c r="AQ74">
        <v>91</v>
      </c>
      <c r="AR74" t="s">
        <v>1</v>
      </c>
      <c r="AS74" t="s">
        <v>2</v>
      </c>
      <c r="AT74" s="8">
        <v>397</v>
      </c>
      <c r="AU74">
        <v>11998</v>
      </c>
      <c r="AV74" s="5">
        <v>30.221662468513856</v>
      </c>
    </row>
    <row r="75" spans="1:48" x14ac:dyDescent="0.25">
      <c r="A75" s="3">
        <v>44292</v>
      </c>
      <c r="B75" t="s">
        <v>27</v>
      </c>
      <c r="C75">
        <v>73</v>
      </c>
      <c r="D75">
        <v>131072</v>
      </c>
      <c r="E75">
        <v>35218</v>
      </c>
      <c r="F75">
        <v>95854</v>
      </c>
      <c r="G75">
        <v>27</v>
      </c>
      <c r="H75">
        <v>131072</v>
      </c>
      <c r="I75">
        <v>73</v>
      </c>
      <c r="J75" t="s">
        <v>1</v>
      </c>
      <c r="K75" t="s">
        <v>2</v>
      </c>
      <c r="L75" s="8">
        <f>InterspecUsage[[#This Row],[Used-MB]]-F65</f>
        <v>192</v>
      </c>
      <c r="M75">
        <f>InterspecUsage[[#This Row],[Max]]-InterspecUsage[[#This Row],[Used-MB]]</f>
        <v>35218</v>
      </c>
      <c r="N75" s="5">
        <f>IF($L75&gt;0,InterspecUsage[[#This Row],[Free-of-Max]]/InterspecUsage[[#This Row],[Usage-Delta-MB]],InterspecUsage[[#This Row],[Free-of-Max]])</f>
        <v>183.42708333333334</v>
      </c>
      <c r="R75" s="3">
        <v>44786</v>
      </c>
      <c r="S75" t="s">
        <v>24</v>
      </c>
      <c r="T75">
        <v>84</v>
      </c>
      <c r="U75">
        <v>18000</v>
      </c>
      <c r="V75">
        <v>2799</v>
      </c>
      <c r="W75">
        <v>15201</v>
      </c>
      <c r="X75">
        <v>16</v>
      </c>
      <c r="Y75">
        <v>32768</v>
      </c>
      <c r="Z75">
        <v>46</v>
      </c>
      <c r="AA75" t="s">
        <v>1</v>
      </c>
      <c r="AB75" t="s">
        <v>2</v>
      </c>
      <c r="AC75" s="8">
        <v>194</v>
      </c>
      <c r="AD75">
        <v>17567</v>
      </c>
      <c r="AE75" s="5">
        <v>90.551546391752581</v>
      </c>
      <c r="AI75" s="3">
        <v>44786</v>
      </c>
      <c r="AJ75" t="s">
        <v>27</v>
      </c>
      <c r="AK75">
        <v>91</v>
      </c>
      <c r="AL75">
        <v>131072</v>
      </c>
      <c r="AM75">
        <v>11509</v>
      </c>
      <c r="AN75">
        <v>119563</v>
      </c>
      <c r="AO75">
        <v>9</v>
      </c>
      <c r="AP75">
        <v>131072</v>
      </c>
      <c r="AQ75">
        <v>91</v>
      </c>
      <c r="AR75" t="s">
        <v>1</v>
      </c>
      <c r="AS75" t="s">
        <v>2</v>
      </c>
      <c r="AT75" s="8">
        <v>489</v>
      </c>
      <c r="AU75">
        <v>11509</v>
      </c>
      <c r="AV75" s="5">
        <v>23.535787321063395</v>
      </c>
    </row>
    <row r="76" spans="1:48" x14ac:dyDescent="0.25">
      <c r="A76" s="3">
        <v>44292</v>
      </c>
      <c r="B76" t="s">
        <v>7</v>
      </c>
      <c r="C76">
        <v>96</v>
      </c>
      <c r="D76">
        <v>820</v>
      </c>
      <c r="E76">
        <v>35</v>
      </c>
      <c r="F76">
        <v>785</v>
      </c>
      <c r="G76">
        <v>4</v>
      </c>
      <c r="H76">
        <v>32768</v>
      </c>
      <c r="I76">
        <v>2</v>
      </c>
      <c r="J76" t="s">
        <v>1</v>
      </c>
      <c r="K76" t="s">
        <v>2</v>
      </c>
      <c r="L76" s="8">
        <f>InterspecUsage[[#This Row],[Used-MB]]-F66</f>
        <v>5</v>
      </c>
      <c r="M76">
        <f>InterspecUsage[[#This Row],[Max]]-InterspecUsage[[#This Row],[Used-MB]]</f>
        <v>31983</v>
      </c>
      <c r="N76" s="5">
        <f>IF($L76&gt;0,InterspecUsage[[#This Row],[Free-of-Max]]/InterspecUsage[[#This Row],[Usage-Delta-MB]],InterspecUsage[[#This Row],[Free-of-Max]])</f>
        <v>6396.6</v>
      </c>
      <c r="R76" s="3">
        <v>44809</v>
      </c>
      <c r="S76" t="s">
        <v>24</v>
      </c>
      <c r="T76">
        <v>85</v>
      </c>
      <c r="U76">
        <v>18000</v>
      </c>
      <c r="V76">
        <v>2729</v>
      </c>
      <c r="W76">
        <v>15271</v>
      </c>
      <c r="X76">
        <v>15</v>
      </c>
      <c r="Y76">
        <v>32768</v>
      </c>
      <c r="Z76">
        <v>47</v>
      </c>
      <c r="AA76" t="s">
        <v>1</v>
      </c>
      <c r="AB76" t="s">
        <v>2</v>
      </c>
      <c r="AC76" s="8">
        <v>70</v>
      </c>
      <c r="AD76">
        <v>17497</v>
      </c>
      <c r="AE76" s="5">
        <v>249.95714285714286</v>
      </c>
      <c r="AI76" s="3">
        <v>44809</v>
      </c>
      <c r="AJ76" t="s">
        <v>27</v>
      </c>
      <c r="AK76">
        <v>92</v>
      </c>
      <c r="AL76">
        <v>131072</v>
      </c>
      <c r="AM76">
        <v>10271</v>
      </c>
      <c r="AN76">
        <v>120801</v>
      </c>
      <c r="AO76">
        <v>8</v>
      </c>
      <c r="AP76">
        <v>131072</v>
      </c>
      <c r="AQ76">
        <v>92</v>
      </c>
      <c r="AR76" t="s">
        <v>1</v>
      </c>
      <c r="AS76" t="s">
        <v>2</v>
      </c>
      <c r="AT76" s="8">
        <v>1238</v>
      </c>
      <c r="AU76">
        <v>10271</v>
      </c>
      <c r="AV76" s="5">
        <v>8.2964458804523424</v>
      </c>
    </row>
    <row r="77" spans="1:48" x14ac:dyDescent="0.25">
      <c r="A77" s="3">
        <v>44292</v>
      </c>
      <c r="B77" t="s">
        <v>0</v>
      </c>
      <c r="C77">
        <v>100</v>
      </c>
      <c r="D77">
        <v>2690</v>
      </c>
      <c r="E77">
        <v>8</v>
      </c>
      <c r="F77">
        <v>2683</v>
      </c>
      <c r="G77">
        <v>0</v>
      </c>
      <c r="H77">
        <v>32768</v>
      </c>
      <c r="I77">
        <v>8</v>
      </c>
      <c r="J77" t="s">
        <v>1</v>
      </c>
      <c r="K77" t="s">
        <v>2</v>
      </c>
      <c r="L77" s="8">
        <f>InterspecUsage[[#This Row],[Used-MB]]-F67</f>
        <v>0</v>
      </c>
      <c r="M77">
        <f>InterspecUsage[[#This Row],[Max]]-InterspecUsage[[#This Row],[Used-MB]]</f>
        <v>30085</v>
      </c>
      <c r="N77" s="5">
        <f>IF($L77&gt;0,InterspecUsage[[#This Row],[Free-of-Max]]/InterspecUsage[[#This Row],[Usage-Delta-MB]],InterspecUsage[[#This Row],[Free-of-Max]])</f>
        <v>30085</v>
      </c>
      <c r="R77" s="3">
        <v>44817</v>
      </c>
      <c r="S77" t="s">
        <v>24</v>
      </c>
      <c r="T77">
        <v>85</v>
      </c>
      <c r="U77">
        <v>18000</v>
      </c>
      <c r="V77">
        <v>2728</v>
      </c>
      <c r="W77">
        <v>15272</v>
      </c>
      <c r="X77">
        <v>15</v>
      </c>
      <c r="Y77">
        <v>32768</v>
      </c>
      <c r="Z77">
        <v>47</v>
      </c>
      <c r="AA77" t="s">
        <v>1</v>
      </c>
      <c r="AB77" t="s">
        <v>2</v>
      </c>
      <c r="AC77" s="8">
        <v>1</v>
      </c>
      <c r="AD77">
        <v>17496</v>
      </c>
      <c r="AE77" s="5">
        <v>17496</v>
      </c>
      <c r="AI77" s="3">
        <v>44817</v>
      </c>
      <c r="AJ77" t="s">
        <v>27</v>
      </c>
      <c r="AK77">
        <v>93</v>
      </c>
      <c r="AL77">
        <v>131072</v>
      </c>
      <c r="AM77">
        <v>9820</v>
      </c>
      <c r="AN77">
        <v>121252</v>
      </c>
      <c r="AO77">
        <v>7</v>
      </c>
      <c r="AP77">
        <v>131072</v>
      </c>
      <c r="AQ77">
        <v>93</v>
      </c>
      <c r="AR77" t="s">
        <v>1</v>
      </c>
      <c r="AS77" t="s">
        <v>2</v>
      </c>
      <c r="AT77" s="8">
        <v>451</v>
      </c>
      <c r="AU77">
        <v>9820</v>
      </c>
      <c r="AV77" s="5">
        <v>21.773835920177383</v>
      </c>
    </row>
    <row r="78" spans="1:48" x14ac:dyDescent="0.25">
      <c r="A78" s="3">
        <v>44292</v>
      </c>
      <c r="B78" t="s">
        <v>30</v>
      </c>
      <c r="C78">
        <v>0</v>
      </c>
      <c r="D78">
        <v>32767</v>
      </c>
      <c r="E78">
        <v>32742</v>
      </c>
      <c r="F78">
        <v>25</v>
      </c>
      <c r="G78">
        <v>100</v>
      </c>
      <c r="H78">
        <v>32768</v>
      </c>
      <c r="I78">
        <v>0</v>
      </c>
      <c r="J78" t="s">
        <v>1</v>
      </c>
      <c r="K78" t="s">
        <v>13</v>
      </c>
      <c r="L78" s="8">
        <f>InterspecUsage[[#This Row],[Used-MB]]-F68</f>
        <v>9</v>
      </c>
      <c r="M78">
        <f>InterspecUsage[[#This Row],[Max]]-InterspecUsage[[#This Row],[Used-MB]]</f>
        <v>32743</v>
      </c>
      <c r="N78" s="5">
        <f>IF($L78&gt;0,InterspecUsage[[#This Row],[Free-of-Max]]/InterspecUsage[[#This Row],[Usage-Delta-MB]],InterspecUsage[[#This Row],[Free-of-Max]])</f>
        <v>3638.1111111111113</v>
      </c>
      <c r="R78" s="3">
        <v>44823</v>
      </c>
      <c r="S78" t="s">
        <v>24</v>
      </c>
      <c r="T78">
        <v>85</v>
      </c>
      <c r="U78">
        <v>18000</v>
      </c>
      <c r="V78">
        <v>2726</v>
      </c>
      <c r="W78">
        <v>15274</v>
      </c>
      <c r="X78">
        <v>15</v>
      </c>
      <c r="Y78">
        <v>32768</v>
      </c>
      <c r="Z78">
        <v>47</v>
      </c>
      <c r="AA78" t="s">
        <v>1</v>
      </c>
      <c r="AB78" t="s">
        <v>2</v>
      </c>
      <c r="AC78" s="8">
        <v>2</v>
      </c>
      <c r="AD78">
        <v>17494</v>
      </c>
      <c r="AE78" s="5">
        <v>8747</v>
      </c>
      <c r="AI78" s="3">
        <v>44823</v>
      </c>
      <c r="AJ78" t="s">
        <v>27</v>
      </c>
      <c r="AK78">
        <v>93</v>
      </c>
      <c r="AL78">
        <v>131072</v>
      </c>
      <c r="AM78">
        <v>9684</v>
      </c>
      <c r="AN78">
        <v>121388</v>
      </c>
      <c r="AO78">
        <v>7</v>
      </c>
      <c r="AP78">
        <v>131072</v>
      </c>
      <c r="AQ78">
        <v>93</v>
      </c>
      <c r="AR78" t="s">
        <v>1</v>
      </c>
      <c r="AS78" t="s">
        <v>2</v>
      </c>
      <c r="AT78" s="8">
        <v>136</v>
      </c>
      <c r="AU78">
        <v>9684</v>
      </c>
      <c r="AV78" s="5">
        <v>71.205882352941174</v>
      </c>
    </row>
    <row r="79" spans="1:48" x14ac:dyDescent="0.25">
      <c r="A79" s="3">
        <v>44292</v>
      </c>
      <c r="B79" t="s">
        <v>28</v>
      </c>
      <c r="C79">
        <v>24</v>
      </c>
      <c r="D79">
        <v>16400</v>
      </c>
      <c r="E79">
        <v>12416</v>
      </c>
      <c r="F79">
        <v>3984</v>
      </c>
      <c r="G79">
        <v>76</v>
      </c>
      <c r="H79">
        <v>32768</v>
      </c>
      <c r="I79">
        <v>12</v>
      </c>
      <c r="J79" t="s">
        <v>1</v>
      </c>
      <c r="K79" t="s">
        <v>10</v>
      </c>
      <c r="L79" s="8">
        <f>InterspecUsage[[#This Row],[Used-MB]]-F69</f>
        <v>63</v>
      </c>
      <c r="M79">
        <f>InterspecUsage[[#This Row],[Max]]-InterspecUsage[[#This Row],[Used-MB]]</f>
        <v>28784</v>
      </c>
      <c r="N79" s="5">
        <f>IF($L79&gt;0,InterspecUsage[[#This Row],[Free-of-Max]]/InterspecUsage[[#This Row],[Usage-Delta-MB]],InterspecUsage[[#This Row],[Free-of-Max]])</f>
        <v>456.88888888888891</v>
      </c>
      <c r="R79" s="3">
        <v>44830</v>
      </c>
      <c r="S79" t="s">
        <v>24</v>
      </c>
      <c r="T79">
        <v>85</v>
      </c>
      <c r="U79">
        <v>18000</v>
      </c>
      <c r="V79">
        <v>2726</v>
      </c>
      <c r="W79">
        <v>15274</v>
      </c>
      <c r="X79">
        <v>15</v>
      </c>
      <c r="Y79">
        <v>32768</v>
      </c>
      <c r="Z79">
        <v>47</v>
      </c>
      <c r="AA79" t="s">
        <v>1</v>
      </c>
      <c r="AB79" t="s">
        <v>2</v>
      </c>
      <c r="AC79" s="8">
        <v>0</v>
      </c>
      <c r="AD79">
        <v>17494</v>
      </c>
      <c r="AE79" s="5">
        <v>17494</v>
      </c>
      <c r="AI79" s="3">
        <v>44830</v>
      </c>
      <c r="AJ79" t="s">
        <v>27</v>
      </c>
      <c r="AK79">
        <v>93</v>
      </c>
      <c r="AL79">
        <v>131072</v>
      </c>
      <c r="AM79">
        <v>9555</v>
      </c>
      <c r="AN79">
        <v>121517</v>
      </c>
      <c r="AO79">
        <v>7</v>
      </c>
      <c r="AP79">
        <v>131072</v>
      </c>
      <c r="AQ79">
        <v>93</v>
      </c>
      <c r="AR79" t="s">
        <v>1</v>
      </c>
      <c r="AS79" t="s">
        <v>2</v>
      </c>
      <c r="AT79" s="8">
        <v>129</v>
      </c>
      <c r="AU79">
        <v>9555</v>
      </c>
      <c r="AV79" s="5">
        <v>74.069767441860463</v>
      </c>
    </row>
    <row r="80" spans="1:48" x14ac:dyDescent="0.25">
      <c r="A80" s="3">
        <v>44292</v>
      </c>
      <c r="B80" t="s">
        <v>25</v>
      </c>
      <c r="C80">
        <v>94</v>
      </c>
      <c r="D80">
        <v>8950</v>
      </c>
      <c r="E80">
        <v>521</v>
      </c>
      <c r="F80">
        <v>8429</v>
      </c>
      <c r="G80">
        <v>6</v>
      </c>
      <c r="H80">
        <v>32768</v>
      </c>
      <c r="I80">
        <v>26</v>
      </c>
      <c r="J80" t="s">
        <v>1</v>
      </c>
      <c r="K80" t="s">
        <v>2</v>
      </c>
      <c r="L80" s="8">
        <f>InterspecUsage[[#This Row],[Used-MB]]-F70</f>
        <v>0</v>
      </c>
      <c r="M80">
        <f>InterspecUsage[[#This Row],[Max]]-InterspecUsage[[#This Row],[Used-MB]]</f>
        <v>24339</v>
      </c>
      <c r="N80" s="5">
        <f>IF($L80&gt;0,InterspecUsage[[#This Row],[Free-of-Max]]/InterspecUsage[[#This Row],[Usage-Delta-MB]],InterspecUsage[[#This Row],[Free-of-Max]])</f>
        <v>24339</v>
      </c>
      <c r="R80" s="3">
        <v>44837</v>
      </c>
      <c r="S80" t="s">
        <v>24</v>
      </c>
      <c r="T80">
        <v>85</v>
      </c>
      <c r="U80">
        <v>18000</v>
      </c>
      <c r="V80">
        <v>2670</v>
      </c>
      <c r="W80">
        <v>15330</v>
      </c>
      <c r="X80">
        <v>15</v>
      </c>
      <c r="Y80">
        <v>32768</v>
      </c>
      <c r="Z80">
        <v>47</v>
      </c>
      <c r="AA80" t="s">
        <v>1</v>
      </c>
      <c r="AB80" t="s">
        <v>2</v>
      </c>
      <c r="AC80" s="8">
        <v>56</v>
      </c>
      <c r="AD80">
        <v>17438</v>
      </c>
      <c r="AE80" s="5">
        <v>311.39285714285717</v>
      </c>
      <c r="AI80" s="3">
        <v>44837</v>
      </c>
      <c r="AJ80" t="s">
        <v>27</v>
      </c>
      <c r="AK80">
        <v>93</v>
      </c>
      <c r="AL80">
        <v>131072</v>
      </c>
      <c r="AM80">
        <v>9234</v>
      </c>
      <c r="AN80">
        <v>121838</v>
      </c>
      <c r="AO80">
        <v>7</v>
      </c>
      <c r="AP80">
        <v>131072</v>
      </c>
      <c r="AQ80">
        <v>93</v>
      </c>
      <c r="AR80" t="s">
        <v>1</v>
      </c>
      <c r="AS80" t="s">
        <v>2</v>
      </c>
      <c r="AT80" s="8">
        <v>321</v>
      </c>
      <c r="AU80">
        <v>9234</v>
      </c>
      <c r="AV80" s="5">
        <v>28.766355140186917</v>
      </c>
    </row>
    <row r="81" spans="1:48" x14ac:dyDescent="0.25">
      <c r="A81" s="3">
        <v>44292</v>
      </c>
      <c r="B81" t="s">
        <v>29</v>
      </c>
      <c r="C81">
        <v>0</v>
      </c>
      <c r="D81">
        <v>500</v>
      </c>
      <c r="E81">
        <v>499</v>
      </c>
      <c r="F81">
        <v>1</v>
      </c>
      <c r="G81">
        <v>100</v>
      </c>
      <c r="H81">
        <v>500</v>
      </c>
      <c r="I81">
        <v>0</v>
      </c>
      <c r="J81" t="s">
        <v>1</v>
      </c>
      <c r="K81" t="s">
        <v>2</v>
      </c>
      <c r="L81" s="8">
        <f>InterspecUsage[[#This Row],[Used-MB]]-F71</f>
        <v>0</v>
      </c>
      <c r="M81">
        <f>InterspecUsage[[#This Row],[Max]]-InterspecUsage[[#This Row],[Used-MB]]</f>
        <v>499</v>
      </c>
      <c r="N81" s="5">
        <f>IF($L81&gt;0,InterspecUsage[[#This Row],[Free-of-Max]]/InterspecUsage[[#This Row],[Usage-Delta-MB]],InterspecUsage[[#This Row],[Free-of-Max]])</f>
        <v>499</v>
      </c>
      <c r="R81" s="3">
        <v>44844</v>
      </c>
      <c r="S81" t="s">
        <v>24</v>
      </c>
      <c r="T81">
        <v>85</v>
      </c>
      <c r="U81">
        <v>18000</v>
      </c>
      <c r="V81">
        <v>2668</v>
      </c>
      <c r="W81">
        <v>15332</v>
      </c>
      <c r="X81">
        <v>15</v>
      </c>
      <c r="Y81">
        <v>32768</v>
      </c>
      <c r="Z81">
        <v>47</v>
      </c>
      <c r="AA81" t="s">
        <v>1</v>
      </c>
      <c r="AB81" t="s">
        <v>2</v>
      </c>
      <c r="AC81" s="8">
        <v>2</v>
      </c>
      <c r="AD81">
        <v>17436</v>
      </c>
      <c r="AE81" s="5">
        <v>8718</v>
      </c>
      <c r="AI81" s="3">
        <v>44844</v>
      </c>
      <c r="AJ81" t="s">
        <v>27</v>
      </c>
      <c r="AK81">
        <v>93</v>
      </c>
      <c r="AL81">
        <v>131072</v>
      </c>
      <c r="AM81">
        <v>8856</v>
      </c>
      <c r="AN81">
        <v>122216</v>
      </c>
      <c r="AO81">
        <v>7</v>
      </c>
      <c r="AP81">
        <v>131072</v>
      </c>
      <c r="AQ81">
        <v>93</v>
      </c>
      <c r="AR81" t="s">
        <v>1</v>
      </c>
      <c r="AS81" t="s">
        <v>2</v>
      </c>
      <c r="AT81" s="8">
        <v>378</v>
      </c>
      <c r="AU81">
        <v>8856</v>
      </c>
      <c r="AV81" s="5">
        <v>23.428571428571427</v>
      </c>
    </row>
    <row r="82" spans="1:48" x14ac:dyDescent="0.25">
      <c r="A82" s="3">
        <v>44298</v>
      </c>
      <c r="B82" t="s">
        <v>26</v>
      </c>
      <c r="C82">
        <v>95</v>
      </c>
      <c r="D82">
        <v>16288</v>
      </c>
      <c r="E82">
        <v>842</v>
      </c>
      <c r="F82">
        <v>15446</v>
      </c>
      <c r="G82">
        <v>5</v>
      </c>
      <c r="H82">
        <v>40960</v>
      </c>
      <c r="I82">
        <v>38</v>
      </c>
      <c r="J82" t="s">
        <v>1</v>
      </c>
      <c r="K82" t="s">
        <v>2</v>
      </c>
      <c r="L82" s="8">
        <f>InterspecUsage[[#This Row],[Used-MB]]-F72</f>
        <v>128</v>
      </c>
      <c r="M82">
        <f>InterspecUsage[[#This Row],[Max]]-InterspecUsage[[#This Row],[Used-MB]]</f>
        <v>25514</v>
      </c>
      <c r="N82" s="5">
        <f>IF($L82&gt;0,InterspecUsage[[#This Row],[Free-of-Max]]/InterspecUsage[[#This Row],[Usage-Delta-MB]],InterspecUsage[[#This Row],[Free-of-Max]])</f>
        <v>199.328125</v>
      </c>
      <c r="R82" s="3">
        <v>44865</v>
      </c>
      <c r="S82" t="s">
        <v>24</v>
      </c>
      <c r="T82">
        <v>86</v>
      </c>
      <c r="U82">
        <v>18000</v>
      </c>
      <c r="V82">
        <v>2513</v>
      </c>
      <c r="W82">
        <v>15487</v>
      </c>
      <c r="X82">
        <v>14</v>
      </c>
      <c r="Y82">
        <v>32768</v>
      </c>
      <c r="Z82">
        <v>47</v>
      </c>
      <c r="AA82" t="s">
        <v>1</v>
      </c>
      <c r="AB82" t="s">
        <v>2</v>
      </c>
      <c r="AC82" s="8">
        <v>155</v>
      </c>
      <c r="AD82">
        <v>17281</v>
      </c>
      <c r="AE82" s="5">
        <v>111.49032258064516</v>
      </c>
      <c r="AI82" s="3">
        <v>44865</v>
      </c>
      <c r="AJ82" t="s">
        <v>27</v>
      </c>
      <c r="AK82">
        <v>94</v>
      </c>
      <c r="AL82">
        <v>131072</v>
      </c>
      <c r="AM82">
        <v>7970</v>
      </c>
      <c r="AN82">
        <v>123102</v>
      </c>
      <c r="AO82">
        <v>6</v>
      </c>
      <c r="AP82">
        <v>131072</v>
      </c>
      <c r="AQ82">
        <v>94</v>
      </c>
      <c r="AR82" t="s">
        <v>1</v>
      </c>
      <c r="AS82" t="s">
        <v>2</v>
      </c>
      <c r="AT82" s="8">
        <v>886</v>
      </c>
      <c r="AU82">
        <v>7970</v>
      </c>
      <c r="AV82" s="5">
        <v>8.9954853273137694</v>
      </c>
    </row>
    <row r="83" spans="1:48" x14ac:dyDescent="0.25">
      <c r="A83" s="3">
        <v>44298</v>
      </c>
      <c r="B83" t="s">
        <v>24</v>
      </c>
      <c r="C83">
        <v>95</v>
      </c>
      <c r="D83">
        <v>18000</v>
      </c>
      <c r="E83">
        <v>862</v>
      </c>
      <c r="F83">
        <v>17138</v>
      </c>
      <c r="G83">
        <v>5</v>
      </c>
      <c r="H83">
        <v>32768</v>
      </c>
      <c r="I83">
        <v>52</v>
      </c>
      <c r="J83" t="s">
        <v>1</v>
      </c>
      <c r="K83" t="s">
        <v>2</v>
      </c>
      <c r="L83" s="8">
        <f>InterspecUsage[[#This Row],[Used-MB]]-F73</f>
        <v>1</v>
      </c>
      <c r="M83">
        <f>InterspecUsage[[#This Row],[Max]]-InterspecUsage[[#This Row],[Used-MB]]</f>
        <v>15630</v>
      </c>
      <c r="N83" s="5">
        <f>IF($L83&gt;0,InterspecUsage[[#This Row],[Free-of-Max]]/InterspecUsage[[#This Row],[Usage-Delta-MB]],InterspecUsage[[#This Row],[Free-of-Max]])</f>
        <v>15630</v>
      </c>
      <c r="R83" s="3">
        <v>44879</v>
      </c>
      <c r="S83" t="s">
        <v>24</v>
      </c>
      <c r="T83">
        <v>87</v>
      </c>
      <c r="U83">
        <v>18000</v>
      </c>
      <c r="V83">
        <v>2363</v>
      </c>
      <c r="W83">
        <v>15637</v>
      </c>
      <c r="X83">
        <v>13</v>
      </c>
      <c r="Y83">
        <v>32768</v>
      </c>
      <c r="Z83">
        <v>48</v>
      </c>
      <c r="AA83" t="s">
        <v>1</v>
      </c>
      <c r="AB83" t="s">
        <v>2</v>
      </c>
      <c r="AC83" s="8">
        <v>150</v>
      </c>
      <c r="AD83">
        <v>17131</v>
      </c>
      <c r="AE83" s="5">
        <v>114.20666666666666</v>
      </c>
      <c r="AH83" s="5"/>
      <c r="AI83" s="3">
        <v>44879</v>
      </c>
      <c r="AJ83" t="s">
        <v>27</v>
      </c>
      <c r="AK83">
        <v>96</v>
      </c>
      <c r="AL83">
        <v>131072</v>
      </c>
      <c r="AM83">
        <v>5522</v>
      </c>
      <c r="AN83">
        <v>125550</v>
      </c>
      <c r="AO83">
        <v>4</v>
      </c>
      <c r="AP83">
        <v>131072</v>
      </c>
      <c r="AQ83">
        <v>96</v>
      </c>
      <c r="AR83" t="s">
        <v>1</v>
      </c>
      <c r="AS83" t="s">
        <v>2</v>
      </c>
      <c r="AT83" s="8">
        <v>2448</v>
      </c>
      <c r="AU83">
        <v>5522</v>
      </c>
      <c r="AV83" s="5">
        <v>2.255718954248366</v>
      </c>
    </row>
    <row r="84" spans="1:48" x14ac:dyDescent="0.25">
      <c r="A84" s="3">
        <v>44298</v>
      </c>
      <c r="B84" s="7" t="s">
        <v>35</v>
      </c>
      <c r="C84">
        <v>95</v>
      </c>
      <c r="D84">
        <v>20000</v>
      </c>
      <c r="E84">
        <v>988</v>
      </c>
      <c r="F84">
        <v>19012</v>
      </c>
      <c r="G84">
        <v>5</v>
      </c>
      <c r="H84">
        <v>32768</v>
      </c>
      <c r="I84">
        <v>58</v>
      </c>
      <c r="J84" t="s">
        <v>1</v>
      </c>
      <c r="K84" t="s">
        <v>2</v>
      </c>
      <c r="L84" s="8">
        <f>InterspecUsage[[#This Row],[Used-MB]]-F74</f>
        <v>64</v>
      </c>
      <c r="M84">
        <f>InterspecUsage[[#This Row],[Max]]-InterspecUsage[[#This Row],[Used-MB]]</f>
        <v>13756</v>
      </c>
      <c r="N84" s="5">
        <f>IF($L84&gt;0,InterspecUsage[[#This Row],[Free-of-Max]]/InterspecUsage[[#This Row],[Usage-Delta-MB]],InterspecUsage[[#This Row],[Free-of-Max]])</f>
        <v>214.9375</v>
      </c>
      <c r="R84" s="3">
        <v>44893</v>
      </c>
      <c r="S84" t="s">
        <v>24</v>
      </c>
      <c r="T84">
        <v>87</v>
      </c>
      <c r="U84">
        <v>18000</v>
      </c>
      <c r="V84">
        <v>2270</v>
      </c>
      <c r="W84">
        <v>15730</v>
      </c>
      <c r="X84">
        <v>13</v>
      </c>
      <c r="Y84">
        <v>32768</v>
      </c>
      <c r="Z84">
        <v>48</v>
      </c>
      <c r="AA84" t="s">
        <v>1</v>
      </c>
      <c r="AB84" t="s">
        <v>2</v>
      </c>
      <c r="AC84" s="8">
        <v>93</v>
      </c>
      <c r="AD84">
        <v>17038</v>
      </c>
      <c r="AE84" s="5">
        <v>183.20430107526883</v>
      </c>
      <c r="AI84" s="3">
        <v>44893</v>
      </c>
      <c r="AJ84" t="s">
        <v>27</v>
      </c>
      <c r="AK84">
        <v>77</v>
      </c>
      <c r="AL84">
        <v>163840</v>
      </c>
      <c r="AM84">
        <v>37186</v>
      </c>
      <c r="AN84">
        <v>126654</v>
      </c>
      <c r="AO84">
        <v>23</v>
      </c>
      <c r="AP84">
        <v>163840</v>
      </c>
      <c r="AQ84">
        <v>77</v>
      </c>
      <c r="AR84" t="s">
        <v>1</v>
      </c>
      <c r="AS84" t="s">
        <v>2</v>
      </c>
      <c r="AT84" s="8">
        <v>1104</v>
      </c>
      <c r="AU84">
        <v>37186</v>
      </c>
      <c r="AV84" s="5">
        <v>33.68297101449275</v>
      </c>
    </row>
    <row r="85" spans="1:48" x14ac:dyDescent="0.25">
      <c r="A85" s="3">
        <v>44298</v>
      </c>
      <c r="B85" t="s">
        <v>27</v>
      </c>
      <c r="C85">
        <v>73</v>
      </c>
      <c r="D85">
        <v>131072</v>
      </c>
      <c r="E85">
        <v>34760</v>
      </c>
      <c r="F85">
        <v>96312</v>
      </c>
      <c r="G85">
        <v>27</v>
      </c>
      <c r="H85">
        <v>131072</v>
      </c>
      <c r="I85">
        <v>73</v>
      </c>
      <c r="J85" t="s">
        <v>1</v>
      </c>
      <c r="K85" t="s">
        <v>2</v>
      </c>
      <c r="L85" s="8">
        <f>InterspecUsage[[#This Row],[Used-MB]]-F75</f>
        <v>458</v>
      </c>
      <c r="M85">
        <f>InterspecUsage[[#This Row],[Max]]-InterspecUsage[[#This Row],[Used-MB]]</f>
        <v>34760</v>
      </c>
      <c r="N85" s="5">
        <f>IF($L85&gt;0,InterspecUsage[[#This Row],[Free-of-Max]]/InterspecUsage[[#This Row],[Usage-Delta-MB]],InterspecUsage[[#This Row],[Free-of-Max]])</f>
        <v>75.895196506550221</v>
      </c>
      <c r="R85" s="3">
        <v>44942</v>
      </c>
      <c r="S85" s="15" t="s">
        <v>24</v>
      </c>
      <c r="T85" s="16">
        <v>90</v>
      </c>
      <c r="U85" s="16">
        <v>18000</v>
      </c>
      <c r="V85" s="16">
        <v>1764</v>
      </c>
      <c r="W85" s="16">
        <v>16236</v>
      </c>
      <c r="X85" s="16">
        <v>10</v>
      </c>
      <c r="Y85" s="16">
        <v>32768</v>
      </c>
      <c r="Z85" s="16">
        <v>50</v>
      </c>
      <c r="AA85" s="15" t="s">
        <v>1</v>
      </c>
      <c r="AB85" s="15" t="s">
        <v>2</v>
      </c>
      <c r="AC85" s="8">
        <v>506</v>
      </c>
      <c r="AD85">
        <v>16532</v>
      </c>
      <c r="AE85" s="5">
        <v>32.671936758893281</v>
      </c>
      <c r="AI85" s="3">
        <v>44942</v>
      </c>
      <c r="AJ85" s="15" t="s">
        <v>27</v>
      </c>
      <c r="AK85" s="16">
        <v>78</v>
      </c>
      <c r="AL85" s="16">
        <v>163840</v>
      </c>
      <c r="AM85" s="16">
        <v>35656</v>
      </c>
      <c r="AN85" s="16">
        <v>128184</v>
      </c>
      <c r="AO85" s="16">
        <v>22</v>
      </c>
      <c r="AP85" s="16">
        <v>163840</v>
      </c>
      <c r="AQ85" s="16">
        <v>78</v>
      </c>
      <c r="AR85" s="15" t="s">
        <v>1</v>
      </c>
      <c r="AS85" s="15" t="s">
        <v>2</v>
      </c>
      <c r="AT85" s="8">
        <v>1530</v>
      </c>
      <c r="AU85">
        <v>35656</v>
      </c>
      <c r="AV85" s="5">
        <v>23.304575163398692</v>
      </c>
    </row>
    <row r="86" spans="1:48" x14ac:dyDescent="0.25">
      <c r="A86" s="3">
        <v>44298</v>
      </c>
      <c r="B86" t="s">
        <v>7</v>
      </c>
      <c r="C86">
        <v>94</v>
      </c>
      <c r="D86">
        <v>840</v>
      </c>
      <c r="E86">
        <v>47</v>
      </c>
      <c r="F86">
        <v>793</v>
      </c>
      <c r="G86">
        <v>6</v>
      </c>
      <c r="H86">
        <v>32768</v>
      </c>
      <c r="I86">
        <v>2</v>
      </c>
      <c r="J86" t="s">
        <v>1</v>
      </c>
      <c r="K86" t="s">
        <v>2</v>
      </c>
      <c r="L86" s="8">
        <f>InterspecUsage[[#This Row],[Used-MB]]-F76</f>
        <v>8</v>
      </c>
      <c r="M86">
        <f>InterspecUsage[[#This Row],[Max]]-InterspecUsage[[#This Row],[Used-MB]]</f>
        <v>31975</v>
      </c>
      <c r="N86" s="5">
        <f>IF($L86&gt;0,InterspecUsage[[#This Row],[Free-of-Max]]/InterspecUsage[[#This Row],[Usage-Delta-MB]],InterspecUsage[[#This Row],[Free-of-Max]])</f>
        <v>3996.875</v>
      </c>
      <c r="R86" s="3">
        <v>45131</v>
      </c>
      <c r="S86" s="15" t="s">
        <v>24</v>
      </c>
      <c r="T86" s="16">
        <v>89</v>
      </c>
      <c r="U86" s="16">
        <v>18400</v>
      </c>
      <c r="V86" s="16">
        <v>2052</v>
      </c>
      <c r="W86" s="16">
        <v>16348</v>
      </c>
      <c r="X86" s="16">
        <v>11</v>
      </c>
      <c r="Y86" s="16">
        <v>32768</v>
      </c>
      <c r="Z86" s="16">
        <v>50</v>
      </c>
      <c r="AA86" s="15" t="s">
        <v>1</v>
      </c>
      <c r="AB86" s="15" t="s">
        <v>2</v>
      </c>
      <c r="AC86" s="8">
        <v>112</v>
      </c>
      <c r="AD86">
        <v>16420</v>
      </c>
      <c r="AE86" s="5">
        <v>146.60714285714286</v>
      </c>
      <c r="AI86" s="3">
        <v>45131</v>
      </c>
      <c r="AJ86" s="15" t="s">
        <v>27</v>
      </c>
      <c r="AK86" s="16">
        <v>83</v>
      </c>
      <c r="AL86" s="16">
        <v>163840</v>
      </c>
      <c r="AM86" s="16">
        <v>27233</v>
      </c>
      <c r="AN86" s="16">
        <v>136607</v>
      </c>
      <c r="AO86" s="16">
        <v>17</v>
      </c>
      <c r="AP86" s="16">
        <v>163840</v>
      </c>
      <c r="AQ86" s="16">
        <v>83</v>
      </c>
      <c r="AR86" s="15" t="s">
        <v>1</v>
      </c>
      <c r="AS86" s="15" t="s">
        <v>2</v>
      </c>
      <c r="AT86" s="8">
        <v>8423</v>
      </c>
      <c r="AU86">
        <v>27233</v>
      </c>
      <c r="AV86" s="5">
        <v>3.233171079187938</v>
      </c>
    </row>
    <row r="87" spans="1:48" x14ac:dyDescent="0.25">
      <c r="A87" s="3">
        <v>44298</v>
      </c>
      <c r="B87" t="s">
        <v>0</v>
      </c>
      <c r="C87">
        <v>100</v>
      </c>
      <c r="D87">
        <v>2690</v>
      </c>
      <c r="E87">
        <v>8</v>
      </c>
      <c r="F87">
        <v>2683</v>
      </c>
      <c r="G87">
        <v>0</v>
      </c>
      <c r="H87">
        <v>32768</v>
      </c>
      <c r="I87">
        <v>8</v>
      </c>
      <c r="J87" t="s">
        <v>1</v>
      </c>
      <c r="K87" t="s">
        <v>2</v>
      </c>
      <c r="L87" s="8">
        <f>InterspecUsage[[#This Row],[Used-MB]]-F77</f>
        <v>0</v>
      </c>
      <c r="M87">
        <f>InterspecUsage[[#This Row],[Max]]-InterspecUsage[[#This Row],[Used-MB]]</f>
        <v>30085</v>
      </c>
      <c r="N87" s="5">
        <f>IF($L87&gt;0,InterspecUsage[[#This Row],[Free-of-Max]]/InterspecUsage[[#This Row],[Usage-Delta-MB]],InterspecUsage[[#This Row],[Free-of-Max]])</f>
        <v>30085</v>
      </c>
      <c r="R87" s="3">
        <v>45138</v>
      </c>
      <c r="S87" s="15" t="s">
        <v>24</v>
      </c>
      <c r="T87" s="16">
        <v>89</v>
      </c>
      <c r="U87" s="16">
        <v>18400</v>
      </c>
      <c r="V87" s="16">
        <v>2013</v>
      </c>
      <c r="W87" s="16">
        <v>16387</v>
      </c>
      <c r="X87" s="16">
        <v>11</v>
      </c>
      <c r="Y87" s="16">
        <v>32768</v>
      </c>
      <c r="Z87" s="16">
        <v>50</v>
      </c>
      <c r="AA87" s="15" t="s">
        <v>1</v>
      </c>
      <c r="AB87" s="15" t="s">
        <v>2</v>
      </c>
      <c r="AC87" s="8">
        <v>39</v>
      </c>
      <c r="AD87">
        <v>16381</v>
      </c>
      <c r="AE87" s="5">
        <v>420.02564102564105</v>
      </c>
      <c r="AI87" s="3">
        <v>45138</v>
      </c>
      <c r="AJ87" s="15" t="s">
        <v>27</v>
      </c>
      <c r="AK87" s="16">
        <v>83</v>
      </c>
      <c r="AL87" s="16">
        <v>163840</v>
      </c>
      <c r="AM87" s="16">
        <v>27159</v>
      </c>
      <c r="AN87" s="16">
        <v>136681</v>
      </c>
      <c r="AO87" s="16">
        <v>17</v>
      </c>
      <c r="AP87" s="16">
        <v>163840</v>
      </c>
      <c r="AQ87" s="16">
        <v>83</v>
      </c>
      <c r="AR87" s="15" t="s">
        <v>1</v>
      </c>
      <c r="AS87" s="15" t="s">
        <v>2</v>
      </c>
      <c r="AT87" s="8">
        <v>74</v>
      </c>
      <c r="AU87">
        <v>27159</v>
      </c>
      <c r="AV87" s="5">
        <v>367.01351351351349</v>
      </c>
    </row>
    <row r="88" spans="1:48" x14ac:dyDescent="0.25">
      <c r="A88" s="3">
        <v>44298</v>
      </c>
      <c r="B88" t="s">
        <v>30</v>
      </c>
      <c r="C88">
        <v>0</v>
      </c>
      <c r="D88">
        <v>32767</v>
      </c>
      <c r="E88">
        <v>32744</v>
      </c>
      <c r="F88">
        <v>23</v>
      </c>
      <c r="G88">
        <v>100</v>
      </c>
      <c r="H88">
        <v>32768</v>
      </c>
      <c r="I88">
        <v>0</v>
      </c>
      <c r="J88" t="s">
        <v>1</v>
      </c>
      <c r="K88" t="s">
        <v>13</v>
      </c>
      <c r="L88" s="8">
        <f>InterspecUsage[[#This Row],[Used-MB]]-F78</f>
        <v>-2</v>
      </c>
      <c r="M88">
        <f>InterspecUsage[[#This Row],[Max]]-InterspecUsage[[#This Row],[Used-MB]]</f>
        <v>32745</v>
      </c>
      <c r="N88" s="5">
        <f>IF($L88&gt;0,InterspecUsage[[#This Row],[Free-of-Max]]/InterspecUsage[[#This Row],[Usage-Delta-MB]],InterspecUsage[[#This Row],[Free-of-Max]])</f>
        <v>32745</v>
      </c>
      <c r="R88" s="3">
        <v>45145</v>
      </c>
      <c r="S88" s="15" t="s">
        <v>24</v>
      </c>
      <c r="T88" s="16">
        <v>90</v>
      </c>
      <c r="U88" s="16">
        <v>18400</v>
      </c>
      <c r="V88" s="16">
        <v>1916</v>
      </c>
      <c r="W88" s="16">
        <v>16484</v>
      </c>
      <c r="X88" s="16">
        <v>10</v>
      </c>
      <c r="Y88" s="16">
        <v>32768</v>
      </c>
      <c r="Z88" s="16">
        <v>50</v>
      </c>
      <c r="AA88" s="15" t="s">
        <v>1</v>
      </c>
      <c r="AB88" s="15" t="s">
        <v>2</v>
      </c>
      <c r="AC88" s="8">
        <v>97</v>
      </c>
      <c r="AD88">
        <v>16284</v>
      </c>
      <c r="AE88" s="5">
        <v>167.8762886597938</v>
      </c>
      <c r="AI88" s="3">
        <v>45145</v>
      </c>
      <c r="AJ88" s="15" t="s">
        <v>27</v>
      </c>
      <c r="AK88" s="16">
        <v>84</v>
      </c>
      <c r="AL88" s="16">
        <v>163840</v>
      </c>
      <c r="AM88" s="16">
        <v>26956</v>
      </c>
      <c r="AN88" s="16">
        <v>136884</v>
      </c>
      <c r="AO88" s="16">
        <v>16</v>
      </c>
      <c r="AP88" s="16">
        <v>163840</v>
      </c>
      <c r="AQ88" s="16">
        <v>84</v>
      </c>
      <c r="AR88" s="15" t="s">
        <v>1</v>
      </c>
      <c r="AS88" s="15" t="s">
        <v>2</v>
      </c>
      <c r="AT88" s="8">
        <v>203</v>
      </c>
      <c r="AU88">
        <v>26956</v>
      </c>
      <c r="AV88" s="5">
        <v>132.78817733990147</v>
      </c>
    </row>
    <row r="89" spans="1:48" x14ac:dyDescent="0.25">
      <c r="A89" s="3">
        <v>44298</v>
      </c>
      <c r="B89" t="s">
        <v>28</v>
      </c>
      <c r="C89">
        <v>24</v>
      </c>
      <c r="D89">
        <v>16400</v>
      </c>
      <c r="E89">
        <v>12419</v>
      </c>
      <c r="F89">
        <v>3981</v>
      </c>
      <c r="G89">
        <v>76</v>
      </c>
      <c r="H89">
        <v>32768</v>
      </c>
      <c r="I89">
        <v>12</v>
      </c>
      <c r="J89" t="s">
        <v>1</v>
      </c>
      <c r="K89" t="s">
        <v>10</v>
      </c>
      <c r="L89" s="8">
        <f>InterspecUsage[[#This Row],[Used-MB]]-F79</f>
        <v>-3</v>
      </c>
      <c r="M89">
        <f>InterspecUsage[[#This Row],[Max]]-InterspecUsage[[#This Row],[Used-MB]]</f>
        <v>28787</v>
      </c>
      <c r="N89" s="5">
        <f>IF($L89&gt;0,InterspecUsage[[#This Row],[Free-of-Max]]/InterspecUsage[[#This Row],[Usage-Delta-MB]],InterspecUsage[[#This Row],[Free-of-Max]])</f>
        <v>28787</v>
      </c>
      <c r="R89" s="3">
        <v>45152</v>
      </c>
      <c r="S89" s="15" t="s">
        <v>24</v>
      </c>
      <c r="T89" s="16">
        <v>90</v>
      </c>
      <c r="U89" s="16">
        <v>18400</v>
      </c>
      <c r="V89" s="16">
        <v>1878</v>
      </c>
      <c r="W89" s="16">
        <v>16522</v>
      </c>
      <c r="X89" s="16">
        <v>10</v>
      </c>
      <c r="Y89" s="16">
        <v>32768</v>
      </c>
      <c r="Z89" s="16">
        <v>50</v>
      </c>
      <c r="AA89" s="15" t="s">
        <v>1</v>
      </c>
      <c r="AB89" s="15" t="s">
        <v>2</v>
      </c>
      <c r="AC89" s="8">
        <v>38</v>
      </c>
      <c r="AD89">
        <v>16246</v>
      </c>
      <c r="AE89" s="5">
        <v>427.5263157894737</v>
      </c>
      <c r="AI89" s="3">
        <v>45152</v>
      </c>
      <c r="AJ89" s="15" t="s">
        <v>27</v>
      </c>
      <c r="AK89" s="16">
        <v>84</v>
      </c>
      <c r="AL89" s="16">
        <v>163840</v>
      </c>
      <c r="AM89" s="16">
        <v>26767</v>
      </c>
      <c r="AN89" s="16">
        <v>137073</v>
      </c>
      <c r="AO89" s="16">
        <v>16</v>
      </c>
      <c r="AP89" s="16">
        <v>163840</v>
      </c>
      <c r="AQ89" s="16">
        <v>84</v>
      </c>
      <c r="AR89" s="15" t="s">
        <v>1</v>
      </c>
      <c r="AS89" s="15" t="s">
        <v>2</v>
      </c>
      <c r="AT89" s="8">
        <v>189</v>
      </c>
      <c r="AU89">
        <v>26767</v>
      </c>
      <c r="AV89" s="5">
        <v>141.62433862433863</v>
      </c>
    </row>
    <row r="90" spans="1:48" x14ac:dyDescent="0.25">
      <c r="A90" s="3">
        <v>44298</v>
      </c>
      <c r="B90" t="s">
        <v>25</v>
      </c>
      <c r="C90">
        <v>94</v>
      </c>
      <c r="D90">
        <v>8950</v>
      </c>
      <c r="E90">
        <v>520</v>
      </c>
      <c r="F90">
        <v>8430</v>
      </c>
      <c r="G90">
        <v>6</v>
      </c>
      <c r="H90">
        <v>32768</v>
      </c>
      <c r="I90">
        <v>26</v>
      </c>
      <c r="J90" t="s">
        <v>1</v>
      </c>
      <c r="K90" t="s">
        <v>2</v>
      </c>
      <c r="L90" s="8">
        <f>InterspecUsage[[#This Row],[Used-MB]]-F80</f>
        <v>1</v>
      </c>
      <c r="M90">
        <f>InterspecUsage[[#This Row],[Max]]-InterspecUsage[[#This Row],[Used-MB]]</f>
        <v>24338</v>
      </c>
      <c r="N90" s="5">
        <f>IF($L90&gt;0,InterspecUsage[[#This Row],[Free-of-Max]]/InterspecUsage[[#This Row],[Usage-Delta-MB]],InterspecUsage[[#This Row],[Free-of-Max]])</f>
        <v>24338</v>
      </c>
      <c r="R90" s="3">
        <v>45159</v>
      </c>
      <c r="S90" s="15" t="s">
        <v>24</v>
      </c>
      <c r="T90" s="16">
        <v>90</v>
      </c>
      <c r="U90" s="16">
        <v>18400</v>
      </c>
      <c r="V90" s="16">
        <v>1845</v>
      </c>
      <c r="W90" s="16">
        <v>16555</v>
      </c>
      <c r="X90" s="16">
        <v>10</v>
      </c>
      <c r="Y90" s="16">
        <v>32768</v>
      </c>
      <c r="Z90" s="16">
        <v>51</v>
      </c>
      <c r="AA90" s="15" t="s">
        <v>1</v>
      </c>
      <c r="AB90" s="15" t="s">
        <v>2</v>
      </c>
      <c r="AC90" s="8">
        <v>33</v>
      </c>
      <c r="AD90">
        <v>16213</v>
      </c>
      <c r="AE90" s="5">
        <v>491.30303030303031</v>
      </c>
      <c r="AI90" s="3">
        <v>45159</v>
      </c>
      <c r="AJ90" s="15" t="s">
        <v>27</v>
      </c>
      <c r="AK90" s="16">
        <v>84</v>
      </c>
      <c r="AL90" s="16">
        <v>163840</v>
      </c>
      <c r="AM90" s="16">
        <v>26591</v>
      </c>
      <c r="AN90" s="16">
        <v>137249</v>
      </c>
      <c r="AO90" s="16">
        <v>16</v>
      </c>
      <c r="AP90" s="16">
        <v>163840</v>
      </c>
      <c r="AQ90" s="16">
        <v>84</v>
      </c>
      <c r="AR90" s="15" t="s">
        <v>1</v>
      </c>
      <c r="AS90" s="15" t="s">
        <v>2</v>
      </c>
      <c r="AT90" s="8">
        <v>176</v>
      </c>
      <c r="AU90">
        <v>26591</v>
      </c>
      <c r="AV90" s="5">
        <v>151.08522727272728</v>
      </c>
    </row>
    <row r="91" spans="1:48" x14ac:dyDescent="0.25">
      <c r="A91" s="3">
        <v>44298</v>
      </c>
      <c r="B91" t="s">
        <v>29</v>
      </c>
      <c r="C91">
        <v>0</v>
      </c>
      <c r="D91">
        <v>500</v>
      </c>
      <c r="E91">
        <v>499</v>
      </c>
      <c r="F91">
        <v>1</v>
      </c>
      <c r="G91">
        <v>100</v>
      </c>
      <c r="H91">
        <v>500</v>
      </c>
      <c r="I91">
        <v>0</v>
      </c>
      <c r="J91" t="s">
        <v>1</v>
      </c>
      <c r="K91" t="s">
        <v>2</v>
      </c>
      <c r="L91" s="8">
        <f>InterspecUsage[[#This Row],[Used-MB]]-F81</f>
        <v>0</v>
      </c>
      <c r="M91">
        <f>InterspecUsage[[#This Row],[Max]]-InterspecUsage[[#This Row],[Used-MB]]</f>
        <v>499</v>
      </c>
      <c r="N91" s="5">
        <f>IF($L91&gt;0,InterspecUsage[[#This Row],[Free-of-Max]]/InterspecUsage[[#This Row],[Usage-Delta-MB]],InterspecUsage[[#This Row],[Free-of-Max]])</f>
        <v>499</v>
      </c>
      <c r="R91" s="3">
        <v>45166</v>
      </c>
      <c r="S91" s="15" t="s">
        <v>24</v>
      </c>
      <c r="T91" s="16">
        <v>90</v>
      </c>
      <c r="U91" s="16">
        <v>18400</v>
      </c>
      <c r="V91" s="16">
        <v>1818</v>
      </c>
      <c r="W91" s="16">
        <v>16582</v>
      </c>
      <c r="X91" s="16">
        <v>10</v>
      </c>
      <c r="Y91" s="16">
        <v>32768</v>
      </c>
      <c r="Z91" s="16">
        <v>51</v>
      </c>
      <c r="AA91" s="15" t="s">
        <v>1</v>
      </c>
      <c r="AB91" s="15" t="s">
        <v>2</v>
      </c>
      <c r="AC91" s="8">
        <v>27</v>
      </c>
      <c r="AD91" s="22">
        <v>16186</v>
      </c>
      <c r="AE91" s="5">
        <v>599.48148148148152</v>
      </c>
      <c r="AI91" s="3">
        <v>45166</v>
      </c>
      <c r="AJ91" s="15" t="s">
        <v>27</v>
      </c>
      <c r="AK91" s="16">
        <v>84</v>
      </c>
      <c r="AL91" s="16">
        <v>163840</v>
      </c>
      <c r="AM91" s="16">
        <v>26065</v>
      </c>
      <c r="AN91" s="16">
        <v>137775</v>
      </c>
      <c r="AO91" s="16">
        <v>16</v>
      </c>
      <c r="AP91" s="16">
        <v>163840</v>
      </c>
      <c r="AQ91" s="16">
        <v>84</v>
      </c>
      <c r="AR91" s="15" t="s">
        <v>1</v>
      </c>
      <c r="AS91" s="15" t="s">
        <v>2</v>
      </c>
      <c r="AT91" s="8">
        <v>526</v>
      </c>
      <c r="AU91" s="22">
        <v>26065</v>
      </c>
      <c r="AV91" s="5">
        <v>49.553231939163496</v>
      </c>
    </row>
    <row r="92" spans="1:48" x14ac:dyDescent="0.25">
      <c r="A92" s="3">
        <v>44305</v>
      </c>
      <c r="B92" t="s">
        <v>26</v>
      </c>
      <c r="C92">
        <v>95</v>
      </c>
      <c r="D92">
        <v>16288</v>
      </c>
      <c r="E92">
        <v>842</v>
      </c>
      <c r="F92">
        <v>15446</v>
      </c>
      <c r="G92">
        <v>5</v>
      </c>
      <c r="H92">
        <v>40960</v>
      </c>
      <c r="I92">
        <v>38</v>
      </c>
      <c r="J92" t="s">
        <v>1</v>
      </c>
      <c r="K92" t="s">
        <v>2</v>
      </c>
      <c r="L92" s="8">
        <f>InterspecUsage[[#This Row],[Used-MB]]-F82</f>
        <v>0</v>
      </c>
      <c r="M92">
        <f>InterspecUsage[[#This Row],[Max]]-InterspecUsage[[#This Row],[Used-MB]]</f>
        <v>25514</v>
      </c>
      <c r="N92" s="5">
        <f>IF($L92&gt;0,InterspecUsage[[#This Row],[Free-of-Max]]/InterspecUsage[[#This Row],[Usage-Delta-MB]],InterspecUsage[[#This Row],[Free-of-Max]])</f>
        <v>25514</v>
      </c>
    </row>
    <row r="93" spans="1:48" x14ac:dyDescent="0.25">
      <c r="A93" s="3">
        <v>44305</v>
      </c>
      <c r="B93" t="s">
        <v>24</v>
      </c>
      <c r="C93">
        <v>95</v>
      </c>
      <c r="D93">
        <v>18000</v>
      </c>
      <c r="E93">
        <v>851</v>
      </c>
      <c r="F93">
        <v>17149</v>
      </c>
      <c r="G93">
        <v>5</v>
      </c>
      <c r="H93">
        <v>32768</v>
      </c>
      <c r="I93">
        <v>52</v>
      </c>
      <c r="J93" t="s">
        <v>1</v>
      </c>
      <c r="K93" t="s">
        <v>2</v>
      </c>
      <c r="L93" s="8">
        <f>InterspecUsage[[#This Row],[Used-MB]]-F83</f>
        <v>11</v>
      </c>
      <c r="M93">
        <f>InterspecUsage[[#This Row],[Max]]-InterspecUsage[[#This Row],[Used-MB]]</f>
        <v>15619</v>
      </c>
      <c r="N93" s="5">
        <f>IF($L93&gt;0,InterspecUsage[[#This Row],[Free-of-Max]]/InterspecUsage[[#This Row],[Usage-Delta-MB]],InterspecUsage[[#This Row],[Free-of-Max]])</f>
        <v>1419.909090909091</v>
      </c>
    </row>
    <row r="94" spans="1:48" x14ac:dyDescent="0.25">
      <c r="A94" s="3">
        <v>44305</v>
      </c>
      <c r="B94" s="7" t="s">
        <v>35</v>
      </c>
      <c r="C94">
        <v>95</v>
      </c>
      <c r="D94">
        <v>20200</v>
      </c>
      <c r="E94">
        <v>1060</v>
      </c>
      <c r="F94">
        <v>19140</v>
      </c>
      <c r="G94">
        <v>5</v>
      </c>
      <c r="H94">
        <v>32768</v>
      </c>
      <c r="I94">
        <v>58</v>
      </c>
      <c r="J94" t="s">
        <v>1</v>
      </c>
      <c r="K94" t="s">
        <v>2</v>
      </c>
      <c r="L94" s="8">
        <f>InterspecUsage[[#This Row],[Used-MB]]-F84</f>
        <v>128</v>
      </c>
      <c r="M94">
        <f>InterspecUsage[[#This Row],[Max]]-InterspecUsage[[#This Row],[Used-MB]]</f>
        <v>13628</v>
      </c>
      <c r="N94" s="5">
        <f>IF($L94&gt;0,InterspecUsage[[#This Row],[Free-of-Max]]/InterspecUsage[[#This Row],[Usage-Delta-MB]],InterspecUsage[[#This Row],[Free-of-Max]])</f>
        <v>106.46875</v>
      </c>
    </row>
    <row r="95" spans="1:48" x14ac:dyDescent="0.25">
      <c r="A95" s="3">
        <v>44305</v>
      </c>
      <c r="B95" t="s">
        <v>27</v>
      </c>
      <c r="C95">
        <v>74</v>
      </c>
      <c r="D95">
        <v>131072</v>
      </c>
      <c r="E95">
        <v>34234</v>
      </c>
      <c r="F95">
        <v>96838</v>
      </c>
      <c r="G95">
        <v>26</v>
      </c>
      <c r="H95">
        <v>131072</v>
      </c>
      <c r="I95">
        <v>74</v>
      </c>
      <c r="J95" t="s">
        <v>1</v>
      </c>
      <c r="K95" t="s">
        <v>2</v>
      </c>
      <c r="L95" s="8">
        <f>InterspecUsage[[#This Row],[Used-MB]]-F85</f>
        <v>526</v>
      </c>
      <c r="M95">
        <f>InterspecUsage[[#This Row],[Max]]-InterspecUsage[[#This Row],[Used-MB]]</f>
        <v>34234</v>
      </c>
      <c r="N95" s="5">
        <f>IF($L95&gt;0,InterspecUsage[[#This Row],[Free-of-Max]]/InterspecUsage[[#This Row],[Usage-Delta-MB]],InterspecUsage[[#This Row],[Free-of-Max]])</f>
        <v>65.083650190114071</v>
      </c>
    </row>
    <row r="96" spans="1:48" x14ac:dyDescent="0.25">
      <c r="A96" s="3">
        <v>44305</v>
      </c>
      <c r="B96" t="s">
        <v>7</v>
      </c>
      <c r="C96">
        <v>94</v>
      </c>
      <c r="D96">
        <v>840</v>
      </c>
      <c r="E96">
        <v>47</v>
      </c>
      <c r="F96">
        <v>794</v>
      </c>
      <c r="G96">
        <v>6</v>
      </c>
      <c r="H96">
        <v>32768</v>
      </c>
      <c r="I96">
        <v>2</v>
      </c>
      <c r="J96" t="s">
        <v>1</v>
      </c>
      <c r="K96" t="s">
        <v>2</v>
      </c>
      <c r="L96" s="8">
        <f>InterspecUsage[[#This Row],[Used-MB]]-F86</f>
        <v>1</v>
      </c>
      <c r="M96">
        <f>InterspecUsage[[#This Row],[Max]]-InterspecUsage[[#This Row],[Used-MB]]</f>
        <v>31974</v>
      </c>
      <c r="N96" s="5">
        <f>IF($L96&gt;0,InterspecUsage[[#This Row],[Free-of-Max]]/InterspecUsage[[#This Row],[Usage-Delta-MB]],InterspecUsage[[#This Row],[Free-of-Max]])</f>
        <v>31974</v>
      </c>
    </row>
    <row r="97" spans="1:14" x14ac:dyDescent="0.25">
      <c r="A97" s="3">
        <v>44305</v>
      </c>
      <c r="B97" t="s">
        <v>0</v>
      </c>
      <c r="C97">
        <v>100</v>
      </c>
      <c r="D97">
        <v>2690</v>
      </c>
      <c r="E97">
        <v>8</v>
      </c>
      <c r="F97">
        <v>2683</v>
      </c>
      <c r="G97">
        <v>0</v>
      </c>
      <c r="H97">
        <v>32768</v>
      </c>
      <c r="I97">
        <v>8</v>
      </c>
      <c r="J97" t="s">
        <v>1</v>
      </c>
      <c r="K97" t="s">
        <v>2</v>
      </c>
      <c r="L97" s="8">
        <f>InterspecUsage[[#This Row],[Used-MB]]-F87</f>
        <v>0</v>
      </c>
      <c r="M97">
        <f>InterspecUsage[[#This Row],[Max]]-InterspecUsage[[#This Row],[Used-MB]]</f>
        <v>30085</v>
      </c>
      <c r="N97" s="5">
        <f>IF($L97&gt;0,InterspecUsage[[#This Row],[Free-of-Max]]/InterspecUsage[[#This Row],[Usage-Delta-MB]],InterspecUsage[[#This Row],[Free-of-Max]])</f>
        <v>30085</v>
      </c>
    </row>
    <row r="98" spans="1:14" x14ac:dyDescent="0.25">
      <c r="A98" s="3">
        <v>44305</v>
      </c>
      <c r="B98" t="s">
        <v>30</v>
      </c>
      <c r="C98">
        <v>0</v>
      </c>
      <c r="D98">
        <v>32767</v>
      </c>
      <c r="E98">
        <v>32745</v>
      </c>
      <c r="F98">
        <v>22</v>
      </c>
      <c r="G98">
        <v>100</v>
      </c>
      <c r="H98">
        <v>32768</v>
      </c>
      <c r="I98">
        <v>0</v>
      </c>
      <c r="J98" t="s">
        <v>1</v>
      </c>
      <c r="K98" t="s">
        <v>13</v>
      </c>
      <c r="L98" s="8">
        <f>InterspecUsage[[#This Row],[Used-MB]]-F88</f>
        <v>-1</v>
      </c>
      <c r="M98">
        <f>InterspecUsage[[#This Row],[Max]]-InterspecUsage[[#This Row],[Used-MB]]</f>
        <v>32746</v>
      </c>
      <c r="N98" s="5">
        <f>IF($L98&gt;0,InterspecUsage[[#This Row],[Free-of-Max]]/InterspecUsage[[#This Row],[Usage-Delta-MB]],InterspecUsage[[#This Row],[Free-of-Max]])</f>
        <v>32746</v>
      </c>
    </row>
    <row r="99" spans="1:14" x14ac:dyDescent="0.25">
      <c r="A99" s="3">
        <v>44305</v>
      </c>
      <c r="B99" t="s">
        <v>28</v>
      </c>
      <c r="C99">
        <v>24</v>
      </c>
      <c r="D99">
        <v>16400</v>
      </c>
      <c r="E99">
        <v>12478</v>
      </c>
      <c r="F99">
        <v>3922</v>
      </c>
      <c r="G99">
        <v>76</v>
      </c>
      <c r="H99">
        <v>32768</v>
      </c>
      <c r="I99">
        <v>12</v>
      </c>
      <c r="J99" t="s">
        <v>1</v>
      </c>
      <c r="K99" t="s">
        <v>10</v>
      </c>
      <c r="L99" s="8">
        <f>InterspecUsage[[#This Row],[Used-MB]]-F89</f>
        <v>-59</v>
      </c>
      <c r="M99">
        <f>InterspecUsage[[#This Row],[Max]]-InterspecUsage[[#This Row],[Used-MB]]</f>
        <v>28846</v>
      </c>
      <c r="N99" s="5">
        <f>IF($L99&gt;0,InterspecUsage[[#This Row],[Free-of-Max]]/InterspecUsage[[#This Row],[Usage-Delta-MB]],InterspecUsage[[#This Row],[Free-of-Max]])</f>
        <v>28846</v>
      </c>
    </row>
    <row r="100" spans="1:14" x14ac:dyDescent="0.25">
      <c r="A100" s="3">
        <v>44305</v>
      </c>
      <c r="B100" t="s">
        <v>25</v>
      </c>
      <c r="C100">
        <v>95</v>
      </c>
      <c r="D100">
        <v>9250</v>
      </c>
      <c r="E100">
        <v>473</v>
      </c>
      <c r="F100">
        <v>8777</v>
      </c>
      <c r="G100">
        <v>5</v>
      </c>
      <c r="H100">
        <v>32768</v>
      </c>
      <c r="I100">
        <v>27</v>
      </c>
      <c r="J100" t="s">
        <v>1</v>
      </c>
      <c r="K100" t="s">
        <v>2</v>
      </c>
      <c r="L100" s="8">
        <f>InterspecUsage[[#This Row],[Used-MB]]-F90</f>
        <v>347</v>
      </c>
      <c r="M100">
        <f>InterspecUsage[[#This Row],[Max]]-InterspecUsage[[#This Row],[Used-MB]]</f>
        <v>23991</v>
      </c>
      <c r="N100" s="5">
        <f>IF($L100&gt;0,InterspecUsage[[#This Row],[Free-of-Max]]/InterspecUsage[[#This Row],[Usage-Delta-MB]],InterspecUsage[[#This Row],[Free-of-Max]])</f>
        <v>69.138328530259372</v>
      </c>
    </row>
    <row r="101" spans="1:14" x14ac:dyDescent="0.25">
      <c r="A101" s="3">
        <v>44305</v>
      </c>
      <c r="B101" t="s">
        <v>29</v>
      </c>
      <c r="C101">
        <v>0</v>
      </c>
      <c r="D101">
        <v>500</v>
      </c>
      <c r="E101">
        <v>499</v>
      </c>
      <c r="F101">
        <v>1</v>
      </c>
      <c r="G101">
        <v>100</v>
      </c>
      <c r="H101">
        <v>500</v>
      </c>
      <c r="I101">
        <v>0</v>
      </c>
      <c r="J101" t="s">
        <v>1</v>
      </c>
      <c r="K101" t="s">
        <v>2</v>
      </c>
      <c r="L101" s="8">
        <f>InterspecUsage[[#This Row],[Used-MB]]-F91</f>
        <v>0</v>
      </c>
      <c r="M101">
        <f>InterspecUsage[[#This Row],[Max]]-InterspecUsage[[#This Row],[Used-MB]]</f>
        <v>499</v>
      </c>
      <c r="N101" s="5">
        <f>IF($L101&gt;0,InterspecUsage[[#This Row],[Free-of-Max]]/InterspecUsage[[#This Row],[Usage-Delta-MB]],InterspecUsage[[#This Row],[Free-of-Max]])</f>
        <v>499</v>
      </c>
    </row>
    <row r="102" spans="1:14" x14ac:dyDescent="0.25">
      <c r="A102" s="3">
        <v>44312</v>
      </c>
      <c r="B102" t="s">
        <v>26</v>
      </c>
      <c r="C102">
        <v>93</v>
      </c>
      <c r="D102">
        <v>16788</v>
      </c>
      <c r="E102">
        <v>1214</v>
      </c>
      <c r="F102">
        <v>15574</v>
      </c>
      <c r="G102">
        <v>7</v>
      </c>
      <c r="H102">
        <v>40960</v>
      </c>
      <c r="I102">
        <v>38</v>
      </c>
      <c r="J102" t="s">
        <v>1</v>
      </c>
      <c r="K102" t="s">
        <v>2</v>
      </c>
      <c r="L102" s="8">
        <f>InterspecUsage[[#This Row],[Used-MB]]-F92</f>
        <v>128</v>
      </c>
      <c r="M102">
        <f>InterspecUsage[[#This Row],[Max]]-InterspecUsage[[#This Row],[Used-MB]]</f>
        <v>25386</v>
      </c>
      <c r="N102" s="5">
        <f>IF($L102&gt;0,InterspecUsage[[#This Row],[Free-of-Max]]/InterspecUsage[[#This Row],[Usage-Delta-MB]],InterspecUsage[[#This Row],[Free-of-Max]])</f>
        <v>198.328125</v>
      </c>
    </row>
    <row r="103" spans="1:14" x14ac:dyDescent="0.25">
      <c r="A103" s="3">
        <v>44312</v>
      </c>
      <c r="B103" t="s">
        <v>24</v>
      </c>
      <c r="C103">
        <v>96</v>
      </c>
      <c r="D103">
        <v>18000</v>
      </c>
      <c r="E103">
        <v>786</v>
      </c>
      <c r="F103">
        <v>17214</v>
      </c>
      <c r="G103">
        <v>4</v>
      </c>
      <c r="H103">
        <v>32768</v>
      </c>
      <c r="I103">
        <v>53</v>
      </c>
      <c r="J103" t="s">
        <v>1</v>
      </c>
      <c r="K103" t="s">
        <v>2</v>
      </c>
      <c r="L103" s="8">
        <f>InterspecUsage[[#This Row],[Used-MB]]-F93</f>
        <v>65</v>
      </c>
      <c r="M103">
        <f>InterspecUsage[[#This Row],[Max]]-InterspecUsage[[#This Row],[Used-MB]]</f>
        <v>15554</v>
      </c>
      <c r="N103" s="5">
        <f>IF($L103&gt;0,InterspecUsage[[#This Row],[Free-of-Max]]/InterspecUsage[[#This Row],[Usage-Delta-MB]],InterspecUsage[[#This Row],[Free-of-Max]])</f>
        <v>239.2923076923077</v>
      </c>
    </row>
    <row r="104" spans="1:14" x14ac:dyDescent="0.25">
      <c r="A104" s="3">
        <v>44312</v>
      </c>
      <c r="B104" s="7" t="s">
        <v>35</v>
      </c>
      <c r="C104">
        <v>94</v>
      </c>
      <c r="D104">
        <v>20400</v>
      </c>
      <c r="E104">
        <v>1132</v>
      </c>
      <c r="F104">
        <v>19268</v>
      </c>
      <c r="G104">
        <v>6</v>
      </c>
      <c r="H104">
        <v>32768</v>
      </c>
      <c r="I104">
        <v>59</v>
      </c>
      <c r="J104" t="s">
        <v>1</v>
      </c>
      <c r="K104" t="s">
        <v>2</v>
      </c>
      <c r="L104" s="8">
        <f>InterspecUsage[[#This Row],[Used-MB]]-F94</f>
        <v>128</v>
      </c>
      <c r="M104">
        <f>InterspecUsage[[#This Row],[Max]]-InterspecUsage[[#This Row],[Used-MB]]</f>
        <v>13500</v>
      </c>
      <c r="N104" s="5">
        <f>IF($L104&gt;0,InterspecUsage[[#This Row],[Free-of-Max]]/InterspecUsage[[#This Row],[Usage-Delta-MB]],InterspecUsage[[#This Row],[Free-of-Max]])</f>
        <v>105.46875</v>
      </c>
    </row>
    <row r="105" spans="1:14" x14ac:dyDescent="0.25">
      <c r="A105" s="3">
        <v>44312</v>
      </c>
      <c r="B105" t="s">
        <v>27</v>
      </c>
      <c r="C105">
        <v>75</v>
      </c>
      <c r="D105">
        <v>131072</v>
      </c>
      <c r="E105">
        <v>33393</v>
      </c>
      <c r="F105">
        <v>97679</v>
      </c>
      <c r="G105">
        <v>25</v>
      </c>
      <c r="H105">
        <v>131072</v>
      </c>
      <c r="I105">
        <v>75</v>
      </c>
      <c r="J105" t="s">
        <v>1</v>
      </c>
      <c r="K105" t="s">
        <v>2</v>
      </c>
      <c r="L105" s="8">
        <f>InterspecUsage[[#This Row],[Used-MB]]-F95</f>
        <v>841</v>
      </c>
      <c r="M105">
        <f>InterspecUsage[[#This Row],[Max]]-InterspecUsage[[#This Row],[Used-MB]]</f>
        <v>33393</v>
      </c>
      <c r="N105" s="5">
        <f>IF($L105&gt;0,InterspecUsage[[#This Row],[Free-of-Max]]/InterspecUsage[[#This Row],[Usage-Delta-MB]],InterspecUsage[[#This Row],[Free-of-Max]])</f>
        <v>39.70630202140309</v>
      </c>
    </row>
    <row r="106" spans="1:14" x14ac:dyDescent="0.25">
      <c r="A106" s="3">
        <v>44312</v>
      </c>
      <c r="B106" t="s">
        <v>7</v>
      </c>
      <c r="C106">
        <v>96</v>
      </c>
      <c r="D106">
        <v>840</v>
      </c>
      <c r="E106">
        <v>37</v>
      </c>
      <c r="F106">
        <v>803</v>
      </c>
      <c r="G106">
        <v>4</v>
      </c>
      <c r="H106">
        <v>32768</v>
      </c>
      <c r="I106">
        <v>2</v>
      </c>
      <c r="J106" t="s">
        <v>1</v>
      </c>
      <c r="K106" t="s">
        <v>2</v>
      </c>
      <c r="L106" s="8">
        <f>InterspecUsage[[#This Row],[Used-MB]]-F96</f>
        <v>9</v>
      </c>
      <c r="M106">
        <f>InterspecUsage[[#This Row],[Max]]-InterspecUsage[[#This Row],[Used-MB]]</f>
        <v>31965</v>
      </c>
      <c r="N106" s="5">
        <f>IF($L106&gt;0,InterspecUsage[[#This Row],[Free-of-Max]]/InterspecUsage[[#This Row],[Usage-Delta-MB]],InterspecUsage[[#This Row],[Free-of-Max]])</f>
        <v>3551.6666666666665</v>
      </c>
    </row>
    <row r="107" spans="1:14" x14ac:dyDescent="0.25">
      <c r="A107" s="3">
        <v>44312</v>
      </c>
      <c r="B107" t="s">
        <v>0</v>
      </c>
      <c r="C107">
        <v>100</v>
      </c>
      <c r="D107">
        <v>2760</v>
      </c>
      <c r="E107">
        <v>14</v>
      </c>
      <c r="F107">
        <v>2747</v>
      </c>
      <c r="G107">
        <v>0</v>
      </c>
      <c r="H107">
        <v>32768</v>
      </c>
      <c r="I107">
        <v>8</v>
      </c>
      <c r="J107" t="s">
        <v>1</v>
      </c>
      <c r="K107" t="s">
        <v>2</v>
      </c>
      <c r="L107" s="8">
        <f>InterspecUsage[[#This Row],[Used-MB]]-F97</f>
        <v>64</v>
      </c>
      <c r="M107">
        <f>InterspecUsage[[#This Row],[Max]]-InterspecUsage[[#This Row],[Used-MB]]</f>
        <v>30021</v>
      </c>
      <c r="N107" s="5">
        <f>IF($L107&gt;0,InterspecUsage[[#This Row],[Free-of-Max]]/InterspecUsage[[#This Row],[Usage-Delta-MB]],InterspecUsage[[#This Row],[Free-of-Max]])</f>
        <v>469.078125</v>
      </c>
    </row>
    <row r="108" spans="1:14" x14ac:dyDescent="0.25">
      <c r="A108" s="3">
        <v>44312</v>
      </c>
      <c r="B108" t="s">
        <v>30</v>
      </c>
      <c r="C108">
        <v>0</v>
      </c>
      <c r="D108">
        <v>32767</v>
      </c>
      <c r="E108">
        <v>32744</v>
      </c>
      <c r="F108">
        <v>23</v>
      </c>
      <c r="G108">
        <v>100</v>
      </c>
      <c r="H108">
        <v>32768</v>
      </c>
      <c r="I108">
        <v>0</v>
      </c>
      <c r="J108" t="s">
        <v>1</v>
      </c>
      <c r="K108" t="s">
        <v>13</v>
      </c>
      <c r="L108" s="8">
        <f>InterspecUsage[[#This Row],[Used-MB]]-F98</f>
        <v>1</v>
      </c>
      <c r="M108">
        <f>InterspecUsage[[#This Row],[Max]]-InterspecUsage[[#This Row],[Used-MB]]</f>
        <v>32745</v>
      </c>
      <c r="N108" s="5">
        <f>IF($L108&gt;0,InterspecUsage[[#This Row],[Free-of-Max]]/InterspecUsage[[#This Row],[Usage-Delta-MB]],InterspecUsage[[#This Row],[Free-of-Max]])</f>
        <v>32745</v>
      </c>
    </row>
    <row r="109" spans="1:14" x14ac:dyDescent="0.25">
      <c r="A109" s="3">
        <v>44312</v>
      </c>
      <c r="B109" t="s">
        <v>28</v>
      </c>
      <c r="C109">
        <v>24</v>
      </c>
      <c r="D109">
        <v>16400</v>
      </c>
      <c r="E109">
        <v>12460</v>
      </c>
      <c r="F109">
        <v>3940</v>
      </c>
      <c r="G109">
        <v>76</v>
      </c>
      <c r="H109">
        <v>32768</v>
      </c>
      <c r="I109">
        <v>12</v>
      </c>
      <c r="J109" t="s">
        <v>1</v>
      </c>
      <c r="K109" t="s">
        <v>10</v>
      </c>
      <c r="L109" s="8">
        <f>InterspecUsage[[#This Row],[Used-MB]]-F99</f>
        <v>18</v>
      </c>
      <c r="M109">
        <f>InterspecUsage[[#This Row],[Max]]-InterspecUsage[[#This Row],[Used-MB]]</f>
        <v>28828</v>
      </c>
      <c r="N109" s="5">
        <f>IF($L109&gt;0,InterspecUsage[[#This Row],[Free-of-Max]]/InterspecUsage[[#This Row],[Usage-Delta-MB]],InterspecUsage[[#This Row],[Free-of-Max]])</f>
        <v>1601.5555555555557</v>
      </c>
    </row>
    <row r="110" spans="1:14" x14ac:dyDescent="0.25">
      <c r="A110" s="3">
        <v>44312</v>
      </c>
      <c r="B110" t="s">
        <v>25</v>
      </c>
      <c r="C110">
        <v>95</v>
      </c>
      <c r="D110">
        <v>9250</v>
      </c>
      <c r="E110">
        <v>473</v>
      </c>
      <c r="F110">
        <v>8777</v>
      </c>
      <c r="G110">
        <v>5</v>
      </c>
      <c r="H110">
        <v>32768</v>
      </c>
      <c r="I110">
        <v>27</v>
      </c>
      <c r="J110" t="s">
        <v>1</v>
      </c>
      <c r="K110" t="s">
        <v>2</v>
      </c>
      <c r="L110" s="8">
        <f>InterspecUsage[[#This Row],[Used-MB]]-F100</f>
        <v>0</v>
      </c>
      <c r="M110">
        <f>InterspecUsage[[#This Row],[Max]]-InterspecUsage[[#This Row],[Used-MB]]</f>
        <v>23991</v>
      </c>
      <c r="N110" s="5">
        <f>IF($L110&gt;0,InterspecUsage[[#This Row],[Free-of-Max]]/InterspecUsage[[#This Row],[Usage-Delta-MB]],InterspecUsage[[#This Row],[Free-of-Max]])</f>
        <v>23991</v>
      </c>
    </row>
    <row r="111" spans="1:14" x14ac:dyDescent="0.25">
      <c r="A111" s="3">
        <v>44312</v>
      </c>
      <c r="B111" t="s">
        <v>29</v>
      </c>
      <c r="C111">
        <v>0</v>
      </c>
      <c r="D111">
        <v>500</v>
      </c>
      <c r="E111">
        <v>499</v>
      </c>
      <c r="F111">
        <v>1</v>
      </c>
      <c r="G111">
        <v>100</v>
      </c>
      <c r="H111">
        <v>500</v>
      </c>
      <c r="I111">
        <v>0</v>
      </c>
      <c r="J111" t="s">
        <v>1</v>
      </c>
      <c r="K111" t="s">
        <v>2</v>
      </c>
      <c r="L111" s="8">
        <f>InterspecUsage[[#This Row],[Used-MB]]-F101</f>
        <v>0</v>
      </c>
      <c r="M111">
        <f>InterspecUsage[[#This Row],[Max]]-InterspecUsage[[#This Row],[Used-MB]]</f>
        <v>499</v>
      </c>
      <c r="N111" s="5">
        <f>IF($L111&gt;0,InterspecUsage[[#This Row],[Free-of-Max]]/InterspecUsage[[#This Row],[Usage-Delta-MB]],InterspecUsage[[#This Row],[Free-of-Max]])</f>
        <v>499</v>
      </c>
    </row>
    <row r="112" spans="1:14" x14ac:dyDescent="0.25">
      <c r="A112" s="3">
        <v>44319</v>
      </c>
      <c r="B112" t="s">
        <v>26</v>
      </c>
      <c r="C112">
        <v>93</v>
      </c>
      <c r="D112">
        <v>16788</v>
      </c>
      <c r="E112">
        <v>1214</v>
      </c>
      <c r="F112">
        <v>15574</v>
      </c>
      <c r="G112">
        <v>7</v>
      </c>
      <c r="H112">
        <v>40960</v>
      </c>
      <c r="I112">
        <v>38</v>
      </c>
      <c r="J112" t="s">
        <v>1</v>
      </c>
      <c r="K112" t="s">
        <v>2</v>
      </c>
      <c r="L112" s="8">
        <f>InterspecUsage[[#This Row],[Used-MB]]-F102</f>
        <v>0</v>
      </c>
      <c r="M112">
        <f>InterspecUsage[[#This Row],[Max]]-InterspecUsage[[#This Row],[Used-MB]]</f>
        <v>25386</v>
      </c>
      <c r="N112" s="5">
        <f>IF($L112&gt;0,InterspecUsage[[#This Row],[Free-of-Max]]/InterspecUsage[[#This Row],[Usage-Delta-MB]],InterspecUsage[[#This Row],[Free-of-Max]])</f>
        <v>25386</v>
      </c>
    </row>
    <row r="113" spans="1:14" x14ac:dyDescent="0.25">
      <c r="A113" s="3">
        <v>44319</v>
      </c>
      <c r="B113" t="s">
        <v>24</v>
      </c>
      <c r="C113">
        <v>96</v>
      </c>
      <c r="D113">
        <v>18000</v>
      </c>
      <c r="E113">
        <v>721</v>
      </c>
      <c r="F113">
        <v>17279</v>
      </c>
      <c r="G113">
        <v>4</v>
      </c>
      <c r="H113">
        <v>32768</v>
      </c>
      <c r="I113">
        <v>53</v>
      </c>
      <c r="J113" t="s">
        <v>1</v>
      </c>
      <c r="K113" t="s">
        <v>2</v>
      </c>
      <c r="L113" s="8">
        <f>InterspecUsage[[#This Row],[Used-MB]]-F103</f>
        <v>65</v>
      </c>
      <c r="M113">
        <f>InterspecUsage[[#This Row],[Max]]-InterspecUsage[[#This Row],[Used-MB]]</f>
        <v>15489</v>
      </c>
      <c r="N113" s="5">
        <f>IF($L113&gt;0,InterspecUsage[[#This Row],[Free-of-Max]]/InterspecUsage[[#This Row],[Usage-Delta-MB]],InterspecUsage[[#This Row],[Free-of-Max]])</f>
        <v>238.2923076923077</v>
      </c>
    </row>
    <row r="114" spans="1:14" x14ac:dyDescent="0.25">
      <c r="A114" s="3">
        <v>44319</v>
      </c>
      <c r="B114" s="7" t="s">
        <v>35</v>
      </c>
      <c r="C114">
        <v>95</v>
      </c>
      <c r="D114">
        <v>20600</v>
      </c>
      <c r="E114">
        <v>1076</v>
      </c>
      <c r="F114">
        <v>19524</v>
      </c>
      <c r="G114">
        <v>5</v>
      </c>
      <c r="H114">
        <v>32768</v>
      </c>
      <c r="I114">
        <v>60</v>
      </c>
      <c r="J114" t="s">
        <v>1</v>
      </c>
      <c r="K114" t="s">
        <v>2</v>
      </c>
      <c r="L114" s="8">
        <f>InterspecUsage[[#This Row],[Used-MB]]-F104</f>
        <v>256</v>
      </c>
      <c r="M114">
        <f>InterspecUsage[[#This Row],[Max]]-InterspecUsage[[#This Row],[Used-MB]]</f>
        <v>13244</v>
      </c>
      <c r="N114" s="5">
        <f>IF($L114&gt;0,InterspecUsage[[#This Row],[Free-of-Max]]/InterspecUsage[[#This Row],[Usage-Delta-MB]],InterspecUsage[[#This Row],[Free-of-Max]])</f>
        <v>51.734375</v>
      </c>
    </row>
    <row r="115" spans="1:14" x14ac:dyDescent="0.25">
      <c r="A115" s="3">
        <v>44319</v>
      </c>
      <c r="B115" t="s">
        <v>27</v>
      </c>
      <c r="C115">
        <v>75</v>
      </c>
      <c r="D115">
        <v>131072</v>
      </c>
      <c r="E115">
        <v>32489</v>
      </c>
      <c r="F115">
        <v>98583</v>
      </c>
      <c r="G115">
        <v>25</v>
      </c>
      <c r="H115">
        <v>131072</v>
      </c>
      <c r="I115">
        <v>75</v>
      </c>
      <c r="J115" t="s">
        <v>1</v>
      </c>
      <c r="K115" t="s">
        <v>2</v>
      </c>
      <c r="L115" s="8">
        <f>InterspecUsage[[#This Row],[Used-MB]]-F105</f>
        <v>904</v>
      </c>
      <c r="M115">
        <f>InterspecUsage[[#This Row],[Max]]-InterspecUsage[[#This Row],[Used-MB]]</f>
        <v>32489</v>
      </c>
      <c r="N115" s="5">
        <f>IF($L115&gt;0,InterspecUsage[[#This Row],[Free-of-Max]]/InterspecUsage[[#This Row],[Usage-Delta-MB]],InterspecUsage[[#This Row],[Free-of-Max]])</f>
        <v>35.939159292035399</v>
      </c>
    </row>
    <row r="116" spans="1:14" x14ac:dyDescent="0.25">
      <c r="A116" s="3">
        <v>44319</v>
      </c>
      <c r="B116" t="s">
        <v>7</v>
      </c>
      <c r="C116">
        <v>94</v>
      </c>
      <c r="D116">
        <v>860</v>
      </c>
      <c r="E116">
        <v>49</v>
      </c>
      <c r="F116">
        <v>811</v>
      </c>
      <c r="G116">
        <v>6</v>
      </c>
      <c r="H116">
        <v>32768</v>
      </c>
      <c r="I116">
        <v>2</v>
      </c>
      <c r="J116" t="s">
        <v>1</v>
      </c>
      <c r="K116" t="s">
        <v>2</v>
      </c>
      <c r="L116" s="8">
        <f>InterspecUsage[[#This Row],[Used-MB]]-F106</f>
        <v>8</v>
      </c>
      <c r="M116">
        <f>InterspecUsage[[#This Row],[Max]]-InterspecUsage[[#This Row],[Used-MB]]</f>
        <v>31957</v>
      </c>
      <c r="N116" s="5">
        <f>IF($L116&gt;0,InterspecUsage[[#This Row],[Free-of-Max]]/InterspecUsage[[#This Row],[Usage-Delta-MB]],InterspecUsage[[#This Row],[Free-of-Max]])</f>
        <v>3994.625</v>
      </c>
    </row>
    <row r="117" spans="1:14" x14ac:dyDescent="0.25">
      <c r="A117" s="3">
        <v>44319</v>
      </c>
      <c r="B117" t="s">
        <v>0</v>
      </c>
      <c r="C117">
        <v>100</v>
      </c>
      <c r="D117">
        <v>2760</v>
      </c>
      <c r="E117">
        <v>14</v>
      </c>
      <c r="F117">
        <v>2747</v>
      </c>
      <c r="G117">
        <v>0</v>
      </c>
      <c r="H117">
        <v>32768</v>
      </c>
      <c r="I117">
        <v>8</v>
      </c>
      <c r="J117" t="s">
        <v>1</v>
      </c>
      <c r="K117" t="s">
        <v>2</v>
      </c>
      <c r="L117" s="8">
        <f>InterspecUsage[[#This Row],[Used-MB]]-F107</f>
        <v>0</v>
      </c>
      <c r="M117">
        <f>InterspecUsage[[#This Row],[Max]]-InterspecUsage[[#This Row],[Used-MB]]</f>
        <v>30021</v>
      </c>
      <c r="N117" s="5">
        <f>IF($L117&gt;0,InterspecUsage[[#This Row],[Free-of-Max]]/InterspecUsage[[#This Row],[Usage-Delta-MB]],InterspecUsage[[#This Row],[Free-of-Max]])</f>
        <v>30021</v>
      </c>
    </row>
    <row r="118" spans="1:14" x14ac:dyDescent="0.25">
      <c r="A118" s="3">
        <v>44319</v>
      </c>
      <c r="B118" t="s">
        <v>30</v>
      </c>
      <c r="C118">
        <v>0</v>
      </c>
      <c r="D118">
        <v>32767</v>
      </c>
      <c r="E118">
        <v>32744</v>
      </c>
      <c r="F118">
        <v>23</v>
      </c>
      <c r="G118">
        <v>100</v>
      </c>
      <c r="H118">
        <v>32768</v>
      </c>
      <c r="I118">
        <v>0</v>
      </c>
      <c r="J118" t="s">
        <v>1</v>
      </c>
      <c r="K118" t="s">
        <v>13</v>
      </c>
      <c r="L118" s="8">
        <f>InterspecUsage[[#This Row],[Used-MB]]-F108</f>
        <v>0</v>
      </c>
      <c r="M118">
        <f>InterspecUsage[[#This Row],[Max]]-InterspecUsage[[#This Row],[Used-MB]]</f>
        <v>32745</v>
      </c>
      <c r="N118" s="5">
        <f>IF($L118&gt;0,InterspecUsage[[#This Row],[Free-of-Max]]/InterspecUsage[[#This Row],[Usage-Delta-MB]],InterspecUsage[[#This Row],[Free-of-Max]])</f>
        <v>32745</v>
      </c>
    </row>
    <row r="119" spans="1:14" x14ac:dyDescent="0.25">
      <c r="A119" s="3">
        <v>44319</v>
      </c>
      <c r="B119" t="s">
        <v>28</v>
      </c>
      <c r="C119">
        <v>24</v>
      </c>
      <c r="D119">
        <v>16400</v>
      </c>
      <c r="E119">
        <v>12441</v>
      </c>
      <c r="F119">
        <v>3959</v>
      </c>
      <c r="G119">
        <v>76</v>
      </c>
      <c r="H119">
        <v>32768</v>
      </c>
      <c r="I119">
        <v>12</v>
      </c>
      <c r="J119" t="s">
        <v>1</v>
      </c>
      <c r="K119" t="s">
        <v>10</v>
      </c>
      <c r="L119" s="8">
        <f>InterspecUsage[[#This Row],[Used-MB]]-F109</f>
        <v>19</v>
      </c>
      <c r="M119">
        <f>InterspecUsage[[#This Row],[Max]]-InterspecUsage[[#This Row],[Used-MB]]</f>
        <v>28809</v>
      </c>
      <c r="N119" s="5">
        <f>IF($L119&gt;0,InterspecUsage[[#This Row],[Free-of-Max]]/InterspecUsage[[#This Row],[Usage-Delta-MB]],InterspecUsage[[#This Row],[Free-of-Max]])</f>
        <v>1516.2631578947369</v>
      </c>
    </row>
    <row r="120" spans="1:14" x14ac:dyDescent="0.25">
      <c r="A120" s="3">
        <v>44319</v>
      </c>
      <c r="B120" t="s">
        <v>25</v>
      </c>
      <c r="C120">
        <v>95</v>
      </c>
      <c r="D120">
        <v>9250</v>
      </c>
      <c r="E120">
        <v>464</v>
      </c>
      <c r="F120">
        <v>8786</v>
      </c>
      <c r="G120">
        <v>5</v>
      </c>
      <c r="H120">
        <v>32768</v>
      </c>
      <c r="I120">
        <v>27</v>
      </c>
      <c r="J120" t="s">
        <v>1</v>
      </c>
      <c r="K120" t="s">
        <v>2</v>
      </c>
      <c r="L120" s="8">
        <f>InterspecUsage[[#This Row],[Used-MB]]-F110</f>
        <v>9</v>
      </c>
      <c r="M120">
        <f>InterspecUsage[[#This Row],[Max]]-InterspecUsage[[#This Row],[Used-MB]]</f>
        <v>23982</v>
      </c>
      <c r="N120" s="5">
        <f>IF($L120&gt;0,InterspecUsage[[#This Row],[Free-of-Max]]/InterspecUsage[[#This Row],[Usage-Delta-MB]],InterspecUsage[[#This Row],[Free-of-Max]])</f>
        <v>2664.6666666666665</v>
      </c>
    </row>
    <row r="121" spans="1:14" x14ac:dyDescent="0.25">
      <c r="A121" s="3">
        <v>44319</v>
      </c>
      <c r="B121" t="s">
        <v>29</v>
      </c>
      <c r="C121">
        <v>0</v>
      </c>
      <c r="D121">
        <v>500</v>
      </c>
      <c r="E121">
        <v>499</v>
      </c>
      <c r="F121">
        <v>1</v>
      </c>
      <c r="G121">
        <v>100</v>
      </c>
      <c r="H121">
        <v>500</v>
      </c>
      <c r="I121">
        <v>0</v>
      </c>
      <c r="J121" t="s">
        <v>1</v>
      </c>
      <c r="K121" t="s">
        <v>2</v>
      </c>
      <c r="L121" s="8">
        <f>InterspecUsage[[#This Row],[Used-MB]]-F111</f>
        <v>0</v>
      </c>
      <c r="M121">
        <f>InterspecUsage[[#This Row],[Max]]-InterspecUsage[[#This Row],[Used-MB]]</f>
        <v>499</v>
      </c>
      <c r="N121" s="5">
        <f>IF($L121&gt;0,InterspecUsage[[#This Row],[Free-of-Max]]/InterspecUsage[[#This Row],[Usage-Delta-MB]],InterspecUsage[[#This Row],[Free-of-Max]])</f>
        <v>499</v>
      </c>
    </row>
    <row r="122" spans="1:14" x14ac:dyDescent="0.25">
      <c r="A122" s="3">
        <v>44326</v>
      </c>
      <c r="B122" t="s">
        <v>26</v>
      </c>
      <c r="C122">
        <v>93</v>
      </c>
      <c r="D122">
        <v>16788</v>
      </c>
      <c r="E122">
        <v>1150</v>
      </c>
      <c r="F122">
        <v>15638</v>
      </c>
      <c r="G122">
        <v>7</v>
      </c>
      <c r="H122">
        <v>40960</v>
      </c>
      <c r="I122">
        <v>38</v>
      </c>
      <c r="J122" t="s">
        <v>1</v>
      </c>
      <c r="K122" t="s">
        <v>2</v>
      </c>
      <c r="L122" s="8">
        <f>InterspecUsage[[#This Row],[Used-MB]]-F112</f>
        <v>64</v>
      </c>
      <c r="M122">
        <f>InterspecUsage[[#This Row],[Max]]-InterspecUsage[[#This Row],[Used-MB]]</f>
        <v>25322</v>
      </c>
      <c r="N122" s="5">
        <f>IF($L122&gt;0,InterspecUsage[[#This Row],[Free-of-Max]]/InterspecUsage[[#This Row],[Usage-Delta-MB]],InterspecUsage[[#This Row],[Free-of-Max]])</f>
        <v>395.65625</v>
      </c>
    </row>
    <row r="123" spans="1:14" x14ac:dyDescent="0.25">
      <c r="A123" s="3">
        <v>44326</v>
      </c>
      <c r="B123" t="s">
        <v>24</v>
      </c>
      <c r="C123">
        <v>96</v>
      </c>
      <c r="D123">
        <v>18000</v>
      </c>
      <c r="E123">
        <v>720</v>
      </c>
      <c r="F123">
        <v>17280</v>
      </c>
      <c r="G123">
        <v>4</v>
      </c>
      <c r="H123">
        <v>32768</v>
      </c>
      <c r="I123">
        <v>53</v>
      </c>
      <c r="J123" t="s">
        <v>1</v>
      </c>
      <c r="K123" t="s">
        <v>2</v>
      </c>
      <c r="L123" s="8">
        <f>InterspecUsage[[#This Row],[Used-MB]]-F113</f>
        <v>1</v>
      </c>
      <c r="M123">
        <f>InterspecUsage[[#This Row],[Max]]-InterspecUsage[[#This Row],[Used-MB]]</f>
        <v>15488</v>
      </c>
      <c r="N123" s="5">
        <f>IF($L123&gt;0,InterspecUsage[[#This Row],[Free-of-Max]]/InterspecUsage[[#This Row],[Usage-Delta-MB]],InterspecUsage[[#This Row],[Free-of-Max]])</f>
        <v>15488</v>
      </c>
    </row>
    <row r="124" spans="1:14" x14ac:dyDescent="0.25">
      <c r="A124" s="3">
        <v>44326</v>
      </c>
      <c r="B124" t="s">
        <v>35</v>
      </c>
      <c r="C124">
        <v>95</v>
      </c>
      <c r="D124">
        <v>20600</v>
      </c>
      <c r="E124">
        <v>1012</v>
      </c>
      <c r="F124">
        <v>19588</v>
      </c>
      <c r="G124">
        <v>5</v>
      </c>
      <c r="H124">
        <v>32768</v>
      </c>
      <c r="I124">
        <v>60</v>
      </c>
      <c r="J124" t="s">
        <v>1</v>
      </c>
      <c r="K124" t="s">
        <v>2</v>
      </c>
      <c r="L124" s="8">
        <f>InterspecUsage[[#This Row],[Used-MB]]-F114</f>
        <v>64</v>
      </c>
      <c r="M124">
        <f>InterspecUsage[[#This Row],[Max]]-InterspecUsage[[#This Row],[Used-MB]]</f>
        <v>13180</v>
      </c>
      <c r="N124" s="5">
        <f>IF($L124&gt;0,InterspecUsage[[#This Row],[Free-of-Max]]/InterspecUsage[[#This Row],[Usage-Delta-MB]],InterspecUsage[[#This Row],[Free-of-Max]])</f>
        <v>205.9375</v>
      </c>
    </row>
    <row r="125" spans="1:14" x14ac:dyDescent="0.25">
      <c r="A125" s="3">
        <v>44326</v>
      </c>
      <c r="B125" t="s">
        <v>27</v>
      </c>
      <c r="C125">
        <v>76</v>
      </c>
      <c r="D125">
        <v>131072</v>
      </c>
      <c r="E125">
        <v>31913</v>
      </c>
      <c r="F125">
        <v>99159</v>
      </c>
      <c r="G125">
        <v>24</v>
      </c>
      <c r="H125">
        <v>131072</v>
      </c>
      <c r="I125">
        <v>76</v>
      </c>
      <c r="J125" t="s">
        <v>1</v>
      </c>
      <c r="K125" t="s">
        <v>2</v>
      </c>
      <c r="L125" s="8">
        <f>InterspecUsage[[#This Row],[Used-MB]]-F115</f>
        <v>576</v>
      </c>
      <c r="M125">
        <f>InterspecUsage[[#This Row],[Max]]-InterspecUsage[[#This Row],[Used-MB]]</f>
        <v>31913</v>
      </c>
      <c r="N125" s="5">
        <f>IF($L125&gt;0,InterspecUsage[[#This Row],[Free-of-Max]]/InterspecUsage[[#This Row],[Usage-Delta-MB]],InterspecUsage[[#This Row],[Free-of-Max]])</f>
        <v>55.404513888888886</v>
      </c>
    </row>
    <row r="126" spans="1:14" x14ac:dyDescent="0.25">
      <c r="A126" s="3">
        <v>44326</v>
      </c>
      <c r="B126" t="s">
        <v>7</v>
      </c>
      <c r="C126">
        <v>95</v>
      </c>
      <c r="D126">
        <v>860</v>
      </c>
      <c r="E126">
        <v>41</v>
      </c>
      <c r="F126">
        <v>819</v>
      </c>
      <c r="G126">
        <v>5</v>
      </c>
      <c r="H126">
        <v>32768</v>
      </c>
      <c r="I126">
        <v>2</v>
      </c>
      <c r="J126" t="s">
        <v>1</v>
      </c>
      <c r="K126" t="s">
        <v>2</v>
      </c>
      <c r="L126" s="8">
        <f>InterspecUsage[[#This Row],[Used-MB]]-F116</f>
        <v>8</v>
      </c>
      <c r="M126">
        <f>InterspecUsage[[#This Row],[Max]]-InterspecUsage[[#This Row],[Used-MB]]</f>
        <v>31949</v>
      </c>
      <c r="N126" s="5">
        <f>IF($L126&gt;0,InterspecUsage[[#This Row],[Free-of-Max]]/InterspecUsage[[#This Row],[Usage-Delta-MB]],InterspecUsage[[#This Row],[Free-of-Max]])</f>
        <v>3993.625</v>
      </c>
    </row>
    <row r="127" spans="1:14" x14ac:dyDescent="0.25">
      <c r="A127" s="3">
        <v>44326</v>
      </c>
      <c r="B127" t="s">
        <v>0</v>
      </c>
      <c r="C127">
        <v>100</v>
      </c>
      <c r="D127">
        <v>2760</v>
      </c>
      <c r="E127">
        <v>13</v>
      </c>
      <c r="F127">
        <v>2748</v>
      </c>
      <c r="G127">
        <v>0</v>
      </c>
      <c r="H127">
        <v>32768</v>
      </c>
      <c r="I127">
        <v>8</v>
      </c>
      <c r="J127" t="s">
        <v>1</v>
      </c>
      <c r="K127" t="s">
        <v>2</v>
      </c>
      <c r="L127" s="8">
        <f>InterspecUsage[[#This Row],[Used-MB]]-F117</f>
        <v>1</v>
      </c>
      <c r="M127">
        <f>InterspecUsage[[#This Row],[Max]]-InterspecUsage[[#This Row],[Used-MB]]</f>
        <v>30020</v>
      </c>
      <c r="N127" s="5">
        <f>IF($L127&gt;0,InterspecUsage[[#This Row],[Free-of-Max]]/InterspecUsage[[#This Row],[Usage-Delta-MB]],InterspecUsage[[#This Row],[Free-of-Max]])</f>
        <v>30020</v>
      </c>
    </row>
    <row r="128" spans="1:14" x14ac:dyDescent="0.25">
      <c r="A128" s="3">
        <v>44326</v>
      </c>
      <c r="B128" t="s">
        <v>30</v>
      </c>
      <c r="C128">
        <v>0</v>
      </c>
      <c r="D128">
        <v>32767</v>
      </c>
      <c r="E128">
        <v>32748</v>
      </c>
      <c r="F128">
        <v>19</v>
      </c>
      <c r="G128">
        <v>100</v>
      </c>
      <c r="H128">
        <v>32768</v>
      </c>
      <c r="I128">
        <v>0</v>
      </c>
      <c r="J128" t="s">
        <v>1</v>
      </c>
      <c r="K128" t="s">
        <v>13</v>
      </c>
      <c r="L128" s="8">
        <f>InterspecUsage[[#This Row],[Used-MB]]-F118</f>
        <v>-4</v>
      </c>
      <c r="M128">
        <f>InterspecUsage[[#This Row],[Max]]-InterspecUsage[[#This Row],[Used-MB]]</f>
        <v>32749</v>
      </c>
      <c r="N128" s="5">
        <f>IF($L128&gt;0,InterspecUsage[[#This Row],[Free-of-Max]]/InterspecUsage[[#This Row],[Usage-Delta-MB]],InterspecUsage[[#This Row],[Free-of-Max]])</f>
        <v>32749</v>
      </c>
    </row>
    <row r="129" spans="1:14" x14ac:dyDescent="0.25">
      <c r="A129" s="3">
        <v>44326</v>
      </c>
      <c r="B129" t="s">
        <v>28</v>
      </c>
      <c r="C129">
        <v>24</v>
      </c>
      <c r="D129">
        <v>16400</v>
      </c>
      <c r="E129">
        <v>12491</v>
      </c>
      <c r="F129">
        <v>3909</v>
      </c>
      <c r="G129">
        <v>76</v>
      </c>
      <c r="H129">
        <v>32768</v>
      </c>
      <c r="I129">
        <v>12</v>
      </c>
      <c r="J129" t="s">
        <v>1</v>
      </c>
      <c r="K129" t="s">
        <v>10</v>
      </c>
      <c r="L129" s="8">
        <f>InterspecUsage[[#This Row],[Used-MB]]-F119</f>
        <v>-50</v>
      </c>
      <c r="M129">
        <f>InterspecUsage[[#This Row],[Max]]-InterspecUsage[[#This Row],[Used-MB]]</f>
        <v>28859</v>
      </c>
      <c r="N129" s="5">
        <f>IF($L129&gt;0,InterspecUsage[[#This Row],[Free-of-Max]]/InterspecUsage[[#This Row],[Usage-Delta-MB]],InterspecUsage[[#This Row],[Free-of-Max]])</f>
        <v>28859</v>
      </c>
    </row>
    <row r="130" spans="1:14" x14ac:dyDescent="0.25">
      <c r="A130" s="3">
        <v>44326</v>
      </c>
      <c r="B130" t="s">
        <v>25</v>
      </c>
      <c r="C130">
        <v>95</v>
      </c>
      <c r="D130">
        <v>9250</v>
      </c>
      <c r="E130">
        <v>463</v>
      </c>
      <c r="F130">
        <v>8787</v>
      </c>
      <c r="G130">
        <v>5</v>
      </c>
      <c r="H130">
        <v>32768</v>
      </c>
      <c r="I130">
        <v>27</v>
      </c>
      <c r="J130" t="s">
        <v>1</v>
      </c>
      <c r="K130" t="s">
        <v>2</v>
      </c>
      <c r="L130" s="8">
        <f>InterspecUsage[[#This Row],[Used-MB]]-F120</f>
        <v>1</v>
      </c>
      <c r="M130">
        <f>InterspecUsage[[#This Row],[Max]]-InterspecUsage[[#This Row],[Used-MB]]</f>
        <v>23981</v>
      </c>
      <c r="N130" s="5">
        <f>IF($L130&gt;0,InterspecUsage[[#This Row],[Free-of-Max]]/InterspecUsage[[#This Row],[Usage-Delta-MB]],InterspecUsage[[#This Row],[Free-of-Max]])</f>
        <v>23981</v>
      </c>
    </row>
    <row r="131" spans="1:14" x14ac:dyDescent="0.25">
      <c r="A131" s="3">
        <v>44326</v>
      </c>
      <c r="B131" t="s">
        <v>29</v>
      </c>
      <c r="C131">
        <v>0</v>
      </c>
      <c r="D131">
        <v>500</v>
      </c>
      <c r="E131">
        <v>499</v>
      </c>
      <c r="F131">
        <v>1</v>
      </c>
      <c r="G131">
        <v>100</v>
      </c>
      <c r="H131">
        <v>500</v>
      </c>
      <c r="I131">
        <v>0</v>
      </c>
      <c r="J131" t="s">
        <v>1</v>
      </c>
      <c r="K131" t="s">
        <v>2</v>
      </c>
      <c r="L131" s="8">
        <f>InterspecUsage[[#This Row],[Used-MB]]-F121</f>
        <v>0</v>
      </c>
      <c r="M131">
        <f>InterspecUsage[[#This Row],[Max]]-InterspecUsage[[#This Row],[Used-MB]]</f>
        <v>499</v>
      </c>
      <c r="N131" s="5">
        <f>IF($L131&gt;0,InterspecUsage[[#This Row],[Free-of-Max]]/InterspecUsage[[#This Row],[Usage-Delta-MB]],InterspecUsage[[#This Row],[Free-of-Max]])</f>
        <v>499</v>
      </c>
    </row>
    <row r="132" spans="1:14" x14ac:dyDescent="0.25">
      <c r="A132" s="3">
        <v>44333</v>
      </c>
      <c r="B132" t="s">
        <v>26</v>
      </c>
      <c r="C132">
        <v>93</v>
      </c>
      <c r="D132">
        <v>16788</v>
      </c>
      <c r="E132">
        <v>1150</v>
      </c>
      <c r="F132">
        <v>15638</v>
      </c>
      <c r="G132">
        <v>7</v>
      </c>
      <c r="H132">
        <v>40960</v>
      </c>
      <c r="I132">
        <v>38</v>
      </c>
      <c r="J132" t="s">
        <v>1</v>
      </c>
      <c r="K132" t="s">
        <v>2</v>
      </c>
      <c r="L132" s="8">
        <f>InterspecUsage[[#This Row],[Used-MB]]-F122</f>
        <v>0</v>
      </c>
      <c r="M132">
        <f>InterspecUsage[[#This Row],[Max]]-InterspecUsage[[#This Row],[Used-MB]]</f>
        <v>25322</v>
      </c>
      <c r="N132" s="5">
        <f>IF($L132&gt;0,InterspecUsage[[#This Row],[Free-of-Max]]/InterspecUsage[[#This Row],[Usage-Delta-MB]],InterspecUsage[[#This Row],[Free-of-Max]])</f>
        <v>25322</v>
      </c>
    </row>
    <row r="133" spans="1:14" x14ac:dyDescent="0.25">
      <c r="A133" s="3">
        <v>44333</v>
      </c>
      <c r="B133" t="s">
        <v>24</v>
      </c>
      <c r="C133">
        <v>96</v>
      </c>
      <c r="D133">
        <v>18000</v>
      </c>
      <c r="E133">
        <v>712</v>
      </c>
      <c r="F133">
        <v>17288</v>
      </c>
      <c r="G133">
        <v>4</v>
      </c>
      <c r="H133">
        <v>32768</v>
      </c>
      <c r="I133">
        <v>53</v>
      </c>
      <c r="J133" t="s">
        <v>1</v>
      </c>
      <c r="K133" t="s">
        <v>2</v>
      </c>
      <c r="L133" s="8">
        <f>InterspecUsage[[#This Row],[Used-MB]]-F123</f>
        <v>8</v>
      </c>
      <c r="M133">
        <f>InterspecUsage[[#This Row],[Max]]-InterspecUsage[[#This Row],[Used-MB]]</f>
        <v>15480</v>
      </c>
      <c r="N133" s="5">
        <f>IF($L133&gt;0,InterspecUsage[[#This Row],[Free-of-Max]]/InterspecUsage[[#This Row],[Usage-Delta-MB]],InterspecUsage[[#This Row],[Free-of-Max]])</f>
        <v>1935</v>
      </c>
    </row>
    <row r="134" spans="1:14" x14ac:dyDescent="0.25">
      <c r="A134" s="3">
        <v>44333</v>
      </c>
      <c r="B134" s="7" t="s">
        <v>35</v>
      </c>
      <c r="C134">
        <v>94</v>
      </c>
      <c r="D134">
        <v>20800</v>
      </c>
      <c r="E134">
        <v>1148</v>
      </c>
      <c r="F134">
        <v>19652</v>
      </c>
      <c r="G134">
        <v>6</v>
      </c>
      <c r="H134">
        <v>32768</v>
      </c>
      <c r="I134">
        <v>60</v>
      </c>
      <c r="J134" t="s">
        <v>1</v>
      </c>
      <c r="K134" t="s">
        <v>2</v>
      </c>
      <c r="L134" s="8">
        <f>InterspecUsage[[#This Row],[Used-MB]]-F124</f>
        <v>64</v>
      </c>
      <c r="M134">
        <f>InterspecUsage[[#This Row],[Max]]-InterspecUsage[[#This Row],[Used-MB]]</f>
        <v>13116</v>
      </c>
      <c r="N134" s="5">
        <f>IF($L134&gt;0,InterspecUsage[[#This Row],[Free-of-Max]]/InterspecUsage[[#This Row],[Usage-Delta-MB]],InterspecUsage[[#This Row],[Free-of-Max]])</f>
        <v>204.9375</v>
      </c>
    </row>
    <row r="135" spans="1:14" x14ac:dyDescent="0.25">
      <c r="A135" s="3">
        <v>44333</v>
      </c>
      <c r="B135" t="s">
        <v>27</v>
      </c>
      <c r="C135">
        <v>76</v>
      </c>
      <c r="D135">
        <v>131072</v>
      </c>
      <c r="E135">
        <v>31713</v>
      </c>
      <c r="F135">
        <v>99359</v>
      </c>
      <c r="G135">
        <v>24</v>
      </c>
      <c r="H135">
        <v>131072</v>
      </c>
      <c r="I135">
        <v>76</v>
      </c>
      <c r="J135" t="s">
        <v>1</v>
      </c>
      <c r="K135" t="s">
        <v>2</v>
      </c>
      <c r="L135" s="8">
        <f>InterspecUsage[[#This Row],[Used-MB]]-F125</f>
        <v>200</v>
      </c>
      <c r="M135">
        <f>InterspecUsage[[#This Row],[Max]]-InterspecUsage[[#This Row],[Used-MB]]</f>
        <v>31713</v>
      </c>
      <c r="N135" s="5">
        <f>IF($L135&gt;0,InterspecUsage[[#This Row],[Free-of-Max]]/InterspecUsage[[#This Row],[Usage-Delta-MB]],InterspecUsage[[#This Row],[Free-of-Max]])</f>
        <v>158.565</v>
      </c>
    </row>
    <row r="136" spans="1:14" x14ac:dyDescent="0.25">
      <c r="A136" s="3">
        <v>44333</v>
      </c>
      <c r="B136" t="s">
        <v>7</v>
      </c>
      <c r="C136">
        <v>95</v>
      </c>
      <c r="D136">
        <v>860</v>
      </c>
      <c r="E136">
        <v>40</v>
      </c>
      <c r="F136">
        <v>820</v>
      </c>
      <c r="G136">
        <v>5</v>
      </c>
      <c r="H136">
        <v>32768</v>
      </c>
      <c r="I136">
        <v>3</v>
      </c>
      <c r="J136" t="s">
        <v>1</v>
      </c>
      <c r="K136" t="s">
        <v>2</v>
      </c>
      <c r="L136" s="8">
        <f>InterspecUsage[[#This Row],[Used-MB]]-F126</f>
        <v>1</v>
      </c>
      <c r="M136">
        <f>InterspecUsage[[#This Row],[Max]]-InterspecUsage[[#This Row],[Used-MB]]</f>
        <v>31948</v>
      </c>
      <c r="N136" s="5">
        <f>IF($L136&gt;0,InterspecUsage[[#This Row],[Free-of-Max]]/InterspecUsage[[#This Row],[Usage-Delta-MB]],InterspecUsage[[#This Row],[Free-of-Max]])</f>
        <v>31948</v>
      </c>
    </row>
    <row r="137" spans="1:14" x14ac:dyDescent="0.25">
      <c r="A137" s="3">
        <v>44333</v>
      </c>
      <c r="B137" t="s">
        <v>0</v>
      </c>
      <c r="C137">
        <v>100</v>
      </c>
      <c r="D137">
        <v>2760</v>
      </c>
      <c r="E137">
        <v>13</v>
      </c>
      <c r="F137">
        <v>2748</v>
      </c>
      <c r="G137">
        <v>0</v>
      </c>
      <c r="H137">
        <v>32768</v>
      </c>
      <c r="I137">
        <v>8</v>
      </c>
      <c r="J137" t="s">
        <v>1</v>
      </c>
      <c r="K137" t="s">
        <v>2</v>
      </c>
      <c r="L137" s="8">
        <f>InterspecUsage[[#This Row],[Used-MB]]-F127</f>
        <v>0</v>
      </c>
      <c r="M137">
        <f>InterspecUsage[[#This Row],[Max]]-InterspecUsage[[#This Row],[Used-MB]]</f>
        <v>30020</v>
      </c>
      <c r="N137" s="5">
        <f>IF($L137&gt;0,InterspecUsage[[#This Row],[Free-of-Max]]/InterspecUsage[[#This Row],[Usage-Delta-MB]],InterspecUsage[[#This Row],[Free-of-Max]])</f>
        <v>30020</v>
      </c>
    </row>
    <row r="138" spans="1:14" x14ac:dyDescent="0.25">
      <c r="A138" s="3">
        <v>44333</v>
      </c>
      <c r="B138" t="s">
        <v>30</v>
      </c>
      <c r="C138">
        <v>0</v>
      </c>
      <c r="D138">
        <v>32767</v>
      </c>
      <c r="E138">
        <v>32740</v>
      </c>
      <c r="F138">
        <v>27</v>
      </c>
      <c r="G138">
        <v>100</v>
      </c>
      <c r="H138">
        <v>32768</v>
      </c>
      <c r="I138">
        <v>0</v>
      </c>
      <c r="J138" t="s">
        <v>1</v>
      </c>
      <c r="K138" t="s">
        <v>13</v>
      </c>
      <c r="L138" s="8">
        <f>InterspecUsage[[#This Row],[Used-MB]]-F128</f>
        <v>8</v>
      </c>
      <c r="M138">
        <f>InterspecUsage[[#This Row],[Max]]-InterspecUsage[[#This Row],[Used-MB]]</f>
        <v>32741</v>
      </c>
      <c r="N138" s="5">
        <f>IF($L138&gt;0,InterspecUsage[[#This Row],[Free-of-Max]]/InterspecUsage[[#This Row],[Usage-Delta-MB]],InterspecUsage[[#This Row],[Free-of-Max]])</f>
        <v>4092.625</v>
      </c>
    </row>
    <row r="139" spans="1:14" x14ac:dyDescent="0.25">
      <c r="A139" s="3">
        <v>44333</v>
      </c>
      <c r="B139" t="s">
        <v>28</v>
      </c>
      <c r="C139">
        <v>24</v>
      </c>
      <c r="D139">
        <v>16400</v>
      </c>
      <c r="E139">
        <v>12453</v>
      </c>
      <c r="F139">
        <v>3947</v>
      </c>
      <c r="G139">
        <v>76</v>
      </c>
      <c r="H139">
        <v>32768</v>
      </c>
      <c r="I139">
        <v>12</v>
      </c>
      <c r="J139" t="s">
        <v>1</v>
      </c>
      <c r="K139" t="s">
        <v>10</v>
      </c>
      <c r="L139" s="8">
        <f>InterspecUsage[[#This Row],[Used-MB]]-F129</f>
        <v>38</v>
      </c>
      <c r="M139">
        <f>InterspecUsage[[#This Row],[Max]]-InterspecUsage[[#This Row],[Used-MB]]</f>
        <v>28821</v>
      </c>
      <c r="N139" s="5">
        <f>IF($L139&gt;0,InterspecUsage[[#This Row],[Free-of-Max]]/InterspecUsage[[#This Row],[Usage-Delta-MB]],InterspecUsage[[#This Row],[Free-of-Max]])</f>
        <v>758.4473684210526</v>
      </c>
    </row>
    <row r="140" spans="1:14" x14ac:dyDescent="0.25">
      <c r="A140" s="3">
        <v>44333</v>
      </c>
      <c r="B140" t="s">
        <v>25</v>
      </c>
      <c r="C140">
        <v>95</v>
      </c>
      <c r="D140">
        <v>9250</v>
      </c>
      <c r="E140">
        <v>454</v>
      </c>
      <c r="F140">
        <v>8796</v>
      </c>
      <c r="G140">
        <v>5</v>
      </c>
      <c r="H140">
        <v>32768</v>
      </c>
      <c r="I140">
        <v>27</v>
      </c>
      <c r="J140" t="s">
        <v>1</v>
      </c>
      <c r="K140" t="s">
        <v>2</v>
      </c>
      <c r="L140" s="8">
        <f>InterspecUsage[[#This Row],[Used-MB]]-F130</f>
        <v>9</v>
      </c>
      <c r="M140">
        <f>InterspecUsage[[#This Row],[Max]]-InterspecUsage[[#This Row],[Used-MB]]</f>
        <v>23972</v>
      </c>
      <c r="N140" s="5">
        <f>IF($L140&gt;0,InterspecUsage[[#This Row],[Free-of-Max]]/InterspecUsage[[#This Row],[Usage-Delta-MB]],InterspecUsage[[#This Row],[Free-of-Max]])</f>
        <v>2663.5555555555557</v>
      </c>
    </row>
    <row r="141" spans="1:14" x14ac:dyDescent="0.25">
      <c r="A141" s="3">
        <v>44333</v>
      </c>
      <c r="B141" t="s">
        <v>29</v>
      </c>
      <c r="C141">
        <v>0</v>
      </c>
      <c r="D141">
        <v>500</v>
      </c>
      <c r="E141">
        <v>499</v>
      </c>
      <c r="F141">
        <v>1</v>
      </c>
      <c r="G141">
        <v>100</v>
      </c>
      <c r="H141">
        <v>500</v>
      </c>
      <c r="I141">
        <v>0</v>
      </c>
      <c r="J141" t="s">
        <v>1</v>
      </c>
      <c r="K141" t="s">
        <v>2</v>
      </c>
      <c r="L141" s="8">
        <f>InterspecUsage[[#This Row],[Used-MB]]-F131</f>
        <v>0</v>
      </c>
      <c r="M141">
        <f>InterspecUsage[[#This Row],[Max]]-InterspecUsage[[#This Row],[Used-MB]]</f>
        <v>499</v>
      </c>
      <c r="N141" s="5">
        <f>IF($L141&gt;0,InterspecUsage[[#This Row],[Free-of-Max]]/InterspecUsage[[#This Row],[Usage-Delta-MB]],InterspecUsage[[#This Row],[Free-of-Max]])</f>
        <v>499</v>
      </c>
    </row>
    <row r="142" spans="1:14" x14ac:dyDescent="0.25">
      <c r="A142" s="3">
        <v>44341</v>
      </c>
      <c r="B142" t="s">
        <v>26</v>
      </c>
      <c r="C142">
        <v>94</v>
      </c>
      <c r="D142">
        <v>16788</v>
      </c>
      <c r="E142">
        <v>1021</v>
      </c>
      <c r="F142">
        <v>15767</v>
      </c>
      <c r="G142">
        <v>6</v>
      </c>
      <c r="H142">
        <v>40960</v>
      </c>
      <c r="I142">
        <v>38</v>
      </c>
      <c r="J142" t="s">
        <v>1</v>
      </c>
      <c r="K142" t="s">
        <v>2</v>
      </c>
      <c r="L142" s="8">
        <f>InterspecUsage[[#This Row],[Used-MB]]-F132</f>
        <v>129</v>
      </c>
      <c r="M142">
        <f>InterspecUsage[[#This Row],[Max]]-InterspecUsage[[#This Row],[Used-MB]]</f>
        <v>25193</v>
      </c>
      <c r="N142" s="5">
        <f>IF($L142&gt;0,InterspecUsage[[#This Row],[Free-of-Max]]/InterspecUsage[[#This Row],[Usage-Delta-MB]],InterspecUsage[[#This Row],[Free-of-Max]])</f>
        <v>195.29457364341084</v>
      </c>
    </row>
    <row r="143" spans="1:14" x14ac:dyDescent="0.25">
      <c r="A143" s="3">
        <v>44341</v>
      </c>
      <c r="B143" t="s">
        <v>24</v>
      </c>
      <c r="C143">
        <v>96</v>
      </c>
      <c r="D143">
        <v>18000</v>
      </c>
      <c r="E143">
        <v>648</v>
      </c>
      <c r="F143">
        <v>17352</v>
      </c>
      <c r="G143">
        <v>4</v>
      </c>
      <c r="H143">
        <v>32768</v>
      </c>
      <c r="I143">
        <v>53</v>
      </c>
      <c r="J143" t="s">
        <v>1</v>
      </c>
      <c r="K143" t="s">
        <v>2</v>
      </c>
      <c r="L143" s="8">
        <f>InterspecUsage[[#This Row],[Used-MB]]-F133</f>
        <v>64</v>
      </c>
      <c r="M143">
        <f>InterspecUsage[[#This Row],[Max]]-InterspecUsage[[#This Row],[Used-MB]]</f>
        <v>15416</v>
      </c>
      <c r="N143" s="5">
        <f>IF($L143&gt;0,InterspecUsage[[#This Row],[Free-of-Max]]/InterspecUsage[[#This Row],[Usage-Delta-MB]],InterspecUsage[[#This Row],[Free-of-Max]])</f>
        <v>240.875</v>
      </c>
    </row>
    <row r="144" spans="1:14" x14ac:dyDescent="0.25">
      <c r="A144" s="3">
        <v>44341</v>
      </c>
      <c r="B144" s="7" t="s">
        <v>35</v>
      </c>
      <c r="C144">
        <v>95</v>
      </c>
      <c r="D144">
        <v>20800</v>
      </c>
      <c r="E144">
        <v>1084</v>
      </c>
      <c r="F144">
        <v>19716</v>
      </c>
      <c r="G144">
        <v>5</v>
      </c>
      <c r="H144">
        <v>32768</v>
      </c>
      <c r="I144">
        <v>60</v>
      </c>
      <c r="J144" t="s">
        <v>1</v>
      </c>
      <c r="K144" t="s">
        <v>2</v>
      </c>
      <c r="L144" s="8">
        <f>InterspecUsage[[#This Row],[Used-MB]]-F134</f>
        <v>64</v>
      </c>
      <c r="M144">
        <f>InterspecUsage[[#This Row],[Max]]-InterspecUsage[[#This Row],[Used-MB]]</f>
        <v>13052</v>
      </c>
      <c r="N144" s="5">
        <f>IF($L144&gt;0,InterspecUsage[[#This Row],[Free-of-Max]]/InterspecUsage[[#This Row],[Usage-Delta-MB]],InterspecUsage[[#This Row],[Free-of-Max]])</f>
        <v>203.9375</v>
      </c>
    </row>
    <row r="145" spans="1:14" x14ac:dyDescent="0.25">
      <c r="A145" s="3">
        <v>44341</v>
      </c>
      <c r="B145" t="s">
        <v>27</v>
      </c>
      <c r="C145">
        <v>76</v>
      </c>
      <c r="D145">
        <v>131072</v>
      </c>
      <c r="E145">
        <v>31198</v>
      </c>
      <c r="F145">
        <v>99874</v>
      </c>
      <c r="G145">
        <v>24</v>
      </c>
      <c r="H145">
        <v>131072</v>
      </c>
      <c r="I145">
        <v>76</v>
      </c>
      <c r="J145" t="s">
        <v>1</v>
      </c>
      <c r="K145" t="s">
        <v>2</v>
      </c>
      <c r="L145" s="8">
        <f>InterspecUsage[[#This Row],[Used-MB]]-F135</f>
        <v>515</v>
      </c>
      <c r="M145">
        <f>InterspecUsage[[#This Row],[Max]]-InterspecUsage[[#This Row],[Used-MB]]</f>
        <v>31198</v>
      </c>
      <c r="N145" s="5">
        <f>IF($L145&gt;0,InterspecUsage[[#This Row],[Free-of-Max]]/InterspecUsage[[#This Row],[Usage-Delta-MB]],InterspecUsage[[#This Row],[Free-of-Max]])</f>
        <v>60.578640776699032</v>
      </c>
    </row>
    <row r="146" spans="1:14" x14ac:dyDescent="0.25">
      <c r="A146" s="3">
        <v>44341</v>
      </c>
      <c r="B146" t="s">
        <v>7</v>
      </c>
      <c r="C146">
        <v>95</v>
      </c>
      <c r="D146">
        <v>870</v>
      </c>
      <c r="E146">
        <v>44</v>
      </c>
      <c r="F146">
        <v>826</v>
      </c>
      <c r="G146">
        <v>5</v>
      </c>
      <c r="H146">
        <v>32768</v>
      </c>
      <c r="I146">
        <v>3</v>
      </c>
      <c r="J146" t="s">
        <v>1</v>
      </c>
      <c r="K146" t="s">
        <v>2</v>
      </c>
      <c r="L146" s="8">
        <f>InterspecUsage[[#This Row],[Used-MB]]-F136</f>
        <v>6</v>
      </c>
      <c r="M146">
        <f>InterspecUsage[[#This Row],[Max]]-InterspecUsage[[#This Row],[Used-MB]]</f>
        <v>31942</v>
      </c>
      <c r="N146" s="5">
        <f>IF($L146&gt;0,InterspecUsage[[#This Row],[Free-of-Max]]/InterspecUsage[[#This Row],[Usage-Delta-MB]],InterspecUsage[[#This Row],[Free-of-Max]])</f>
        <v>5323.666666666667</v>
      </c>
    </row>
    <row r="147" spans="1:14" x14ac:dyDescent="0.25">
      <c r="A147" s="3">
        <v>44341</v>
      </c>
      <c r="B147" t="s">
        <v>0</v>
      </c>
      <c r="C147">
        <v>100</v>
      </c>
      <c r="D147">
        <v>2760</v>
      </c>
      <c r="E147">
        <v>12</v>
      </c>
      <c r="F147">
        <v>2749</v>
      </c>
      <c r="G147">
        <v>0</v>
      </c>
      <c r="H147">
        <v>32768</v>
      </c>
      <c r="I147">
        <v>8</v>
      </c>
      <c r="J147" t="s">
        <v>1</v>
      </c>
      <c r="K147" t="s">
        <v>2</v>
      </c>
      <c r="L147" s="8">
        <f>InterspecUsage[[#This Row],[Used-MB]]-F137</f>
        <v>1</v>
      </c>
      <c r="M147">
        <f>InterspecUsage[[#This Row],[Max]]-InterspecUsage[[#This Row],[Used-MB]]</f>
        <v>30019</v>
      </c>
      <c r="N147" s="5">
        <f>IF($L147&gt;0,InterspecUsage[[#This Row],[Free-of-Max]]/InterspecUsage[[#This Row],[Usage-Delta-MB]],InterspecUsage[[#This Row],[Free-of-Max]])</f>
        <v>30019</v>
      </c>
    </row>
    <row r="148" spans="1:14" x14ac:dyDescent="0.25">
      <c r="A148" s="3">
        <v>44341</v>
      </c>
      <c r="B148" t="s">
        <v>30</v>
      </c>
      <c r="C148">
        <v>0</v>
      </c>
      <c r="D148">
        <v>32767</v>
      </c>
      <c r="E148">
        <v>32751</v>
      </c>
      <c r="F148">
        <v>16</v>
      </c>
      <c r="G148">
        <v>100</v>
      </c>
      <c r="H148">
        <v>32768</v>
      </c>
      <c r="I148">
        <v>0</v>
      </c>
      <c r="J148" t="s">
        <v>1</v>
      </c>
      <c r="K148" t="s">
        <v>13</v>
      </c>
      <c r="L148" s="8">
        <f>InterspecUsage[[#This Row],[Used-MB]]-F138</f>
        <v>-11</v>
      </c>
      <c r="M148">
        <f>InterspecUsage[[#This Row],[Max]]-InterspecUsage[[#This Row],[Used-MB]]</f>
        <v>32752</v>
      </c>
      <c r="N148" s="5">
        <f>IF($L148&gt;0,InterspecUsage[[#This Row],[Free-of-Max]]/InterspecUsage[[#This Row],[Usage-Delta-MB]],InterspecUsage[[#This Row],[Free-of-Max]])</f>
        <v>32752</v>
      </c>
    </row>
    <row r="149" spans="1:14" x14ac:dyDescent="0.25">
      <c r="A149" s="3">
        <v>44341</v>
      </c>
      <c r="B149" t="s">
        <v>28</v>
      </c>
      <c r="C149">
        <v>24</v>
      </c>
      <c r="D149">
        <v>16400</v>
      </c>
      <c r="E149">
        <v>12472</v>
      </c>
      <c r="F149">
        <v>3928</v>
      </c>
      <c r="G149">
        <v>76</v>
      </c>
      <c r="H149">
        <v>32768</v>
      </c>
      <c r="I149">
        <v>12</v>
      </c>
      <c r="J149" t="s">
        <v>1</v>
      </c>
      <c r="K149" t="s">
        <v>10</v>
      </c>
      <c r="L149" s="8">
        <f>InterspecUsage[[#This Row],[Used-MB]]-F139</f>
        <v>-19</v>
      </c>
      <c r="M149">
        <f>InterspecUsage[[#This Row],[Max]]-InterspecUsage[[#This Row],[Used-MB]]</f>
        <v>28840</v>
      </c>
      <c r="N149" s="5">
        <f>IF($L149&gt;0,InterspecUsage[[#This Row],[Free-of-Max]]/InterspecUsage[[#This Row],[Usage-Delta-MB]],InterspecUsage[[#This Row],[Free-of-Max]])</f>
        <v>28840</v>
      </c>
    </row>
    <row r="150" spans="1:14" x14ac:dyDescent="0.25">
      <c r="A150" s="3">
        <v>44341</v>
      </c>
      <c r="B150" t="s">
        <v>25</v>
      </c>
      <c r="C150">
        <v>95</v>
      </c>
      <c r="D150">
        <v>9250</v>
      </c>
      <c r="E150">
        <v>454</v>
      </c>
      <c r="F150">
        <v>8796</v>
      </c>
      <c r="G150">
        <v>5</v>
      </c>
      <c r="H150">
        <v>32768</v>
      </c>
      <c r="I150">
        <v>27</v>
      </c>
      <c r="J150" t="s">
        <v>1</v>
      </c>
      <c r="K150" t="s">
        <v>2</v>
      </c>
      <c r="L150" s="8">
        <f>InterspecUsage[[#This Row],[Used-MB]]-F140</f>
        <v>0</v>
      </c>
      <c r="M150">
        <f>InterspecUsage[[#This Row],[Max]]-InterspecUsage[[#This Row],[Used-MB]]</f>
        <v>23972</v>
      </c>
      <c r="N150" s="5">
        <f>IF($L150&gt;0,InterspecUsage[[#This Row],[Free-of-Max]]/InterspecUsage[[#This Row],[Usage-Delta-MB]],InterspecUsage[[#This Row],[Free-of-Max]])</f>
        <v>23972</v>
      </c>
    </row>
    <row r="151" spans="1:14" x14ac:dyDescent="0.25">
      <c r="A151" s="3">
        <v>44341</v>
      </c>
      <c r="B151" t="s">
        <v>29</v>
      </c>
      <c r="C151">
        <v>0</v>
      </c>
      <c r="D151">
        <v>500</v>
      </c>
      <c r="E151">
        <v>499</v>
      </c>
      <c r="F151">
        <v>1</v>
      </c>
      <c r="G151">
        <v>100</v>
      </c>
      <c r="H151">
        <v>500</v>
      </c>
      <c r="I151">
        <v>0</v>
      </c>
      <c r="J151" t="s">
        <v>1</v>
      </c>
      <c r="K151" t="s">
        <v>2</v>
      </c>
      <c r="L151" s="8">
        <f>InterspecUsage[[#This Row],[Used-MB]]-F141</f>
        <v>0</v>
      </c>
      <c r="M151">
        <f>InterspecUsage[[#This Row],[Max]]-InterspecUsage[[#This Row],[Used-MB]]</f>
        <v>499</v>
      </c>
      <c r="N151" s="5">
        <f>IF($L151&gt;0,InterspecUsage[[#This Row],[Free-of-Max]]/InterspecUsage[[#This Row],[Usage-Delta-MB]],InterspecUsage[[#This Row],[Free-of-Max]])</f>
        <v>499</v>
      </c>
    </row>
    <row r="152" spans="1:14" x14ac:dyDescent="0.25">
      <c r="A152" s="3">
        <v>44347</v>
      </c>
      <c r="B152" t="s">
        <v>26</v>
      </c>
      <c r="C152">
        <v>94</v>
      </c>
      <c r="D152">
        <v>16788</v>
      </c>
      <c r="E152">
        <v>957</v>
      </c>
      <c r="F152">
        <v>15831</v>
      </c>
      <c r="G152">
        <v>6</v>
      </c>
      <c r="H152">
        <v>40960</v>
      </c>
      <c r="I152">
        <v>39</v>
      </c>
      <c r="J152" t="s">
        <v>1</v>
      </c>
      <c r="K152" t="s">
        <v>2</v>
      </c>
      <c r="L152" s="8">
        <f>InterspecUsage[[#This Row],[Used-MB]]-F142</f>
        <v>64</v>
      </c>
      <c r="M152">
        <f>InterspecUsage[[#This Row],[Max]]-InterspecUsage[[#This Row],[Used-MB]]</f>
        <v>25129</v>
      </c>
      <c r="N152" s="5">
        <f>IF($L152&gt;0,InterspecUsage[[#This Row],[Free-of-Max]]/InterspecUsage[[#This Row],[Usage-Delta-MB]],InterspecUsage[[#This Row],[Free-of-Max]])</f>
        <v>392.640625</v>
      </c>
    </row>
    <row r="153" spans="1:14" x14ac:dyDescent="0.25">
      <c r="A153" s="3">
        <v>44347</v>
      </c>
      <c r="B153" t="s">
        <v>24</v>
      </c>
      <c r="C153">
        <v>96</v>
      </c>
      <c r="D153">
        <v>18000</v>
      </c>
      <c r="E153">
        <v>648</v>
      </c>
      <c r="F153">
        <v>17352</v>
      </c>
      <c r="G153">
        <v>4</v>
      </c>
      <c r="H153">
        <v>32768</v>
      </c>
      <c r="I153">
        <v>53</v>
      </c>
      <c r="J153" t="s">
        <v>1</v>
      </c>
      <c r="K153" t="s">
        <v>2</v>
      </c>
      <c r="L153" s="8">
        <f>InterspecUsage[[#This Row],[Used-MB]]-F143</f>
        <v>0</v>
      </c>
      <c r="M153">
        <f>InterspecUsage[[#This Row],[Max]]-InterspecUsage[[#This Row],[Used-MB]]</f>
        <v>15416</v>
      </c>
      <c r="N153" s="5">
        <f>IF($L153&gt;0,InterspecUsage[[#This Row],[Free-of-Max]]/InterspecUsage[[#This Row],[Usage-Delta-MB]],InterspecUsage[[#This Row],[Free-of-Max]])</f>
        <v>15416</v>
      </c>
    </row>
    <row r="154" spans="1:14" x14ac:dyDescent="0.25">
      <c r="A154" s="3">
        <v>44347</v>
      </c>
      <c r="B154" s="7" t="s">
        <v>35</v>
      </c>
      <c r="C154">
        <v>95</v>
      </c>
      <c r="D154">
        <v>20800</v>
      </c>
      <c r="E154">
        <v>1084</v>
      </c>
      <c r="F154">
        <v>19716</v>
      </c>
      <c r="G154">
        <v>5</v>
      </c>
      <c r="H154">
        <v>32768</v>
      </c>
      <c r="I154">
        <v>60</v>
      </c>
      <c r="J154" t="s">
        <v>1</v>
      </c>
      <c r="K154" t="s">
        <v>2</v>
      </c>
      <c r="L154" s="8">
        <f>InterspecUsage[[#This Row],[Used-MB]]-F144</f>
        <v>0</v>
      </c>
      <c r="M154">
        <f>InterspecUsage[[#This Row],[Max]]-InterspecUsage[[#This Row],[Used-MB]]</f>
        <v>13052</v>
      </c>
      <c r="N154" s="5">
        <f>IF($L154&gt;0,InterspecUsage[[#This Row],[Free-of-Max]]/InterspecUsage[[#This Row],[Usage-Delta-MB]],InterspecUsage[[#This Row],[Free-of-Max]])</f>
        <v>13052</v>
      </c>
    </row>
    <row r="155" spans="1:14" x14ac:dyDescent="0.25">
      <c r="A155" s="3">
        <v>44347</v>
      </c>
      <c r="B155" t="s">
        <v>27</v>
      </c>
      <c r="C155">
        <v>76</v>
      </c>
      <c r="D155">
        <v>131072</v>
      </c>
      <c r="E155">
        <v>31068</v>
      </c>
      <c r="F155">
        <v>100004</v>
      </c>
      <c r="G155">
        <v>24</v>
      </c>
      <c r="H155">
        <v>131072</v>
      </c>
      <c r="I155">
        <v>76</v>
      </c>
      <c r="J155" t="s">
        <v>1</v>
      </c>
      <c r="K155" t="s">
        <v>2</v>
      </c>
      <c r="L155" s="8">
        <f>InterspecUsage[[#This Row],[Used-MB]]-F145</f>
        <v>130</v>
      </c>
      <c r="M155">
        <f>InterspecUsage[[#This Row],[Max]]-InterspecUsage[[#This Row],[Used-MB]]</f>
        <v>31068</v>
      </c>
      <c r="N155" s="5">
        <f>IF($L155&gt;0,InterspecUsage[[#This Row],[Free-of-Max]]/InterspecUsage[[#This Row],[Usage-Delta-MB]],InterspecUsage[[#This Row],[Free-of-Max]])</f>
        <v>238.98461538461538</v>
      </c>
    </row>
    <row r="156" spans="1:14" x14ac:dyDescent="0.25">
      <c r="A156" s="3">
        <v>44347</v>
      </c>
      <c r="B156" t="s">
        <v>7</v>
      </c>
      <c r="C156">
        <v>96</v>
      </c>
      <c r="D156">
        <v>870</v>
      </c>
      <c r="E156">
        <v>37</v>
      </c>
      <c r="F156">
        <v>833</v>
      </c>
      <c r="G156">
        <v>4</v>
      </c>
      <c r="H156">
        <v>32768</v>
      </c>
      <c r="I156">
        <v>3</v>
      </c>
      <c r="J156" t="s">
        <v>1</v>
      </c>
      <c r="K156" t="s">
        <v>2</v>
      </c>
      <c r="L156" s="8">
        <f>InterspecUsage[[#This Row],[Used-MB]]-F146</f>
        <v>7</v>
      </c>
      <c r="M156">
        <f>InterspecUsage[[#This Row],[Max]]-InterspecUsage[[#This Row],[Used-MB]]</f>
        <v>31935</v>
      </c>
      <c r="N156" s="5">
        <f>IF($L156&gt;0,InterspecUsage[[#This Row],[Free-of-Max]]/InterspecUsage[[#This Row],[Usage-Delta-MB]],InterspecUsage[[#This Row],[Free-of-Max]])</f>
        <v>4562.1428571428569</v>
      </c>
    </row>
    <row r="157" spans="1:14" x14ac:dyDescent="0.25">
      <c r="A157" s="3">
        <v>44347</v>
      </c>
      <c r="B157" t="s">
        <v>0</v>
      </c>
      <c r="C157">
        <v>100</v>
      </c>
      <c r="D157">
        <v>2760</v>
      </c>
      <c r="E157">
        <v>12</v>
      </c>
      <c r="F157">
        <v>2749</v>
      </c>
      <c r="G157">
        <v>0</v>
      </c>
      <c r="H157">
        <v>32768</v>
      </c>
      <c r="I157">
        <v>8</v>
      </c>
      <c r="J157" t="s">
        <v>1</v>
      </c>
      <c r="K157" t="s">
        <v>2</v>
      </c>
      <c r="L157" s="8">
        <f>InterspecUsage[[#This Row],[Used-MB]]-F147</f>
        <v>0</v>
      </c>
      <c r="M157">
        <f>InterspecUsage[[#This Row],[Max]]-InterspecUsage[[#This Row],[Used-MB]]</f>
        <v>30019</v>
      </c>
      <c r="N157" s="5">
        <f>IF($L157&gt;0,InterspecUsage[[#This Row],[Free-of-Max]]/InterspecUsage[[#This Row],[Usage-Delta-MB]],InterspecUsage[[#This Row],[Free-of-Max]])</f>
        <v>30019</v>
      </c>
    </row>
    <row r="158" spans="1:14" x14ac:dyDescent="0.25">
      <c r="A158" s="3">
        <v>44347</v>
      </c>
      <c r="B158" t="s">
        <v>30</v>
      </c>
      <c r="C158">
        <v>0</v>
      </c>
      <c r="D158">
        <v>32767</v>
      </c>
      <c r="E158">
        <v>32751</v>
      </c>
      <c r="F158">
        <v>16</v>
      </c>
      <c r="G158">
        <v>100</v>
      </c>
      <c r="H158">
        <v>32768</v>
      </c>
      <c r="I158">
        <v>0</v>
      </c>
      <c r="J158" t="s">
        <v>1</v>
      </c>
      <c r="K158" t="s">
        <v>13</v>
      </c>
      <c r="L158" s="8">
        <f>InterspecUsage[[#This Row],[Used-MB]]-F148</f>
        <v>0</v>
      </c>
      <c r="M158">
        <f>InterspecUsage[[#This Row],[Max]]-InterspecUsage[[#This Row],[Used-MB]]</f>
        <v>32752</v>
      </c>
      <c r="N158" s="5">
        <f>IF($L158&gt;0,InterspecUsage[[#This Row],[Free-of-Max]]/InterspecUsage[[#This Row],[Usage-Delta-MB]],InterspecUsage[[#This Row],[Free-of-Max]])</f>
        <v>32752</v>
      </c>
    </row>
    <row r="159" spans="1:14" x14ac:dyDescent="0.25">
      <c r="A159" s="3">
        <v>44347</v>
      </c>
      <c r="B159" t="s">
        <v>28</v>
      </c>
      <c r="C159">
        <v>24</v>
      </c>
      <c r="D159">
        <v>16400</v>
      </c>
      <c r="E159">
        <v>12476</v>
      </c>
      <c r="F159">
        <v>3924</v>
      </c>
      <c r="G159">
        <v>76</v>
      </c>
      <c r="H159">
        <v>32768</v>
      </c>
      <c r="I159">
        <v>12</v>
      </c>
      <c r="J159" t="s">
        <v>1</v>
      </c>
      <c r="K159" t="s">
        <v>10</v>
      </c>
      <c r="L159" s="8">
        <f>InterspecUsage[[#This Row],[Used-MB]]-F149</f>
        <v>-4</v>
      </c>
      <c r="M159">
        <f>InterspecUsage[[#This Row],[Max]]-InterspecUsage[[#This Row],[Used-MB]]</f>
        <v>28844</v>
      </c>
      <c r="N159" s="5">
        <f>IF($L159&gt;0,InterspecUsage[[#This Row],[Free-of-Max]]/InterspecUsage[[#This Row],[Usage-Delta-MB]],InterspecUsage[[#This Row],[Free-of-Max]])</f>
        <v>28844</v>
      </c>
    </row>
    <row r="160" spans="1:14" x14ac:dyDescent="0.25">
      <c r="A160" s="3">
        <v>44347</v>
      </c>
      <c r="B160" t="s">
        <v>25</v>
      </c>
      <c r="C160">
        <v>95</v>
      </c>
      <c r="D160">
        <v>9250</v>
      </c>
      <c r="E160">
        <v>454</v>
      </c>
      <c r="F160">
        <v>8796</v>
      </c>
      <c r="G160">
        <v>5</v>
      </c>
      <c r="H160">
        <v>32768</v>
      </c>
      <c r="I160">
        <v>27</v>
      </c>
      <c r="J160" t="s">
        <v>1</v>
      </c>
      <c r="K160" t="s">
        <v>2</v>
      </c>
      <c r="L160" s="8">
        <f>InterspecUsage[[#This Row],[Used-MB]]-F150</f>
        <v>0</v>
      </c>
      <c r="M160">
        <f>InterspecUsage[[#This Row],[Max]]-InterspecUsage[[#This Row],[Used-MB]]</f>
        <v>23972</v>
      </c>
      <c r="N160" s="5">
        <f>IF($L160&gt;0,InterspecUsage[[#This Row],[Free-of-Max]]/InterspecUsage[[#This Row],[Usage-Delta-MB]],InterspecUsage[[#This Row],[Free-of-Max]])</f>
        <v>23972</v>
      </c>
    </row>
    <row r="161" spans="1:14" x14ac:dyDescent="0.25">
      <c r="A161" s="3">
        <v>44347</v>
      </c>
      <c r="B161" t="s">
        <v>29</v>
      </c>
      <c r="C161">
        <v>0</v>
      </c>
      <c r="D161">
        <v>500</v>
      </c>
      <c r="E161">
        <v>499</v>
      </c>
      <c r="F161">
        <v>1</v>
      </c>
      <c r="G161">
        <v>100</v>
      </c>
      <c r="H161">
        <v>500</v>
      </c>
      <c r="I161">
        <v>0</v>
      </c>
      <c r="J161" t="s">
        <v>1</v>
      </c>
      <c r="K161" t="s">
        <v>2</v>
      </c>
      <c r="L161" s="8">
        <f>InterspecUsage[[#This Row],[Used-MB]]-F151</f>
        <v>0</v>
      </c>
      <c r="M161">
        <f>InterspecUsage[[#This Row],[Max]]-InterspecUsage[[#This Row],[Used-MB]]</f>
        <v>499</v>
      </c>
      <c r="N161" s="5">
        <f>IF($L161&gt;0,InterspecUsage[[#This Row],[Free-of-Max]]/InterspecUsage[[#This Row],[Usage-Delta-MB]],InterspecUsage[[#This Row],[Free-of-Max]])</f>
        <v>499</v>
      </c>
    </row>
    <row r="162" spans="1:14" x14ac:dyDescent="0.25">
      <c r="A162" s="3">
        <v>44354</v>
      </c>
      <c r="B162" t="s">
        <v>26</v>
      </c>
      <c r="C162">
        <v>95</v>
      </c>
      <c r="D162">
        <v>16788</v>
      </c>
      <c r="E162">
        <v>828</v>
      </c>
      <c r="F162">
        <v>15960</v>
      </c>
      <c r="G162">
        <v>5</v>
      </c>
      <c r="H162">
        <v>40960</v>
      </c>
      <c r="I162">
        <v>39</v>
      </c>
      <c r="J162" t="s">
        <v>1</v>
      </c>
      <c r="K162" t="s">
        <v>2</v>
      </c>
      <c r="L162" s="8">
        <f>InterspecUsage[[#This Row],[Used-MB]]-F152</f>
        <v>129</v>
      </c>
      <c r="M162">
        <f>InterspecUsage[[#This Row],[Max]]-InterspecUsage[[#This Row],[Used-MB]]</f>
        <v>25000</v>
      </c>
      <c r="N162" s="5">
        <f>IF($L162&gt;0,InterspecUsage[[#This Row],[Free-of-Max]]/InterspecUsage[[#This Row],[Usage-Delta-MB]],InterspecUsage[[#This Row],[Free-of-Max]])</f>
        <v>193.79844961240309</v>
      </c>
    </row>
    <row r="163" spans="1:14" x14ac:dyDescent="0.25">
      <c r="A163" s="3">
        <v>44354</v>
      </c>
      <c r="B163" t="s">
        <v>24</v>
      </c>
      <c r="C163">
        <v>96</v>
      </c>
      <c r="D163">
        <v>18000</v>
      </c>
      <c r="E163">
        <v>648</v>
      </c>
      <c r="F163">
        <v>17352</v>
      </c>
      <c r="G163">
        <v>4</v>
      </c>
      <c r="H163">
        <v>32768</v>
      </c>
      <c r="I163">
        <v>53</v>
      </c>
      <c r="J163" t="s">
        <v>1</v>
      </c>
      <c r="K163" t="s">
        <v>2</v>
      </c>
      <c r="L163" s="8">
        <f>InterspecUsage[[#This Row],[Used-MB]]-F153</f>
        <v>0</v>
      </c>
      <c r="M163">
        <f>InterspecUsage[[#This Row],[Max]]-InterspecUsage[[#This Row],[Used-MB]]</f>
        <v>15416</v>
      </c>
      <c r="N163" s="5">
        <f>IF($L163&gt;0,InterspecUsage[[#This Row],[Free-of-Max]]/InterspecUsage[[#This Row],[Usage-Delta-MB]],InterspecUsage[[#This Row],[Free-of-Max]])</f>
        <v>15416</v>
      </c>
    </row>
    <row r="164" spans="1:14" x14ac:dyDescent="0.25">
      <c r="A164" s="3">
        <v>44354</v>
      </c>
      <c r="B164" s="7" t="s">
        <v>35</v>
      </c>
      <c r="C164">
        <v>95</v>
      </c>
      <c r="D164">
        <v>20800</v>
      </c>
      <c r="E164">
        <v>1019</v>
      </c>
      <c r="F164">
        <v>19781</v>
      </c>
      <c r="G164">
        <v>5</v>
      </c>
      <c r="H164">
        <v>32768</v>
      </c>
      <c r="I164">
        <v>60</v>
      </c>
      <c r="J164" t="s">
        <v>1</v>
      </c>
      <c r="K164" t="s">
        <v>2</v>
      </c>
      <c r="L164" s="8">
        <f>InterspecUsage[[#This Row],[Used-MB]]-F154</f>
        <v>65</v>
      </c>
      <c r="M164">
        <f>InterspecUsage[[#This Row],[Max]]-InterspecUsage[[#This Row],[Used-MB]]</f>
        <v>12987</v>
      </c>
      <c r="N164" s="5">
        <f>IF($L164&gt;0,InterspecUsage[[#This Row],[Free-of-Max]]/InterspecUsage[[#This Row],[Usage-Delta-MB]],InterspecUsage[[#This Row],[Free-of-Max]])</f>
        <v>199.8</v>
      </c>
    </row>
    <row r="165" spans="1:14" x14ac:dyDescent="0.25">
      <c r="A165" s="3">
        <v>44354</v>
      </c>
      <c r="B165" t="s">
        <v>27</v>
      </c>
      <c r="C165">
        <v>77</v>
      </c>
      <c r="D165">
        <v>131072</v>
      </c>
      <c r="E165">
        <v>30684</v>
      </c>
      <c r="F165">
        <v>100388</v>
      </c>
      <c r="G165">
        <v>23</v>
      </c>
      <c r="H165">
        <v>131072</v>
      </c>
      <c r="I165">
        <v>77</v>
      </c>
      <c r="J165" t="s">
        <v>1</v>
      </c>
      <c r="K165" t="s">
        <v>2</v>
      </c>
      <c r="L165" s="8">
        <f>InterspecUsage[[#This Row],[Used-MB]]-F155</f>
        <v>384</v>
      </c>
      <c r="M165">
        <f>InterspecUsage[[#This Row],[Max]]-InterspecUsage[[#This Row],[Used-MB]]</f>
        <v>30684</v>
      </c>
      <c r="N165" s="5">
        <f>IF($L165&gt;0,InterspecUsage[[#This Row],[Free-of-Max]]/InterspecUsage[[#This Row],[Usage-Delta-MB]],InterspecUsage[[#This Row],[Free-of-Max]])</f>
        <v>79.90625</v>
      </c>
    </row>
    <row r="166" spans="1:14" x14ac:dyDescent="0.25">
      <c r="A166" s="3">
        <v>44354</v>
      </c>
      <c r="B166" t="s">
        <v>7</v>
      </c>
      <c r="C166">
        <v>95</v>
      </c>
      <c r="D166">
        <v>890</v>
      </c>
      <c r="E166">
        <v>45</v>
      </c>
      <c r="F166">
        <v>845</v>
      </c>
      <c r="G166">
        <v>5</v>
      </c>
      <c r="H166">
        <v>32768</v>
      </c>
      <c r="I166">
        <v>3</v>
      </c>
      <c r="J166" t="s">
        <v>1</v>
      </c>
      <c r="K166" t="s">
        <v>2</v>
      </c>
      <c r="L166" s="8">
        <f>InterspecUsage[[#This Row],[Used-MB]]-F156</f>
        <v>12</v>
      </c>
      <c r="M166">
        <f>InterspecUsage[[#This Row],[Max]]-InterspecUsage[[#This Row],[Used-MB]]</f>
        <v>31923</v>
      </c>
      <c r="N166" s="5">
        <f>IF($L166&gt;0,InterspecUsage[[#This Row],[Free-of-Max]]/InterspecUsage[[#This Row],[Usage-Delta-MB]],InterspecUsage[[#This Row],[Free-of-Max]])</f>
        <v>2660.25</v>
      </c>
    </row>
    <row r="167" spans="1:14" x14ac:dyDescent="0.25">
      <c r="A167" s="3">
        <v>44354</v>
      </c>
      <c r="B167" t="s">
        <v>0</v>
      </c>
      <c r="C167">
        <v>99</v>
      </c>
      <c r="D167">
        <v>2790</v>
      </c>
      <c r="E167">
        <v>41</v>
      </c>
      <c r="F167">
        <v>2749</v>
      </c>
      <c r="G167">
        <v>1</v>
      </c>
      <c r="H167">
        <v>32768</v>
      </c>
      <c r="I167">
        <v>8</v>
      </c>
      <c r="J167" t="s">
        <v>1</v>
      </c>
      <c r="K167" t="s">
        <v>2</v>
      </c>
      <c r="L167" s="8">
        <f>InterspecUsage[[#This Row],[Used-MB]]-F157</f>
        <v>0</v>
      </c>
      <c r="M167">
        <f>InterspecUsage[[#This Row],[Max]]-InterspecUsage[[#This Row],[Used-MB]]</f>
        <v>30019</v>
      </c>
      <c r="N167" s="5">
        <f>IF($L167&gt;0,InterspecUsage[[#This Row],[Free-of-Max]]/InterspecUsage[[#This Row],[Usage-Delta-MB]],InterspecUsage[[#This Row],[Free-of-Max]])</f>
        <v>30019</v>
      </c>
    </row>
    <row r="168" spans="1:14" x14ac:dyDescent="0.25">
      <c r="A168" s="3">
        <v>44354</v>
      </c>
      <c r="B168" t="s">
        <v>30</v>
      </c>
      <c r="C168">
        <v>0</v>
      </c>
      <c r="D168">
        <v>32767</v>
      </c>
      <c r="E168">
        <v>32754</v>
      </c>
      <c r="F168">
        <v>13</v>
      </c>
      <c r="G168">
        <v>100</v>
      </c>
      <c r="H168">
        <v>32768</v>
      </c>
      <c r="I168">
        <v>0</v>
      </c>
      <c r="J168" t="s">
        <v>1</v>
      </c>
      <c r="K168" t="s">
        <v>13</v>
      </c>
      <c r="L168" s="8">
        <f>InterspecUsage[[#This Row],[Used-MB]]-F158</f>
        <v>-3</v>
      </c>
      <c r="M168">
        <f>InterspecUsage[[#This Row],[Max]]-InterspecUsage[[#This Row],[Used-MB]]</f>
        <v>32755</v>
      </c>
      <c r="N168" s="5">
        <f>IF($L168&gt;0,InterspecUsage[[#This Row],[Free-of-Max]]/InterspecUsage[[#This Row],[Usage-Delta-MB]],InterspecUsage[[#This Row],[Free-of-Max]])</f>
        <v>32755</v>
      </c>
    </row>
    <row r="169" spans="1:14" x14ac:dyDescent="0.25">
      <c r="A169" s="3">
        <v>44354</v>
      </c>
      <c r="B169" t="s">
        <v>28</v>
      </c>
      <c r="C169">
        <v>24</v>
      </c>
      <c r="D169">
        <v>16400</v>
      </c>
      <c r="E169">
        <v>12473</v>
      </c>
      <c r="F169">
        <v>3927</v>
      </c>
      <c r="G169">
        <v>76</v>
      </c>
      <c r="H169">
        <v>32768</v>
      </c>
      <c r="I169">
        <v>12</v>
      </c>
      <c r="J169" t="s">
        <v>1</v>
      </c>
      <c r="K169" t="s">
        <v>10</v>
      </c>
      <c r="L169" s="8">
        <f>InterspecUsage[[#This Row],[Used-MB]]-F159</f>
        <v>3</v>
      </c>
      <c r="M169">
        <f>InterspecUsage[[#This Row],[Max]]-InterspecUsage[[#This Row],[Used-MB]]</f>
        <v>28841</v>
      </c>
      <c r="N169" s="5">
        <f>IF($L169&gt;0,InterspecUsage[[#This Row],[Free-of-Max]]/InterspecUsage[[#This Row],[Usage-Delta-MB]],InterspecUsage[[#This Row],[Free-of-Max]])</f>
        <v>9613.6666666666661</v>
      </c>
    </row>
    <row r="170" spans="1:14" x14ac:dyDescent="0.25">
      <c r="A170" s="3">
        <v>44354</v>
      </c>
      <c r="B170" t="s">
        <v>25</v>
      </c>
      <c r="C170">
        <v>95</v>
      </c>
      <c r="D170">
        <v>9250</v>
      </c>
      <c r="E170">
        <v>454</v>
      </c>
      <c r="F170">
        <v>8796</v>
      </c>
      <c r="G170">
        <v>5</v>
      </c>
      <c r="H170">
        <v>32768</v>
      </c>
      <c r="I170">
        <v>27</v>
      </c>
      <c r="J170" t="s">
        <v>1</v>
      </c>
      <c r="K170" t="s">
        <v>2</v>
      </c>
      <c r="L170" s="8">
        <f>InterspecUsage[[#This Row],[Used-MB]]-F160</f>
        <v>0</v>
      </c>
      <c r="M170">
        <f>InterspecUsage[[#This Row],[Max]]-InterspecUsage[[#This Row],[Used-MB]]</f>
        <v>23972</v>
      </c>
      <c r="N170" s="5">
        <f>IF($L170&gt;0,InterspecUsage[[#This Row],[Free-of-Max]]/InterspecUsage[[#This Row],[Usage-Delta-MB]],InterspecUsage[[#This Row],[Free-of-Max]])</f>
        <v>23972</v>
      </c>
    </row>
    <row r="171" spans="1:14" x14ac:dyDescent="0.25">
      <c r="A171" s="3">
        <v>44354</v>
      </c>
      <c r="B171" t="s">
        <v>29</v>
      </c>
      <c r="C171">
        <v>0</v>
      </c>
      <c r="D171">
        <v>500</v>
      </c>
      <c r="E171">
        <v>499</v>
      </c>
      <c r="F171">
        <v>1</v>
      </c>
      <c r="G171">
        <v>100</v>
      </c>
      <c r="H171">
        <v>500</v>
      </c>
      <c r="I171">
        <v>0</v>
      </c>
      <c r="J171" t="s">
        <v>1</v>
      </c>
      <c r="K171" t="s">
        <v>2</v>
      </c>
      <c r="L171" s="8">
        <f>InterspecUsage[[#This Row],[Used-MB]]-F161</f>
        <v>0</v>
      </c>
      <c r="M171">
        <f>InterspecUsage[[#This Row],[Max]]-InterspecUsage[[#This Row],[Used-MB]]</f>
        <v>499</v>
      </c>
      <c r="N171" s="5">
        <f>IF($L171&gt;0,InterspecUsage[[#This Row],[Free-of-Max]]/InterspecUsage[[#This Row],[Usage-Delta-MB]],InterspecUsage[[#This Row],[Free-of-Max]])</f>
        <v>499</v>
      </c>
    </row>
    <row r="172" spans="1:14" x14ac:dyDescent="0.25">
      <c r="A172" s="3">
        <v>44361</v>
      </c>
      <c r="B172" t="s">
        <v>26</v>
      </c>
      <c r="C172">
        <v>95</v>
      </c>
      <c r="D172">
        <v>16788</v>
      </c>
      <c r="E172">
        <v>828</v>
      </c>
      <c r="F172">
        <v>15960</v>
      </c>
      <c r="G172">
        <v>5</v>
      </c>
      <c r="H172">
        <v>40960</v>
      </c>
      <c r="I172">
        <v>39</v>
      </c>
      <c r="J172" t="s">
        <v>1</v>
      </c>
      <c r="K172" t="s">
        <v>2</v>
      </c>
      <c r="L172" s="8">
        <f>InterspecUsage[[#This Row],[Used-MB]]-F162</f>
        <v>0</v>
      </c>
      <c r="M172">
        <f>InterspecUsage[[#This Row],[Max]]-InterspecUsage[[#This Row],[Used-MB]]</f>
        <v>25000</v>
      </c>
      <c r="N172" s="5">
        <f>IF($L172&gt;0,InterspecUsage[[#This Row],[Free-of-Max]]/InterspecUsage[[#This Row],[Usage-Delta-MB]],InterspecUsage[[#This Row],[Free-of-Max]])</f>
        <v>25000</v>
      </c>
    </row>
    <row r="173" spans="1:14" x14ac:dyDescent="0.25">
      <c r="A173" s="3">
        <v>44361</v>
      </c>
      <c r="B173" t="s">
        <v>24</v>
      </c>
      <c r="C173">
        <v>96</v>
      </c>
      <c r="D173">
        <v>18000</v>
      </c>
      <c r="E173">
        <v>646</v>
      </c>
      <c r="F173">
        <v>17354</v>
      </c>
      <c r="G173">
        <v>4</v>
      </c>
      <c r="H173">
        <v>32768</v>
      </c>
      <c r="I173">
        <v>53</v>
      </c>
      <c r="J173" t="s">
        <v>1</v>
      </c>
      <c r="K173" t="s">
        <v>2</v>
      </c>
      <c r="L173" s="8">
        <f>InterspecUsage[[#This Row],[Used-MB]]-F163</f>
        <v>2</v>
      </c>
      <c r="M173">
        <f>InterspecUsage[[#This Row],[Max]]-InterspecUsage[[#This Row],[Used-MB]]</f>
        <v>15414</v>
      </c>
      <c r="N173" s="5">
        <f>IF($L173&gt;0,InterspecUsage[[#This Row],[Free-of-Max]]/InterspecUsage[[#This Row],[Usage-Delta-MB]],InterspecUsage[[#This Row],[Free-of-Max]])</f>
        <v>7707</v>
      </c>
    </row>
    <row r="174" spans="1:14" x14ac:dyDescent="0.25">
      <c r="A174" s="3">
        <v>44361</v>
      </c>
      <c r="B174" s="7" t="s">
        <v>35</v>
      </c>
      <c r="C174">
        <v>94</v>
      </c>
      <c r="D174">
        <v>21000</v>
      </c>
      <c r="E174">
        <v>1159</v>
      </c>
      <c r="F174">
        <v>19841</v>
      </c>
      <c r="G174">
        <v>6</v>
      </c>
      <c r="H174">
        <v>32768</v>
      </c>
      <c r="I174">
        <v>61</v>
      </c>
      <c r="J174" t="s">
        <v>1</v>
      </c>
      <c r="K174" t="s">
        <v>2</v>
      </c>
      <c r="L174" s="8">
        <f>InterspecUsage[[#This Row],[Used-MB]]-F164</f>
        <v>60</v>
      </c>
      <c r="M174">
        <f>InterspecUsage[[#This Row],[Max]]-InterspecUsage[[#This Row],[Used-MB]]</f>
        <v>12927</v>
      </c>
      <c r="N174" s="5">
        <f>IF($L174&gt;0,InterspecUsage[[#This Row],[Free-of-Max]]/InterspecUsage[[#This Row],[Usage-Delta-MB]],InterspecUsage[[#This Row],[Free-of-Max]])</f>
        <v>215.45</v>
      </c>
    </row>
    <row r="175" spans="1:14" x14ac:dyDescent="0.25">
      <c r="A175" s="3">
        <v>44361</v>
      </c>
      <c r="B175" t="s">
        <v>27</v>
      </c>
      <c r="C175">
        <v>77</v>
      </c>
      <c r="D175">
        <v>131072</v>
      </c>
      <c r="E175">
        <v>30492</v>
      </c>
      <c r="F175">
        <v>100580</v>
      </c>
      <c r="G175">
        <v>23</v>
      </c>
      <c r="H175">
        <v>131072</v>
      </c>
      <c r="I175">
        <v>77</v>
      </c>
      <c r="J175" t="s">
        <v>1</v>
      </c>
      <c r="K175" t="s">
        <v>2</v>
      </c>
      <c r="L175" s="8">
        <f>InterspecUsage[[#This Row],[Used-MB]]-F165</f>
        <v>192</v>
      </c>
      <c r="M175">
        <f>InterspecUsage[[#This Row],[Max]]-InterspecUsage[[#This Row],[Used-MB]]</f>
        <v>30492</v>
      </c>
      <c r="N175" s="5">
        <f>IF($L175&gt;0,InterspecUsage[[#This Row],[Free-of-Max]]/InterspecUsage[[#This Row],[Usage-Delta-MB]],InterspecUsage[[#This Row],[Free-of-Max]])</f>
        <v>158.8125</v>
      </c>
    </row>
    <row r="176" spans="1:14" x14ac:dyDescent="0.25">
      <c r="A176" s="3">
        <v>44361</v>
      </c>
      <c r="B176" t="s">
        <v>7</v>
      </c>
      <c r="C176">
        <v>96</v>
      </c>
      <c r="D176">
        <v>890</v>
      </c>
      <c r="E176">
        <v>36</v>
      </c>
      <c r="F176">
        <v>854</v>
      </c>
      <c r="G176">
        <v>4</v>
      </c>
      <c r="H176">
        <v>32768</v>
      </c>
      <c r="I176">
        <v>3</v>
      </c>
      <c r="J176" t="s">
        <v>1</v>
      </c>
      <c r="K176" t="s">
        <v>2</v>
      </c>
      <c r="L176" s="8">
        <f>InterspecUsage[[#This Row],[Used-MB]]-F166</f>
        <v>9</v>
      </c>
      <c r="M176">
        <f>InterspecUsage[[#This Row],[Max]]-InterspecUsage[[#This Row],[Used-MB]]</f>
        <v>31914</v>
      </c>
      <c r="N176" s="5">
        <f>IF($L176&gt;0,InterspecUsage[[#This Row],[Free-of-Max]]/InterspecUsage[[#This Row],[Usage-Delta-MB]],InterspecUsage[[#This Row],[Free-of-Max]])</f>
        <v>3546</v>
      </c>
    </row>
    <row r="177" spans="1:14" x14ac:dyDescent="0.25">
      <c r="A177" s="3">
        <v>44361</v>
      </c>
      <c r="B177" t="s">
        <v>0</v>
      </c>
      <c r="C177">
        <v>98</v>
      </c>
      <c r="D177">
        <v>2860</v>
      </c>
      <c r="E177">
        <v>47</v>
      </c>
      <c r="F177">
        <v>2813</v>
      </c>
      <c r="G177">
        <v>2</v>
      </c>
      <c r="H177">
        <v>32768</v>
      </c>
      <c r="I177">
        <v>9</v>
      </c>
      <c r="J177" t="s">
        <v>1</v>
      </c>
      <c r="K177" t="s">
        <v>2</v>
      </c>
      <c r="L177" s="8">
        <f>InterspecUsage[[#This Row],[Used-MB]]-F167</f>
        <v>64</v>
      </c>
      <c r="M177">
        <f>InterspecUsage[[#This Row],[Max]]-InterspecUsage[[#This Row],[Used-MB]]</f>
        <v>29955</v>
      </c>
      <c r="N177" s="5">
        <f>IF($L177&gt;0,InterspecUsage[[#This Row],[Free-of-Max]]/InterspecUsage[[#This Row],[Usage-Delta-MB]],InterspecUsage[[#This Row],[Free-of-Max]])</f>
        <v>468.046875</v>
      </c>
    </row>
    <row r="178" spans="1:14" x14ac:dyDescent="0.25">
      <c r="A178" s="3">
        <v>44361</v>
      </c>
      <c r="B178" t="s">
        <v>30</v>
      </c>
      <c r="C178">
        <v>0</v>
      </c>
      <c r="D178">
        <v>32767</v>
      </c>
      <c r="E178">
        <v>32739</v>
      </c>
      <c r="F178">
        <v>28</v>
      </c>
      <c r="G178">
        <v>100</v>
      </c>
      <c r="H178">
        <v>32768</v>
      </c>
      <c r="I178">
        <v>0</v>
      </c>
      <c r="J178" t="s">
        <v>1</v>
      </c>
      <c r="K178" t="s">
        <v>13</v>
      </c>
      <c r="L178" s="8">
        <f>InterspecUsage[[#This Row],[Used-MB]]-F168</f>
        <v>15</v>
      </c>
      <c r="M178">
        <f>InterspecUsage[[#This Row],[Max]]-InterspecUsage[[#This Row],[Used-MB]]</f>
        <v>32740</v>
      </c>
      <c r="N178" s="5">
        <f>IF($L178&gt;0,InterspecUsage[[#This Row],[Free-of-Max]]/InterspecUsage[[#This Row],[Usage-Delta-MB]],InterspecUsage[[#This Row],[Free-of-Max]])</f>
        <v>2182.6666666666665</v>
      </c>
    </row>
    <row r="179" spans="1:14" x14ac:dyDescent="0.25">
      <c r="A179" s="3">
        <v>44361</v>
      </c>
      <c r="B179" t="s">
        <v>28</v>
      </c>
      <c r="C179">
        <v>24</v>
      </c>
      <c r="D179">
        <v>16400</v>
      </c>
      <c r="E179">
        <v>12442</v>
      </c>
      <c r="F179">
        <v>3958</v>
      </c>
      <c r="G179">
        <v>76</v>
      </c>
      <c r="H179">
        <v>32768</v>
      </c>
      <c r="I179">
        <v>12</v>
      </c>
      <c r="J179" t="s">
        <v>1</v>
      </c>
      <c r="K179" t="s">
        <v>10</v>
      </c>
      <c r="L179" s="8">
        <f>InterspecUsage[[#This Row],[Used-MB]]-F169</f>
        <v>31</v>
      </c>
      <c r="M179">
        <f>InterspecUsage[[#This Row],[Max]]-InterspecUsage[[#This Row],[Used-MB]]</f>
        <v>28810</v>
      </c>
      <c r="N179" s="5">
        <f>IF($L179&gt;0,InterspecUsage[[#This Row],[Free-of-Max]]/InterspecUsage[[#This Row],[Usage-Delta-MB]],InterspecUsage[[#This Row],[Free-of-Max]])</f>
        <v>929.35483870967744</v>
      </c>
    </row>
    <row r="180" spans="1:14" x14ac:dyDescent="0.25">
      <c r="A180" s="3">
        <v>44361</v>
      </c>
      <c r="B180" t="s">
        <v>25</v>
      </c>
      <c r="C180">
        <v>95</v>
      </c>
      <c r="D180">
        <v>9250</v>
      </c>
      <c r="E180">
        <v>454</v>
      </c>
      <c r="F180">
        <v>8796</v>
      </c>
      <c r="G180">
        <v>5</v>
      </c>
      <c r="H180">
        <v>32768</v>
      </c>
      <c r="I180">
        <v>27</v>
      </c>
      <c r="J180" t="s">
        <v>1</v>
      </c>
      <c r="K180" t="s">
        <v>2</v>
      </c>
      <c r="L180" s="8">
        <f>InterspecUsage[[#This Row],[Used-MB]]-F170</f>
        <v>0</v>
      </c>
      <c r="M180">
        <f>InterspecUsage[[#This Row],[Max]]-InterspecUsage[[#This Row],[Used-MB]]</f>
        <v>23972</v>
      </c>
      <c r="N180" s="5">
        <f>IF($L180&gt;0,InterspecUsage[[#This Row],[Free-of-Max]]/InterspecUsage[[#This Row],[Usage-Delta-MB]],InterspecUsage[[#This Row],[Free-of-Max]])</f>
        <v>23972</v>
      </c>
    </row>
    <row r="181" spans="1:14" x14ac:dyDescent="0.25">
      <c r="A181" s="3">
        <v>44361</v>
      </c>
      <c r="B181" t="s">
        <v>29</v>
      </c>
      <c r="C181">
        <v>0</v>
      </c>
      <c r="D181">
        <v>500</v>
      </c>
      <c r="E181">
        <v>499</v>
      </c>
      <c r="F181">
        <v>1</v>
      </c>
      <c r="G181">
        <v>100</v>
      </c>
      <c r="H181">
        <v>500</v>
      </c>
      <c r="I181">
        <v>0</v>
      </c>
      <c r="J181" t="s">
        <v>1</v>
      </c>
      <c r="K181" t="s">
        <v>2</v>
      </c>
      <c r="L181" s="8">
        <f>InterspecUsage[[#This Row],[Used-MB]]-F171</f>
        <v>0</v>
      </c>
      <c r="M181">
        <f>InterspecUsage[[#This Row],[Max]]-InterspecUsage[[#This Row],[Used-MB]]</f>
        <v>499</v>
      </c>
      <c r="N181" s="5">
        <f>IF($L181&gt;0,InterspecUsage[[#This Row],[Free-of-Max]]/InterspecUsage[[#This Row],[Usage-Delta-MB]],InterspecUsage[[#This Row],[Free-of-Max]])</f>
        <v>499</v>
      </c>
    </row>
    <row r="182" spans="1:14" x14ac:dyDescent="0.25">
      <c r="A182" s="3">
        <v>44368</v>
      </c>
      <c r="B182" t="s">
        <v>26</v>
      </c>
      <c r="C182">
        <v>93</v>
      </c>
      <c r="D182">
        <v>17288</v>
      </c>
      <c r="E182">
        <v>1264</v>
      </c>
      <c r="F182">
        <v>16024</v>
      </c>
      <c r="G182">
        <v>7</v>
      </c>
      <c r="H182">
        <v>40960</v>
      </c>
      <c r="I182">
        <v>39</v>
      </c>
      <c r="J182" t="s">
        <v>1</v>
      </c>
      <c r="K182" t="s">
        <v>2</v>
      </c>
      <c r="L182" s="8">
        <f>InterspecUsage[[#This Row],[Used-MB]]-F172</f>
        <v>64</v>
      </c>
      <c r="M182">
        <f>InterspecUsage[[#This Row],[Max]]-InterspecUsage[[#This Row],[Used-MB]]</f>
        <v>24936</v>
      </c>
      <c r="N182" s="5">
        <f>IF($L182&gt;0,InterspecUsage[[#This Row],[Free-of-Max]]/InterspecUsage[[#This Row],[Usage-Delta-MB]],InterspecUsage[[#This Row],[Free-of-Max]])</f>
        <v>389.625</v>
      </c>
    </row>
    <row r="183" spans="1:14" x14ac:dyDescent="0.25">
      <c r="A183" s="3">
        <v>44368</v>
      </c>
      <c r="B183" t="s">
        <v>24</v>
      </c>
      <c r="C183">
        <v>97</v>
      </c>
      <c r="D183">
        <v>18000</v>
      </c>
      <c r="E183">
        <v>556</v>
      </c>
      <c r="F183">
        <v>17444</v>
      </c>
      <c r="G183">
        <v>3</v>
      </c>
      <c r="H183">
        <v>32768</v>
      </c>
      <c r="I183">
        <v>53</v>
      </c>
      <c r="J183" t="s">
        <v>1</v>
      </c>
      <c r="K183" t="s">
        <v>2</v>
      </c>
      <c r="L183" s="8">
        <f>InterspecUsage[[#This Row],[Used-MB]]-F173</f>
        <v>90</v>
      </c>
      <c r="M183">
        <f>InterspecUsage[[#This Row],[Max]]-InterspecUsage[[#This Row],[Used-MB]]</f>
        <v>15324</v>
      </c>
      <c r="N183" s="5">
        <f>IF($L183&gt;0,InterspecUsage[[#This Row],[Free-of-Max]]/InterspecUsage[[#This Row],[Usage-Delta-MB]],InterspecUsage[[#This Row],[Free-of-Max]])</f>
        <v>170.26666666666668</v>
      </c>
    </row>
    <row r="184" spans="1:14" x14ac:dyDescent="0.25">
      <c r="A184" s="3">
        <v>44368</v>
      </c>
      <c r="B184" t="s">
        <v>35</v>
      </c>
      <c r="C184">
        <v>95</v>
      </c>
      <c r="D184">
        <v>21200</v>
      </c>
      <c r="E184">
        <v>1039</v>
      </c>
      <c r="F184">
        <v>20161</v>
      </c>
      <c r="G184">
        <v>5</v>
      </c>
      <c r="H184">
        <v>32768</v>
      </c>
      <c r="I184">
        <v>62</v>
      </c>
      <c r="J184" t="s">
        <v>1</v>
      </c>
      <c r="K184" t="s">
        <v>2</v>
      </c>
      <c r="L184" s="8">
        <f>InterspecUsage[[#This Row],[Used-MB]]-F174</f>
        <v>320</v>
      </c>
      <c r="M184">
        <f>InterspecUsage[[#This Row],[Max]]-InterspecUsage[[#This Row],[Used-MB]]</f>
        <v>12607</v>
      </c>
      <c r="N184" s="5">
        <f>IF($L184&gt;0,InterspecUsage[[#This Row],[Free-of-Max]]/InterspecUsage[[#This Row],[Usage-Delta-MB]],InterspecUsage[[#This Row],[Free-of-Max]])</f>
        <v>39.396875000000001</v>
      </c>
    </row>
    <row r="185" spans="1:14" x14ac:dyDescent="0.25">
      <c r="A185" s="3">
        <v>44368</v>
      </c>
      <c r="B185" t="s">
        <v>27</v>
      </c>
      <c r="C185">
        <v>78</v>
      </c>
      <c r="D185">
        <v>131072</v>
      </c>
      <c r="E185">
        <v>28999</v>
      </c>
      <c r="F185">
        <v>102073</v>
      </c>
      <c r="G185">
        <v>22</v>
      </c>
      <c r="H185">
        <v>131072</v>
      </c>
      <c r="I185">
        <v>78</v>
      </c>
      <c r="J185" t="s">
        <v>1</v>
      </c>
      <c r="K185" t="s">
        <v>2</v>
      </c>
      <c r="L185" s="8">
        <f>InterspecUsage[[#This Row],[Used-MB]]-F175</f>
        <v>1493</v>
      </c>
      <c r="M185">
        <f>InterspecUsage[[#This Row],[Max]]-InterspecUsage[[#This Row],[Used-MB]]</f>
        <v>28999</v>
      </c>
      <c r="N185" s="5">
        <f>IF($L185&gt;0,InterspecUsage[[#This Row],[Free-of-Max]]/InterspecUsage[[#This Row],[Usage-Delta-MB]],InterspecUsage[[#This Row],[Free-of-Max]])</f>
        <v>19.423308774279974</v>
      </c>
    </row>
    <row r="186" spans="1:14" x14ac:dyDescent="0.25">
      <c r="A186" s="3">
        <v>44368</v>
      </c>
      <c r="B186" t="s">
        <v>7</v>
      </c>
      <c r="C186">
        <v>95</v>
      </c>
      <c r="D186">
        <v>910</v>
      </c>
      <c r="E186">
        <v>47</v>
      </c>
      <c r="F186">
        <v>863</v>
      </c>
      <c r="G186">
        <v>5</v>
      </c>
      <c r="H186">
        <v>32768</v>
      </c>
      <c r="I186">
        <v>3</v>
      </c>
      <c r="J186" t="s">
        <v>1</v>
      </c>
      <c r="K186" t="s">
        <v>2</v>
      </c>
      <c r="L186" s="8">
        <f>InterspecUsage[[#This Row],[Used-MB]]-F176</f>
        <v>9</v>
      </c>
      <c r="M186">
        <f>InterspecUsage[[#This Row],[Max]]-InterspecUsage[[#This Row],[Used-MB]]</f>
        <v>31905</v>
      </c>
      <c r="N186" s="5">
        <f>IF($L186&gt;0,InterspecUsage[[#This Row],[Free-of-Max]]/InterspecUsage[[#This Row],[Usage-Delta-MB]],InterspecUsage[[#This Row],[Free-of-Max]])</f>
        <v>3545</v>
      </c>
    </row>
    <row r="187" spans="1:14" x14ac:dyDescent="0.25">
      <c r="A187" s="3">
        <v>44368</v>
      </c>
      <c r="B187" t="s">
        <v>0</v>
      </c>
      <c r="C187">
        <v>98</v>
      </c>
      <c r="D187">
        <v>2860</v>
      </c>
      <c r="E187">
        <v>47</v>
      </c>
      <c r="F187">
        <v>2813</v>
      </c>
      <c r="G187">
        <v>2</v>
      </c>
      <c r="H187">
        <v>32768</v>
      </c>
      <c r="I187">
        <v>9</v>
      </c>
      <c r="J187" t="s">
        <v>1</v>
      </c>
      <c r="K187" t="s">
        <v>2</v>
      </c>
      <c r="L187" s="8">
        <f>InterspecUsage[[#This Row],[Used-MB]]-F177</f>
        <v>0</v>
      </c>
      <c r="M187">
        <f>InterspecUsage[[#This Row],[Max]]-InterspecUsage[[#This Row],[Used-MB]]</f>
        <v>29955</v>
      </c>
      <c r="N187" s="5">
        <f>IF($L187&gt;0,InterspecUsage[[#This Row],[Free-of-Max]]/InterspecUsage[[#This Row],[Usage-Delta-MB]],InterspecUsage[[#This Row],[Free-of-Max]])</f>
        <v>29955</v>
      </c>
    </row>
    <row r="188" spans="1:14" x14ac:dyDescent="0.25">
      <c r="A188" s="3">
        <v>44368</v>
      </c>
      <c r="B188" t="s">
        <v>30</v>
      </c>
      <c r="C188">
        <v>0</v>
      </c>
      <c r="D188">
        <v>32767</v>
      </c>
      <c r="E188">
        <v>32748</v>
      </c>
      <c r="F188">
        <v>19</v>
      </c>
      <c r="G188">
        <v>100</v>
      </c>
      <c r="H188">
        <v>32768</v>
      </c>
      <c r="I188">
        <v>0</v>
      </c>
      <c r="J188" t="s">
        <v>1</v>
      </c>
      <c r="K188" t="s">
        <v>13</v>
      </c>
      <c r="L188" s="8">
        <f>InterspecUsage[[#This Row],[Used-MB]]-F178</f>
        <v>-9</v>
      </c>
      <c r="M188">
        <f>InterspecUsage[[#This Row],[Max]]-InterspecUsage[[#This Row],[Used-MB]]</f>
        <v>32749</v>
      </c>
      <c r="N188" s="5">
        <f>IF($L188&gt;0,InterspecUsage[[#This Row],[Free-of-Max]]/InterspecUsage[[#This Row],[Usage-Delta-MB]],InterspecUsage[[#This Row],[Free-of-Max]])</f>
        <v>32749</v>
      </c>
    </row>
    <row r="189" spans="1:14" x14ac:dyDescent="0.25">
      <c r="A189" s="3">
        <v>44368</v>
      </c>
      <c r="B189" t="s">
        <v>28</v>
      </c>
      <c r="C189">
        <v>25</v>
      </c>
      <c r="D189">
        <v>16400</v>
      </c>
      <c r="E189">
        <v>12381</v>
      </c>
      <c r="F189">
        <v>4019</v>
      </c>
      <c r="G189">
        <v>75</v>
      </c>
      <c r="H189">
        <v>32768</v>
      </c>
      <c r="I189">
        <v>12</v>
      </c>
      <c r="J189" t="s">
        <v>1</v>
      </c>
      <c r="K189" t="s">
        <v>10</v>
      </c>
      <c r="L189" s="8">
        <f>InterspecUsage[[#This Row],[Used-MB]]-F179</f>
        <v>61</v>
      </c>
      <c r="M189">
        <f>InterspecUsage[[#This Row],[Max]]-InterspecUsage[[#This Row],[Used-MB]]</f>
        <v>28749</v>
      </c>
      <c r="N189" s="5">
        <f>IF($L189&gt;0,InterspecUsage[[#This Row],[Free-of-Max]]/InterspecUsage[[#This Row],[Usage-Delta-MB]],InterspecUsage[[#This Row],[Free-of-Max]])</f>
        <v>471.29508196721309</v>
      </c>
    </row>
    <row r="190" spans="1:14" x14ac:dyDescent="0.25">
      <c r="A190" s="3">
        <v>44368</v>
      </c>
      <c r="B190" t="s">
        <v>25</v>
      </c>
      <c r="C190">
        <v>95</v>
      </c>
      <c r="D190">
        <v>11800</v>
      </c>
      <c r="E190">
        <v>632</v>
      </c>
      <c r="F190">
        <v>11168</v>
      </c>
      <c r="G190">
        <v>5</v>
      </c>
      <c r="H190">
        <v>32768</v>
      </c>
      <c r="I190">
        <v>34</v>
      </c>
      <c r="J190" t="s">
        <v>1</v>
      </c>
      <c r="K190" t="s">
        <v>2</v>
      </c>
      <c r="L190" s="8">
        <f>InterspecUsage[[#This Row],[Used-MB]]-F180</f>
        <v>2372</v>
      </c>
      <c r="M190">
        <f>InterspecUsage[[#This Row],[Max]]-InterspecUsage[[#This Row],[Used-MB]]</f>
        <v>21600</v>
      </c>
      <c r="N190" s="5">
        <f>IF($L190&gt;0,InterspecUsage[[#This Row],[Free-of-Max]]/InterspecUsage[[#This Row],[Usage-Delta-MB]],InterspecUsage[[#This Row],[Free-of-Max]])</f>
        <v>9.1062394603709951</v>
      </c>
    </row>
    <row r="191" spans="1:14" x14ac:dyDescent="0.25">
      <c r="A191" s="3">
        <v>44368</v>
      </c>
      <c r="B191" t="s">
        <v>29</v>
      </c>
      <c r="C191">
        <v>0</v>
      </c>
      <c r="D191">
        <v>500</v>
      </c>
      <c r="E191">
        <v>499</v>
      </c>
      <c r="F191">
        <v>1</v>
      </c>
      <c r="G191">
        <v>100</v>
      </c>
      <c r="H191">
        <v>500</v>
      </c>
      <c r="I191">
        <v>0</v>
      </c>
      <c r="J191" t="s">
        <v>1</v>
      </c>
      <c r="K191" t="s">
        <v>2</v>
      </c>
      <c r="L191" s="8">
        <f>InterspecUsage[[#This Row],[Used-MB]]-F181</f>
        <v>0</v>
      </c>
      <c r="M191">
        <f>InterspecUsage[[#This Row],[Max]]-InterspecUsage[[#This Row],[Used-MB]]</f>
        <v>499</v>
      </c>
      <c r="N191" s="5">
        <f>IF($L191&gt;0,InterspecUsage[[#This Row],[Free-of-Max]]/InterspecUsage[[#This Row],[Usage-Delta-MB]],InterspecUsage[[#This Row],[Free-of-Max]])</f>
        <v>499</v>
      </c>
    </row>
    <row r="192" spans="1:14" x14ac:dyDescent="0.25">
      <c r="A192" s="3">
        <v>44375</v>
      </c>
      <c r="B192" t="s">
        <v>26</v>
      </c>
      <c r="C192">
        <v>93</v>
      </c>
      <c r="D192">
        <v>17288</v>
      </c>
      <c r="E192">
        <v>1142</v>
      </c>
      <c r="F192">
        <v>16146</v>
      </c>
      <c r="G192">
        <v>7</v>
      </c>
      <c r="H192">
        <v>40960</v>
      </c>
      <c r="I192">
        <v>39</v>
      </c>
      <c r="J192" t="s">
        <v>1</v>
      </c>
      <c r="K192" t="s">
        <v>2</v>
      </c>
      <c r="L192" s="8">
        <f>InterspecUsage[[#This Row],[Used-MB]]-F182</f>
        <v>122</v>
      </c>
      <c r="M192">
        <f>InterspecUsage[[#This Row],[Max]]-InterspecUsage[[#This Row],[Used-MB]]</f>
        <v>24814</v>
      </c>
      <c r="N192" s="5">
        <f>IF($L192&gt;0,InterspecUsage[[#This Row],[Free-of-Max]]/InterspecUsage[[#This Row],[Usage-Delta-MB]],InterspecUsage[[#This Row],[Free-of-Max]])</f>
        <v>203.39344262295083</v>
      </c>
    </row>
    <row r="193" spans="1:14" x14ac:dyDescent="0.25">
      <c r="A193" s="3">
        <v>44375</v>
      </c>
      <c r="B193" t="s">
        <v>24</v>
      </c>
      <c r="C193">
        <v>97</v>
      </c>
      <c r="D193">
        <v>18000</v>
      </c>
      <c r="E193">
        <v>492</v>
      </c>
      <c r="F193">
        <v>17508</v>
      </c>
      <c r="G193">
        <v>3</v>
      </c>
      <c r="H193">
        <v>32768</v>
      </c>
      <c r="I193">
        <v>53</v>
      </c>
      <c r="J193" t="s">
        <v>1</v>
      </c>
      <c r="K193" t="s">
        <v>2</v>
      </c>
      <c r="L193" s="8">
        <f>InterspecUsage[[#This Row],[Used-MB]]-F183</f>
        <v>64</v>
      </c>
      <c r="M193">
        <f>InterspecUsage[[#This Row],[Max]]-InterspecUsage[[#This Row],[Used-MB]]</f>
        <v>15260</v>
      </c>
      <c r="N193" s="5">
        <f>IF($L193&gt;0,InterspecUsage[[#This Row],[Free-of-Max]]/InterspecUsage[[#This Row],[Usage-Delta-MB]],InterspecUsage[[#This Row],[Free-of-Max]])</f>
        <v>238.4375</v>
      </c>
    </row>
    <row r="194" spans="1:14" x14ac:dyDescent="0.25">
      <c r="A194" s="3">
        <v>44375</v>
      </c>
      <c r="B194" t="s">
        <v>35</v>
      </c>
      <c r="C194">
        <v>95</v>
      </c>
      <c r="D194">
        <v>21200</v>
      </c>
      <c r="E194">
        <v>1039</v>
      </c>
      <c r="F194">
        <v>20161</v>
      </c>
      <c r="G194">
        <v>5</v>
      </c>
      <c r="H194">
        <v>32768</v>
      </c>
      <c r="I194">
        <v>62</v>
      </c>
      <c r="J194" t="s">
        <v>1</v>
      </c>
      <c r="K194" t="s">
        <v>2</v>
      </c>
      <c r="L194" s="8">
        <f>InterspecUsage[[#This Row],[Used-MB]]-F184</f>
        <v>0</v>
      </c>
      <c r="M194">
        <f>InterspecUsage[[#This Row],[Max]]-InterspecUsage[[#This Row],[Used-MB]]</f>
        <v>12607</v>
      </c>
      <c r="N194" s="5">
        <f>IF($L194&gt;0,InterspecUsage[[#This Row],[Free-of-Max]]/InterspecUsage[[#This Row],[Usage-Delta-MB]],InterspecUsage[[#This Row],[Free-of-Max]])</f>
        <v>12607</v>
      </c>
    </row>
    <row r="195" spans="1:14" x14ac:dyDescent="0.25">
      <c r="A195" s="3">
        <v>44375</v>
      </c>
      <c r="B195" t="s">
        <v>27</v>
      </c>
      <c r="C195">
        <v>78</v>
      </c>
      <c r="D195">
        <v>131072</v>
      </c>
      <c r="E195">
        <v>28614</v>
      </c>
      <c r="F195">
        <v>102458</v>
      </c>
      <c r="G195">
        <v>22</v>
      </c>
      <c r="H195">
        <v>131072</v>
      </c>
      <c r="I195">
        <v>78</v>
      </c>
      <c r="J195" t="s">
        <v>1</v>
      </c>
      <c r="K195" t="s">
        <v>2</v>
      </c>
      <c r="L195" s="8">
        <f>InterspecUsage[[#This Row],[Used-MB]]-F185</f>
        <v>385</v>
      </c>
      <c r="M195">
        <f>InterspecUsage[[#This Row],[Max]]-InterspecUsage[[#This Row],[Used-MB]]</f>
        <v>28614</v>
      </c>
      <c r="N195" s="5">
        <f>IF($L195&gt;0,InterspecUsage[[#This Row],[Free-of-Max]]/InterspecUsage[[#This Row],[Usage-Delta-MB]],InterspecUsage[[#This Row],[Free-of-Max]])</f>
        <v>74.322077922077924</v>
      </c>
    </row>
    <row r="196" spans="1:14" x14ac:dyDescent="0.25">
      <c r="A196" s="3">
        <v>44375</v>
      </c>
      <c r="B196" t="s">
        <v>7</v>
      </c>
      <c r="C196">
        <v>96</v>
      </c>
      <c r="D196">
        <v>910</v>
      </c>
      <c r="E196">
        <v>40</v>
      </c>
      <c r="F196">
        <v>870</v>
      </c>
      <c r="G196">
        <v>4</v>
      </c>
      <c r="H196">
        <v>32768</v>
      </c>
      <c r="I196">
        <v>3</v>
      </c>
      <c r="J196" t="s">
        <v>1</v>
      </c>
      <c r="K196" t="s">
        <v>2</v>
      </c>
      <c r="L196" s="8">
        <f>InterspecUsage[[#This Row],[Used-MB]]-F186</f>
        <v>7</v>
      </c>
      <c r="M196">
        <f>InterspecUsage[[#This Row],[Max]]-InterspecUsage[[#This Row],[Used-MB]]</f>
        <v>31898</v>
      </c>
      <c r="N196" s="5">
        <f>IF($L196&gt;0,InterspecUsage[[#This Row],[Free-of-Max]]/InterspecUsage[[#This Row],[Usage-Delta-MB]],InterspecUsage[[#This Row],[Free-of-Max]])</f>
        <v>4556.8571428571431</v>
      </c>
    </row>
    <row r="197" spans="1:14" x14ac:dyDescent="0.25">
      <c r="A197" s="3">
        <v>44375</v>
      </c>
      <c r="B197" t="s">
        <v>0</v>
      </c>
      <c r="C197">
        <v>98</v>
      </c>
      <c r="D197">
        <v>2860</v>
      </c>
      <c r="E197">
        <v>47</v>
      </c>
      <c r="F197">
        <v>2813</v>
      </c>
      <c r="G197">
        <v>2</v>
      </c>
      <c r="H197">
        <v>32768</v>
      </c>
      <c r="I197">
        <v>9</v>
      </c>
      <c r="J197" t="s">
        <v>1</v>
      </c>
      <c r="K197" t="s">
        <v>2</v>
      </c>
      <c r="L197" s="8">
        <f>InterspecUsage[[#This Row],[Used-MB]]-F187</f>
        <v>0</v>
      </c>
      <c r="M197">
        <f>InterspecUsage[[#This Row],[Max]]-InterspecUsage[[#This Row],[Used-MB]]</f>
        <v>29955</v>
      </c>
      <c r="N197" s="5">
        <f>IF($L197&gt;0,InterspecUsage[[#This Row],[Free-of-Max]]/InterspecUsage[[#This Row],[Usage-Delta-MB]],InterspecUsage[[#This Row],[Free-of-Max]])</f>
        <v>29955</v>
      </c>
    </row>
    <row r="198" spans="1:14" x14ac:dyDescent="0.25">
      <c r="A198" s="3">
        <v>44375</v>
      </c>
      <c r="B198" t="s">
        <v>30</v>
      </c>
      <c r="C198">
        <v>0</v>
      </c>
      <c r="D198">
        <v>32767</v>
      </c>
      <c r="E198">
        <v>32747</v>
      </c>
      <c r="F198">
        <v>20</v>
      </c>
      <c r="G198">
        <v>100</v>
      </c>
      <c r="H198">
        <v>32768</v>
      </c>
      <c r="I198">
        <v>0</v>
      </c>
      <c r="J198" t="s">
        <v>1</v>
      </c>
      <c r="K198" t="s">
        <v>13</v>
      </c>
      <c r="L198" s="8">
        <f>InterspecUsage[[#This Row],[Used-MB]]-F188</f>
        <v>1</v>
      </c>
      <c r="M198">
        <f>InterspecUsage[[#This Row],[Max]]-InterspecUsage[[#This Row],[Used-MB]]</f>
        <v>32748</v>
      </c>
      <c r="N198" s="5">
        <f>IF($L198&gt;0,InterspecUsage[[#This Row],[Free-of-Max]]/InterspecUsage[[#This Row],[Usage-Delta-MB]],InterspecUsage[[#This Row],[Free-of-Max]])</f>
        <v>32748</v>
      </c>
    </row>
    <row r="199" spans="1:14" x14ac:dyDescent="0.25">
      <c r="A199" s="3">
        <v>44375</v>
      </c>
      <c r="B199" t="s">
        <v>28</v>
      </c>
      <c r="C199">
        <v>24</v>
      </c>
      <c r="D199">
        <v>16400</v>
      </c>
      <c r="E199">
        <v>12489</v>
      </c>
      <c r="F199">
        <v>3911</v>
      </c>
      <c r="G199">
        <v>76</v>
      </c>
      <c r="H199">
        <v>32768</v>
      </c>
      <c r="I199">
        <v>12</v>
      </c>
      <c r="J199" t="s">
        <v>1</v>
      </c>
      <c r="K199" t="s">
        <v>10</v>
      </c>
      <c r="L199" s="8">
        <f>InterspecUsage[[#This Row],[Used-MB]]-F189</f>
        <v>-108</v>
      </c>
      <c r="M199">
        <f>InterspecUsage[[#This Row],[Max]]-InterspecUsage[[#This Row],[Used-MB]]</f>
        <v>28857</v>
      </c>
      <c r="N199" s="5">
        <f>IF($L199&gt;0,InterspecUsage[[#This Row],[Free-of-Max]]/InterspecUsage[[#This Row],[Usage-Delta-MB]],InterspecUsage[[#This Row],[Free-of-Max]])</f>
        <v>28857</v>
      </c>
    </row>
    <row r="200" spans="1:14" x14ac:dyDescent="0.25">
      <c r="A200" s="3">
        <v>44375</v>
      </c>
      <c r="B200" t="s">
        <v>25</v>
      </c>
      <c r="C200">
        <v>95</v>
      </c>
      <c r="D200">
        <v>11800</v>
      </c>
      <c r="E200">
        <v>632</v>
      </c>
      <c r="F200">
        <v>11168</v>
      </c>
      <c r="G200">
        <v>5</v>
      </c>
      <c r="H200">
        <v>32768</v>
      </c>
      <c r="I200">
        <v>34</v>
      </c>
      <c r="J200" t="s">
        <v>1</v>
      </c>
      <c r="K200" t="s">
        <v>2</v>
      </c>
      <c r="L200" s="8">
        <f>InterspecUsage[[#This Row],[Used-MB]]-F190</f>
        <v>0</v>
      </c>
      <c r="M200">
        <f>InterspecUsage[[#This Row],[Max]]-InterspecUsage[[#This Row],[Used-MB]]</f>
        <v>21600</v>
      </c>
      <c r="N200" s="5">
        <f>IF($L200&gt;0,InterspecUsage[[#This Row],[Free-of-Max]]/InterspecUsage[[#This Row],[Usage-Delta-MB]],InterspecUsage[[#This Row],[Free-of-Max]])</f>
        <v>21600</v>
      </c>
    </row>
    <row r="201" spans="1:14" x14ac:dyDescent="0.25">
      <c r="A201" s="3">
        <v>44375</v>
      </c>
      <c r="B201" t="s">
        <v>29</v>
      </c>
      <c r="C201">
        <v>0</v>
      </c>
      <c r="D201">
        <v>500</v>
      </c>
      <c r="E201">
        <v>499</v>
      </c>
      <c r="F201">
        <v>1</v>
      </c>
      <c r="G201">
        <v>100</v>
      </c>
      <c r="H201">
        <v>500</v>
      </c>
      <c r="I201">
        <v>0</v>
      </c>
      <c r="J201" t="s">
        <v>1</v>
      </c>
      <c r="K201" t="s">
        <v>2</v>
      </c>
      <c r="L201" s="8">
        <f>InterspecUsage[[#This Row],[Used-MB]]-F191</f>
        <v>0</v>
      </c>
      <c r="M201">
        <f>InterspecUsage[[#This Row],[Max]]-InterspecUsage[[#This Row],[Used-MB]]</f>
        <v>499</v>
      </c>
      <c r="N201" s="5">
        <f>IF($L201&gt;0,InterspecUsage[[#This Row],[Free-of-Max]]/InterspecUsage[[#This Row],[Usage-Delta-MB]],InterspecUsage[[#This Row],[Free-of-Max]])</f>
        <v>499</v>
      </c>
    </row>
    <row r="202" spans="1:14" x14ac:dyDescent="0.25">
      <c r="A202" s="3">
        <v>44382</v>
      </c>
      <c r="B202" t="s">
        <v>26</v>
      </c>
      <c r="C202">
        <v>95</v>
      </c>
      <c r="D202">
        <v>17288</v>
      </c>
      <c r="E202">
        <v>885</v>
      </c>
      <c r="F202">
        <v>16403</v>
      </c>
      <c r="G202">
        <v>5</v>
      </c>
      <c r="H202">
        <v>40960</v>
      </c>
      <c r="I202">
        <v>40</v>
      </c>
      <c r="J202" t="s">
        <v>1</v>
      </c>
      <c r="K202" t="s">
        <v>2</v>
      </c>
      <c r="L202" s="8">
        <f>InterspecUsage[[#This Row],[Used-MB]]-F192</f>
        <v>257</v>
      </c>
      <c r="M202">
        <f>InterspecUsage[[#This Row],[Max]]-InterspecUsage[[#This Row],[Used-MB]]</f>
        <v>24557</v>
      </c>
      <c r="N202" s="5">
        <f>IF($L202&gt;0,InterspecUsage[[#This Row],[Free-of-Max]]/InterspecUsage[[#This Row],[Usage-Delta-MB]],InterspecUsage[[#This Row],[Free-of-Max]])</f>
        <v>95.552529182879383</v>
      </c>
    </row>
    <row r="203" spans="1:14" x14ac:dyDescent="0.25">
      <c r="A203" s="3">
        <v>44382</v>
      </c>
      <c r="B203" t="s">
        <v>24</v>
      </c>
      <c r="C203">
        <v>97</v>
      </c>
      <c r="D203">
        <v>18000</v>
      </c>
      <c r="E203">
        <v>491</v>
      </c>
      <c r="F203">
        <v>17509</v>
      </c>
      <c r="G203">
        <v>3</v>
      </c>
      <c r="H203">
        <v>32768</v>
      </c>
      <c r="I203">
        <v>53</v>
      </c>
      <c r="J203" t="s">
        <v>1</v>
      </c>
      <c r="K203" t="s">
        <v>2</v>
      </c>
      <c r="L203" s="8">
        <f>InterspecUsage[[#This Row],[Used-MB]]-F193</f>
        <v>1</v>
      </c>
      <c r="M203">
        <f>InterspecUsage[[#This Row],[Max]]-InterspecUsage[[#This Row],[Used-MB]]</f>
        <v>15259</v>
      </c>
      <c r="N203" s="5">
        <f>IF($L203&gt;0,InterspecUsage[[#This Row],[Free-of-Max]]/InterspecUsage[[#This Row],[Usage-Delta-MB]],InterspecUsage[[#This Row],[Free-of-Max]])</f>
        <v>15259</v>
      </c>
    </row>
    <row r="204" spans="1:14" x14ac:dyDescent="0.25">
      <c r="A204" s="3">
        <v>44382</v>
      </c>
      <c r="B204" t="s">
        <v>35</v>
      </c>
      <c r="C204">
        <v>95</v>
      </c>
      <c r="D204">
        <v>21400</v>
      </c>
      <c r="E204">
        <v>1111</v>
      </c>
      <c r="F204">
        <v>20289</v>
      </c>
      <c r="G204">
        <v>5</v>
      </c>
      <c r="H204">
        <v>32768</v>
      </c>
      <c r="I204">
        <v>62</v>
      </c>
      <c r="J204" t="s">
        <v>1</v>
      </c>
      <c r="K204" t="s">
        <v>2</v>
      </c>
      <c r="L204" s="8">
        <f>InterspecUsage[[#This Row],[Used-MB]]-F194</f>
        <v>128</v>
      </c>
      <c r="M204">
        <f>InterspecUsage[[#This Row],[Max]]-InterspecUsage[[#This Row],[Used-MB]]</f>
        <v>12479</v>
      </c>
      <c r="N204" s="5">
        <f>IF($L204&gt;0,InterspecUsage[[#This Row],[Free-of-Max]]/InterspecUsage[[#This Row],[Usage-Delta-MB]],InterspecUsage[[#This Row],[Free-of-Max]])</f>
        <v>97.4921875</v>
      </c>
    </row>
    <row r="205" spans="1:14" x14ac:dyDescent="0.25">
      <c r="A205" s="3">
        <v>44382</v>
      </c>
      <c r="B205" t="s">
        <v>27</v>
      </c>
      <c r="C205">
        <v>79</v>
      </c>
      <c r="D205">
        <v>131072</v>
      </c>
      <c r="E205">
        <v>28076</v>
      </c>
      <c r="F205">
        <v>102996</v>
      </c>
      <c r="G205">
        <v>21</v>
      </c>
      <c r="H205">
        <v>131072</v>
      </c>
      <c r="I205">
        <v>79</v>
      </c>
      <c r="J205" t="s">
        <v>1</v>
      </c>
      <c r="K205" t="s">
        <v>2</v>
      </c>
      <c r="L205" s="8">
        <f>InterspecUsage[[#This Row],[Used-MB]]-F195</f>
        <v>538</v>
      </c>
      <c r="M205">
        <f>InterspecUsage[[#This Row],[Max]]-InterspecUsage[[#This Row],[Used-MB]]</f>
        <v>28076</v>
      </c>
      <c r="N205" s="5">
        <f>IF($L205&gt;0,InterspecUsage[[#This Row],[Free-of-Max]]/InterspecUsage[[#This Row],[Usage-Delta-MB]],InterspecUsage[[#This Row],[Free-of-Max]])</f>
        <v>52.185873605947954</v>
      </c>
    </row>
    <row r="206" spans="1:14" x14ac:dyDescent="0.25">
      <c r="A206" s="3">
        <v>44382</v>
      </c>
      <c r="B206" t="s">
        <v>7</v>
      </c>
      <c r="C206">
        <v>96</v>
      </c>
      <c r="D206">
        <v>910</v>
      </c>
      <c r="E206">
        <v>39</v>
      </c>
      <c r="F206">
        <v>871</v>
      </c>
      <c r="G206">
        <v>4</v>
      </c>
      <c r="H206">
        <v>32768</v>
      </c>
      <c r="I206">
        <v>3</v>
      </c>
      <c r="J206" t="s">
        <v>1</v>
      </c>
      <c r="K206" t="s">
        <v>2</v>
      </c>
      <c r="L206" s="8">
        <f>InterspecUsage[[#This Row],[Used-MB]]-F196</f>
        <v>1</v>
      </c>
      <c r="M206">
        <f>InterspecUsage[[#This Row],[Max]]-InterspecUsage[[#This Row],[Used-MB]]</f>
        <v>31897</v>
      </c>
      <c r="N206" s="5">
        <f>IF($L206&gt;0,InterspecUsage[[#This Row],[Free-of-Max]]/InterspecUsage[[#This Row],[Usage-Delta-MB]],InterspecUsage[[#This Row],[Free-of-Max]])</f>
        <v>31897</v>
      </c>
    </row>
    <row r="207" spans="1:14" x14ac:dyDescent="0.25">
      <c r="A207" s="3">
        <v>44382</v>
      </c>
      <c r="B207" t="s">
        <v>0</v>
      </c>
      <c r="C207">
        <v>98</v>
      </c>
      <c r="D207">
        <v>2860</v>
      </c>
      <c r="E207">
        <v>47</v>
      </c>
      <c r="F207">
        <v>2813</v>
      </c>
      <c r="G207">
        <v>2</v>
      </c>
      <c r="H207">
        <v>32768</v>
      </c>
      <c r="I207">
        <v>9</v>
      </c>
      <c r="J207" t="s">
        <v>1</v>
      </c>
      <c r="K207" t="s">
        <v>2</v>
      </c>
      <c r="L207" s="8">
        <f>InterspecUsage[[#This Row],[Used-MB]]-F197</f>
        <v>0</v>
      </c>
      <c r="M207">
        <f>InterspecUsage[[#This Row],[Max]]-InterspecUsage[[#This Row],[Used-MB]]</f>
        <v>29955</v>
      </c>
      <c r="N207" s="5">
        <f>IF($L207&gt;0,InterspecUsage[[#This Row],[Free-of-Max]]/InterspecUsage[[#This Row],[Usage-Delta-MB]],InterspecUsage[[#This Row],[Free-of-Max]])</f>
        <v>29955</v>
      </c>
    </row>
    <row r="208" spans="1:14" x14ac:dyDescent="0.25">
      <c r="A208" s="3">
        <v>44382</v>
      </c>
      <c r="B208" t="s">
        <v>30</v>
      </c>
      <c r="C208">
        <v>0</v>
      </c>
      <c r="D208">
        <v>32767</v>
      </c>
      <c r="E208">
        <v>32759</v>
      </c>
      <c r="F208">
        <v>8</v>
      </c>
      <c r="G208">
        <v>100</v>
      </c>
      <c r="H208">
        <v>32768</v>
      </c>
      <c r="I208">
        <v>0</v>
      </c>
      <c r="J208" t="s">
        <v>1</v>
      </c>
      <c r="K208" t="s">
        <v>13</v>
      </c>
      <c r="L208" s="8">
        <f>InterspecUsage[[#This Row],[Used-MB]]-F198</f>
        <v>-12</v>
      </c>
      <c r="M208">
        <f>InterspecUsage[[#This Row],[Max]]-InterspecUsage[[#This Row],[Used-MB]]</f>
        <v>32760</v>
      </c>
      <c r="N208" s="5">
        <f>IF($L208&gt;0,InterspecUsage[[#This Row],[Free-of-Max]]/InterspecUsage[[#This Row],[Usage-Delta-MB]],InterspecUsage[[#This Row],[Free-of-Max]])</f>
        <v>32760</v>
      </c>
    </row>
    <row r="209" spans="1:14" x14ac:dyDescent="0.25">
      <c r="A209" s="3">
        <v>44382</v>
      </c>
      <c r="B209" t="s">
        <v>28</v>
      </c>
      <c r="C209">
        <v>24</v>
      </c>
      <c r="D209">
        <v>16400</v>
      </c>
      <c r="E209">
        <v>12498</v>
      </c>
      <c r="F209">
        <v>3902</v>
      </c>
      <c r="G209">
        <v>76</v>
      </c>
      <c r="H209">
        <v>32768</v>
      </c>
      <c r="I209">
        <v>12</v>
      </c>
      <c r="J209" t="s">
        <v>1</v>
      </c>
      <c r="K209" t="s">
        <v>10</v>
      </c>
      <c r="L209" s="8">
        <f>InterspecUsage[[#This Row],[Used-MB]]-F199</f>
        <v>-9</v>
      </c>
      <c r="M209">
        <f>InterspecUsage[[#This Row],[Max]]-InterspecUsage[[#This Row],[Used-MB]]</f>
        <v>28866</v>
      </c>
      <c r="N209" s="5">
        <f>IF($L209&gt;0,InterspecUsage[[#This Row],[Free-of-Max]]/InterspecUsage[[#This Row],[Usage-Delta-MB]],InterspecUsage[[#This Row],[Free-of-Max]])</f>
        <v>28866</v>
      </c>
    </row>
    <row r="210" spans="1:14" x14ac:dyDescent="0.25">
      <c r="A210" s="3">
        <v>44382</v>
      </c>
      <c r="B210" t="s">
        <v>25</v>
      </c>
      <c r="C210">
        <v>95</v>
      </c>
      <c r="D210">
        <v>11800</v>
      </c>
      <c r="E210">
        <v>628</v>
      </c>
      <c r="F210">
        <v>11172</v>
      </c>
      <c r="G210">
        <v>5</v>
      </c>
      <c r="H210">
        <v>32768</v>
      </c>
      <c r="I210">
        <v>34</v>
      </c>
      <c r="J210" t="s">
        <v>1</v>
      </c>
      <c r="K210" t="s">
        <v>2</v>
      </c>
      <c r="L210" s="8">
        <f>InterspecUsage[[#This Row],[Used-MB]]-F200</f>
        <v>4</v>
      </c>
      <c r="M210">
        <f>InterspecUsage[[#This Row],[Max]]-InterspecUsage[[#This Row],[Used-MB]]</f>
        <v>21596</v>
      </c>
      <c r="N210" s="5">
        <f>IF($L210&gt;0,InterspecUsage[[#This Row],[Free-of-Max]]/InterspecUsage[[#This Row],[Usage-Delta-MB]],InterspecUsage[[#This Row],[Free-of-Max]])</f>
        <v>5399</v>
      </c>
    </row>
    <row r="211" spans="1:14" x14ac:dyDescent="0.25">
      <c r="A211" s="3">
        <v>44382</v>
      </c>
      <c r="B211" t="s">
        <v>29</v>
      </c>
      <c r="C211">
        <v>0</v>
      </c>
      <c r="D211">
        <v>500</v>
      </c>
      <c r="E211">
        <v>499</v>
      </c>
      <c r="F211">
        <v>1</v>
      </c>
      <c r="G211">
        <v>100</v>
      </c>
      <c r="H211">
        <v>500</v>
      </c>
      <c r="I211">
        <v>0</v>
      </c>
      <c r="J211" t="s">
        <v>1</v>
      </c>
      <c r="K211" t="s">
        <v>2</v>
      </c>
      <c r="L211" s="8">
        <f>InterspecUsage[[#This Row],[Used-MB]]-F201</f>
        <v>0</v>
      </c>
      <c r="M211">
        <f>InterspecUsage[[#This Row],[Max]]-InterspecUsage[[#This Row],[Used-MB]]</f>
        <v>499</v>
      </c>
      <c r="N211" s="5">
        <f>IF($L211&gt;0,InterspecUsage[[#This Row],[Free-of-Max]]/InterspecUsage[[#This Row],[Usage-Delta-MB]],InterspecUsage[[#This Row],[Free-of-Max]])</f>
        <v>499</v>
      </c>
    </row>
    <row r="212" spans="1:14" x14ac:dyDescent="0.25">
      <c r="A212" s="3">
        <v>44389</v>
      </c>
      <c r="B212" t="s">
        <v>26</v>
      </c>
      <c r="C212">
        <v>95</v>
      </c>
      <c r="D212">
        <v>17288</v>
      </c>
      <c r="E212">
        <v>884</v>
      </c>
      <c r="F212">
        <v>16404</v>
      </c>
      <c r="G212">
        <v>5</v>
      </c>
      <c r="H212">
        <v>40960</v>
      </c>
      <c r="I212">
        <v>40</v>
      </c>
      <c r="J212" t="s">
        <v>1</v>
      </c>
      <c r="K212" t="s">
        <v>2</v>
      </c>
      <c r="L212" s="8">
        <f>InterspecUsage[[#This Row],[Used-MB]]-F202</f>
        <v>1</v>
      </c>
      <c r="M212">
        <f>InterspecUsage[[#This Row],[Max]]-InterspecUsage[[#This Row],[Used-MB]]</f>
        <v>24556</v>
      </c>
      <c r="N212" s="5">
        <f>IF($L212&gt;0,InterspecUsage[[#This Row],[Free-of-Max]]/InterspecUsage[[#This Row],[Usage-Delta-MB]],InterspecUsage[[#This Row],[Free-of-Max]])</f>
        <v>24556</v>
      </c>
    </row>
    <row r="213" spans="1:14" x14ac:dyDescent="0.25">
      <c r="A213" s="3">
        <v>44389</v>
      </c>
      <c r="B213" t="s">
        <v>24</v>
      </c>
      <c r="C213">
        <v>97</v>
      </c>
      <c r="D213">
        <v>18000</v>
      </c>
      <c r="E213">
        <v>490</v>
      </c>
      <c r="F213">
        <v>17510</v>
      </c>
      <c r="G213">
        <v>3</v>
      </c>
      <c r="H213">
        <v>32768</v>
      </c>
      <c r="I213">
        <v>53</v>
      </c>
      <c r="J213" t="s">
        <v>1</v>
      </c>
      <c r="K213" t="s">
        <v>2</v>
      </c>
      <c r="L213" s="8">
        <f>InterspecUsage[[#This Row],[Used-MB]]-F203</f>
        <v>1</v>
      </c>
      <c r="M213">
        <f>InterspecUsage[[#This Row],[Max]]-InterspecUsage[[#This Row],[Used-MB]]</f>
        <v>15258</v>
      </c>
      <c r="N213" s="5">
        <f>IF($L213&gt;0,InterspecUsage[[#This Row],[Free-of-Max]]/InterspecUsage[[#This Row],[Usage-Delta-MB]],InterspecUsage[[#This Row],[Free-of-Max]])</f>
        <v>15258</v>
      </c>
    </row>
    <row r="214" spans="1:14" x14ac:dyDescent="0.25">
      <c r="A214" s="3">
        <v>44389</v>
      </c>
      <c r="B214" t="s">
        <v>35</v>
      </c>
      <c r="C214">
        <v>95</v>
      </c>
      <c r="D214">
        <v>21400</v>
      </c>
      <c r="E214">
        <v>1047</v>
      </c>
      <c r="F214">
        <v>20353</v>
      </c>
      <c r="G214">
        <v>5</v>
      </c>
      <c r="H214">
        <v>32768</v>
      </c>
      <c r="I214">
        <v>62</v>
      </c>
      <c r="J214" t="s">
        <v>1</v>
      </c>
      <c r="K214" t="s">
        <v>2</v>
      </c>
      <c r="L214" s="8">
        <f>InterspecUsage[[#This Row],[Used-MB]]-F204</f>
        <v>64</v>
      </c>
      <c r="M214">
        <f>InterspecUsage[[#This Row],[Max]]-InterspecUsage[[#This Row],[Used-MB]]</f>
        <v>12415</v>
      </c>
      <c r="N214" s="5">
        <f>IF($L214&gt;0,InterspecUsage[[#This Row],[Free-of-Max]]/InterspecUsage[[#This Row],[Usage-Delta-MB]],InterspecUsage[[#This Row],[Free-of-Max]])</f>
        <v>193.984375</v>
      </c>
    </row>
    <row r="215" spans="1:14" x14ac:dyDescent="0.25">
      <c r="A215" s="3">
        <v>44389</v>
      </c>
      <c r="B215" t="s">
        <v>27</v>
      </c>
      <c r="C215">
        <v>79</v>
      </c>
      <c r="D215">
        <v>131072</v>
      </c>
      <c r="E215">
        <v>27868</v>
      </c>
      <c r="F215">
        <v>103204</v>
      </c>
      <c r="G215">
        <v>21</v>
      </c>
      <c r="H215">
        <v>131072</v>
      </c>
      <c r="I215">
        <v>79</v>
      </c>
      <c r="J215" t="s">
        <v>1</v>
      </c>
      <c r="K215" t="s">
        <v>2</v>
      </c>
      <c r="L215" s="8">
        <f>InterspecUsage[[#This Row],[Used-MB]]-F205</f>
        <v>208</v>
      </c>
      <c r="M215">
        <f>InterspecUsage[[#This Row],[Max]]-InterspecUsage[[#This Row],[Used-MB]]</f>
        <v>27868</v>
      </c>
      <c r="N215" s="5">
        <f>IF($L215&gt;0,InterspecUsage[[#This Row],[Free-of-Max]]/InterspecUsage[[#This Row],[Usage-Delta-MB]],InterspecUsage[[#This Row],[Free-of-Max]])</f>
        <v>133.98076923076923</v>
      </c>
    </row>
    <row r="216" spans="1:14" x14ac:dyDescent="0.25">
      <c r="A216" s="3">
        <v>44389</v>
      </c>
      <c r="B216" t="s">
        <v>7</v>
      </c>
      <c r="C216">
        <v>94</v>
      </c>
      <c r="D216">
        <v>930</v>
      </c>
      <c r="E216">
        <v>52</v>
      </c>
      <c r="F216">
        <v>878</v>
      </c>
      <c r="G216">
        <v>6</v>
      </c>
      <c r="H216">
        <v>32768</v>
      </c>
      <c r="I216">
        <v>3</v>
      </c>
      <c r="J216" t="s">
        <v>1</v>
      </c>
      <c r="K216" t="s">
        <v>2</v>
      </c>
      <c r="L216" s="8">
        <f>InterspecUsage[[#This Row],[Used-MB]]-F206</f>
        <v>7</v>
      </c>
      <c r="M216">
        <f>InterspecUsage[[#This Row],[Max]]-InterspecUsage[[#This Row],[Used-MB]]</f>
        <v>31890</v>
      </c>
      <c r="N216" s="5">
        <f>IF($L216&gt;0,InterspecUsage[[#This Row],[Free-of-Max]]/InterspecUsage[[#This Row],[Usage-Delta-MB]],InterspecUsage[[#This Row],[Free-of-Max]])</f>
        <v>4555.7142857142853</v>
      </c>
    </row>
    <row r="217" spans="1:14" x14ac:dyDescent="0.25">
      <c r="A217" s="3">
        <v>44389</v>
      </c>
      <c r="B217" t="s">
        <v>0</v>
      </c>
      <c r="C217">
        <v>98</v>
      </c>
      <c r="D217">
        <v>2860</v>
      </c>
      <c r="E217">
        <v>47</v>
      </c>
      <c r="F217">
        <v>2813</v>
      </c>
      <c r="G217">
        <v>2</v>
      </c>
      <c r="H217">
        <v>32768</v>
      </c>
      <c r="I217">
        <v>9</v>
      </c>
      <c r="J217" t="s">
        <v>1</v>
      </c>
      <c r="K217" t="s">
        <v>2</v>
      </c>
      <c r="L217" s="8">
        <f>InterspecUsage[[#This Row],[Used-MB]]-F207</f>
        <v>0</v>
      </c>
      <c r="M217">
        <f>InterspecUsage[[#This Row],[Max]]-InterspecUsage[[#This Row],[Used-MB]]</f>
        <v>29955</v>
      </c>
      <c r="N217" s="5">
        <f>IF($L217&gt;0,InterspecUsage[[#This Row],[Free-of-Max]]/InterspecUsage[[#This Row],[Usage-Delta-MB]],InterspecUsage[[#This Row],[Free-of-Max]])</f>
        <v>29955</v>
      </c>
    </row>
    <row r="218" spans="1:14" x14ac:dyDescent="0.25">
      <c r="A218" s="3">
        <v>44389</v>
      </c>
      <c r="B218" t="s">
        <v>30</v>
      </c>
      <c r="C218">
        <v>0</v>
      </c>
      <c r="D218">
        <v>32767</v>
      </c>
      <c r="E218">
        <v>32755</v>
      </c>
      <c r="F218">
        <v>12</v>
      </c>
      <c r="G218">
        <v>100</v>
      </c>
      <c r="H218">
        <v>32768</v>
      </c>
      <c r="I218">
        <v>0</v>
      </c>
      <c r="J218" t="s">
        <v>1</v>
      </c>
      <c r="K218" t="s">
        <v>13</v>
      </c>
      <c r="L218" s="8">
        <f>InterspecUsage[[#This Row],[Used-MB]]-F208</f>
        <v>4</v>
      </c>
      <c r="M218">
        <f>InterspecUsage[[#This Row],[Max]]-InterspecUsage[[#This Row],[Used-MB]]</f>
        <v>32756</v>
      </c>
      <c r="N218" s="5">
        <f>IF($L218&gt;0,InterspecUsage[[#This Row],[Free-of-Max]]/InterspecUsage[[#This Row],[Usage-Delta-MB]],InterspecUsage[[#This Row],[Free-of-Max]])</f>
        <v>8189</v>
      </c>
    </row>
    <row r="219" spans="1:14" x14ac:dyDescent="0.25">
      <c r="A219" s="3">
        <v>44389</v>
      </c>
      <c r="B219" t="s">
        <v>28</v>
      </c>
      <c r="C219">
        <v>24</v>
      </c>
      <c r="D219">
        <v>16400</v>
      </c>
      <c r="E219">
        <v>12496</v>
      </c>
      <c r="F219">
        <v>3904</v>
      </c>
      <c r="G219">
        <v>76</v>
      </c>
      <c r="H219">
        <v>32768</v>
      </c>
      <c r="I219">
        <v>12</v>
      </c>
      <c r="J219" t="s">
        <v>1</v>
      </c>
      <c r="K219" t="s">
        <v>10</v>
      </c>
      <c r="L219" s="8">
        <f>InterspecUsage[[#This Row],[Used-MB]]-F209</f>
        <v>2</v>
      </c>
      <c r="M219">
        <f>InterspecUsage[[#This Row],[Max]]-InterspecUsage[[#This Row],[Used-MB]]</f>
        <v>28864</v>
      </c>
      <c r="N219" s="5">
        <f>IF($L219&gt;0,InterspecUsage[[#This Row],[Free-of-Max]]/InterspecUsage[[#This Row],[Usage-Delta-MB]],InterspecUsage[[#This Row],[Free-of-Max]])</f>
        <v>14432</v>
      </c>
    </row>
    <row r="220" spans="1:14" x14ac:dyDescent="0.25">
      <c r="A220" s="3">
        <v>44389</v>
      </c>
      <c r="B220" t="s">
        <v>25</v>
      </c>
      <c r="C220">
        <v>95</v>
      </c>
      <c r="D220">
        <v>11800</v>
      </c>
      <c r="E220">
        <v>628</v>
      </c>
      <c r="F220">
        <v>11172</v>
      </c>
      <c r="G220">
        <v>5</v>
      </c>
      <c r="H220">
        <v>32768</v>
      </c>
      <c r="I220">
        <v>34</v>
      </c>
      <c r="J220" t="s">
        <v>1</v>
      </c>
      <c r="K220" t="s">
        <v>2</v>
      </c>
      <c r="L220" s="8">
        <f>InterspecUsage[[#This Row],[Used-MB]]-F210</f>
        <v>0</v>
      </c>
      <c r="M220">
        <f>InterspecUsage[[#This Row],[Max]]-InterspecUsage[[#This Row],[Used-MB]]</f>
        <v>21596</v>
      </c>
      <c r="N220" s="5">
        <f>IF($L220&gt;0,InterspecUsage[[#This Row],[Free-of-Max]]/InterspecUsage[[#This Row],[Usage-Delta-MB]],InterspecUsage[[#This Row],[Free-of-Max]])</f>
        <v>21596</v>
      </c>
    </row>
    <row r="221" spans="1:14" x14ac:dyDescent="0.25">
      <c r="A221" s="3">
        <v>44389</v>
      </c>
      <c r="B221" t="s">
        <v>29</v>
      </c>
      <c r="C221">
        <v>0</v>
      </c>
      <c r="D221">
        <v>500</v>
      </c>
      <c r="E221">
        <v>499</v>
      </c>
      <c r="F221">
        <v>1</v>
      </c>
      <c r="G221">
        <v>100</v>
      </c>
      <c r="H221">
        <v>500</v>
      </c>
      <c r="I221">
        <v>0</v>
      </c>
      <c r="J221" t="s">
        <v>1</v>
      </c>
      <c r="K221" t="s">
        <v>2</v>
      </c>
      <c r="L221" s="8">
        <f>InterspecUsage[[#This Row],[Used-MB]]-F211</f>
        <v>0</v>
      </c>
      <c r="M221">
        <f>InterspecUsage[[#This Row],[Max]]-InterspecUsage[[#This Row],[Used-MB]]</f>
        <v>499</v>
      </c>
      <c r="N221" s="5">
        <f>IF($L221&gt;0,InterspecUsage[[#This Row],[Free-of-Max]]/InterspecUsage[[#This Row],[Usage-Delta-MB]],InterspecUsage[[#This Row],[Free-of-Max]])</f>
        <v>499</v>
      </c>
    </row>
    <row r="222" spans="1:14" x14ac:dyDescent="0.25">
      <c r="A222" s="3">
        <v>44396</v>
      </c>
      <c r="B222" t="s">
        <v>26</v>
      </c>
      <c r="C222">
        <v>93</v>
      </c>
      <c r="D222">
        <v>17788</v>
      </c>
      <c r="E222">
        <v>1320</v>
      </c>
      <c r="F222">
        <v>16468</v>
      </c>
      <c r="G222">
        <v>7</v>
      </c>
      <c r="H222">
        <v>40960</v>
      </c>
      <c r="I222">
        <v>40</v>
      </c>
      <c r="J222" t="s">
        <v>1</v>
      </c>
      <c r="K222" t="s">
        <v>2</v>
      </c>
      <c r="L222" s="8">
        <f>InterspecUsage[[#This Row],[Used-MB]]-F212</f>
        <v>64</v>
      </c>
      <c r="M222">
        <f>InterspecUsage[[#This Row],[Max]]-InterspecUsage[[#This Row],[Used-MB]]</f>
        <v>24492</v>
      </c>
      <c r="N222" s="5">
        <f>IF($L222&gt;0,InterspecUsage[[#This Row],[Free-of-Max]]/InterspecUsage[[#This Row],[Usage-Delta-MB]],InterspecUsage[[#This Row],[Free-of-Max]])</f>
        <v>382.6875</v>
      </c>
    </row>
    <row r="223" spans="1:14" x14ac:dyDescent="0.25">
      <c r="A223" s="3">
        <v>44396</v>
      </c>
      <c r="B223" t="s">
        <v>24</v>
      </c>
      <c r="C223">
        <v>98</v>
      </c>
      <c r="D223">
        <v>18000</v>
      </c>
      <c r="E223">
        <v>418</v>
      </c>
      <c r="F223">
        <v>17582</v>
      </c>
      <c r="G223">
        <v>2</v>
      </c>
      <c r="H223">
        <v>32768</v>
      </c>
      <c r="I223">
        <v>54</v>
      </c>
      <c r="J223" t="s">
        <v>1</v>
      </c>
      <c r="K223" t="s">
        <v>2</v>
      </c>
      <c r="L223" s="8">
        <f>InterspecUsage[[#This Row],[Used-MB]]-F213</f>
        <v>72</v>
      </c>
      <c r="M223">
        <f>InterspecUsage[[#This Row],[Max]]-InterspecUsage[[#This Row],[Used-MB]]</f>
        <v>15186</v>
      </c>
      <c r="N223" s="5">
        <f>IF($L223&gt;0,InterspecUsage[[#This Row],[Free-of-Max]]/InterspecUsage[[#This Row],[Usage-Delta-MB]],InterspecUsage[[#This Row],[Free-of-Max]])</f>
        <v>210.91666666666666</v>
      </c>
    </row>
    <row r="224" spans="1:14" x14ac:dyDescent="0.25">
      <c r="A224" s="3">
        <v>44396</v>
      </c>
      <c r="B224" t="s">
        <v>35</v>
      </c>
      <c r="C224">
        <v>95</v>
      </c>
      <c r="D224">
        <v>21600</v>
      </c>
      <c r="E224">
        <v>1183</v>
      </c>
      <c r="F224">
        <v>20417</v>
      </c>
      <c r="G224">
        <v>5</v>
      </c>
      <c r="H224">
        <v>32768</v>
      </c>
      <c r="I224">
        <v>62</v>
      </c>
      <c r="J224" t="s">
        <v>1</v>
      </c>
      <c r="K224" t="s">
        <v>2</v>
      </c>
      <c r="L224" s="8">
        <f>InterspecUsage[[#This Row],[Used-MB]]-F214</f>
        <v>64</v>
      </c>
      <c r="M224">
        <f>InterspecUsage[[#This Row],[Max]]-InterspecUsage[[#This Row],[Used-MB]]</f>
        <v>12351</v>
      </c>
      <c r="N224" s="5">
        <f>IF($L224&gt;0,InterspecUsage[[#This Row],[Free-of-Max]]/InterspecUsage[[#This Row],[Usage-Delta-MB]],InterspecUsage[[#This Row],[Free-of-Max]])</f>
        <v>192.984375</v>
      </c>
    </row>
    <row r="225" spans="1:14" x14ac:dyDescent="0.25">
      <c r="A225" s="3">
        <v>44396</v>
      </c>
      <c r="B225" t="s">
        <v>27</v>
      </c>
      <c r="C225">
        <v>79</v>
      </c>
      <c r="D225">
        <v>131072</v>
      </c>
      <c r="E225">
        <v>27292</v>
      </c>
      <c r="F225">
        <v>103780</v>
      </c>
      <c r="G225">
        <v>21</v>
      </c>
      <c r="H225">
        <v>131072</v>
      </c>
      <c r="I225">
        <v>79</v>
      </c>
      <c r="J225" t="s">
        <v>1</v>
      </c>
      <c r="K225" t="s">
        <v>2</v>
      </c>
      <c r="L225" s="8">
        <f>InterspecUsage[[#This Row],[Used-MB]]-F215</f>
        <v>576</v>
      </c>
      <c r="M225">
        <f>InterspecUsage[[#This Row],[Max]]-InterspecUsage[[#This Row],[Used-MB]]</f>
        <v>27292</v>
      </c>
      <c r="N225" s="5">
        <f>IF($L225&gt;0,InterspecUsage[[#This Row],[Free-of-Max]]/InterspecUsage[[#This Row],[Usage-Delta-MB]],InterspecUsage[[#This Row],[Free-of-Max]])</f>
        <v>47.381944444444443</v>
      </c>
    </row>
    <row r="226" spans="1:14" x14ac:dyDescent="0.25">
      <c r="A226" s="3">
        <v>44396</v>
      </c>
      <c r="B226" t="s">
        <v>7</v>
      </c>
      <c r="C226">
        <v>95</v>
      </c>
      <c r="D226">
        <v>930</v>
      </c>
      <c r="E226">
        <v>45</v>
      </c>
      <c r="F226">
        <v>885</v>
      </c>
      <c r="G226">
        <v>5</v>
      </c>
      <c r="H226">
        <v>32768</v>
      </c>
      <c r="I226">
        <v>3</v>
      </c>
      <c r="J226" t="s">
        <v>1</v>
      </c>
      <c r="K226" t="s">
        <v>2</v>
      </c>
      <c r="L226" s="8">
        <f>InterspecUsage[[#This Row],[Used-MB]]-F216</f>
        <v>7</v>
      </c>
      <c r="M226">
        <f>InterspecUsage[[#This Row],[Max]]-InterspecUsage[[#This Row],[Used-MB]]</f>
        <v>31883</v>
      </c>
      <c r="N226" s="5">
        <f>IF($L226&gt;0,InterspecUsage[[#This Row],[Free-of-Max]]/InterspecUsage[[#This Row],[Usage-Delta-MB]],InterspecUsage[[#This Row],[Free-of-Max]])</f>
        <v>4554.7142857142853</v>
      </c>
    </row>
    <row r="227" spans="1:14" x14ac:dyDescent="0.25">
      <c r="A227" s="3">
        <v>44396</v>
      </c>
      <c r="B227" t="s">
        <v>0</v>
      </c>
      <c r="C227">
        <v>98</v>
      </c>
      <c r="D227">
        <v>2860</v>
      </c>
      <c r="E227">
        <v>47</v>
      </c>
      <c r="F227">
        <v>2813</v>
      </c>
      <c r="G227">
        <v>2</v>
      </c>
      <c r="H227">
        <v>32768</v>
      </c>
      <c r="I227">
        <v>9</v>
      </c>
      <c r="J227" t="s">
        <v>1</v>
      </c>
      <c r="K227" t="s">
        <v>2</v>
      </c>
      <c r="L227" s="8">
        <f>InterspecUsage[[#This Row],[Used-MB]]-F217</f>
        <v>0</v>
      </c>
      <c r="M227">
        <f>InterspecUsage[[#This Row],[Max]]-InterspecUsage[[#This Row],[Used-MB]]</f>
        <v>29955</v>
      </c>
      <c r="N227" s="5">
        <f>IF($L227&gt;0,InterspecUsage[[#This Row],[Free-of-Max]]/InterspecUsage[[#This Row],[Usage-Delta-MB]],InterspecUsage[[#This Row],[Free-of-Max]])</f>
        <v>29955</v>
      </c>
    </row>
    <row r="228" spans="1:14" x14ac:dyDescent="0.25">
      <c r="A228" s="3">
        <v>44396</v>
      </c>
      <c r="B228" t="s">
        <v>30</v>
      </c>
      <c r="C228">
        <v>0</v>
      </c>
      <c r="D228">
        <v>32767</v>
      </c>
      <c r="E228">
        <v>32752</v>
      </c>
      <c r="F228">
        <v>15</v>
      </c>
      <c r="G228">
        <v>100</v>
      </c>
      <c r="H228">
        <v>32768</v>
      </c>
      <c r="I228">
        <v>0</v>
      </c>
      <c r="J228" t="s">
        <v>1</v>
      </c>
      <c r="K228" t="s">
        <v>13</v>
      </c>
      <c r="L228" s="8">
        <f>InterspecUsage[[#This Row],[Used-MB]]-F218</f>
        <v>3</v>
      </c>
      <c r="M228">
        <f>InterspecUsage[[#This Row],[Max]]-InterspecUsage[[#This Row],[Used-MB]]</f>
        <v>32753</v>
      </c>
      <c r="N228" s="5">
        <f>IF($L228&gt;0,InterspecUsage[[#This Row],[Free-of-Max]]/InterspecUsage[[#This Row],[Usage-Delta-MB]],InterspecUsage[[#This Row],[Free-of-Max]])</f>
        <v>10917.666666666666</v>
      </c>
    </row>
    <row r="229" spans="1:14" x14ac:dyDescent="0.25">
      <c r="A229" s="3">
        <v>44396</v>
      </c>
      <c r="B229" t="s">
        <v>28</v>
      </c>
      <c r="C229">
        <v>24</v>
      </c>
      <c r="D229">
        <v>16400</v>
      </c>
      <c r="E229">
        <v>12461</v>
      </c>
      <c r="F229">
        <v>3939</v>
      </c>
      <c r="G229">
        <v>76</v>
      </c>
      <c r="H229">
        <v>32768</v>
      </c>
      <c r="I229">
        <v>12</v>
      </c>
      <c r="J229" t="s">
        <v>1</v>
      </c>
      <c r="K229" t="s">
        <v>10</v>
      </c>
      <c r="L229" s="8">
        <f>InterspecUsage[[#This Row],[Used-MB]]-F219</f>
        <v>35</v>
      </c>
      <c r="M229">
        <f>InterspecUsage[[#This Row],[Max]]-InterspecUsage[[#This Row],[Used-MB]]</f>
        <v>28829</v>
      </c>
      <c r="N229" s="5">
        <f>IF($L229&gt;0,InterspecUsage[[#This Row],[Free-of-Max]]/InterspecUsage[[#This Row],[Usage-Delta-MB]],InterspecUsage[[#This Row],[Free-of-Max]])</f>
        <v>823.68571428571431</v>
      </c>
    </row>
    <row r="230" spans="1:14" x14ac:dyDescent="0.25">
      <c r="A230" s="3">
        <v>44396</v>
      </c>
      <c r="B230" t="s">
        <v>25</v>
      </c>
      <c r="C230">
        <v>95</v>
      </c>
      <c r="D230">
        <v>11800</v>
      </c>
      <c r="E230">
        <v>628</v>
      </c>
      <c r="F230">
        <v>11172</v>
      </c>
      <c r="G230">
        <v>5</v>
      </c>
      <c r="H230">
        <v>32768</v>
      </c>
      <c r="I230">
        <v>34</v>
      </c>
      <c r="J230" t="s">
        <v>1</v>
      </c>
      <c r="K230" t="s">
        <v>2</v>
      </c>
      <c r="L230" s="8">
        <f>InterspecUsage[[#This Row],[Used-MB]]-F220</f>
        <v>0</v>
      </c>
      <c r="M230">
        <f>InterspecUsage[[#This Row],[Max]]-InterspecUsage[[#This Row],[Used-MB]]</f>
        <v>21596</v>
      </c>
      <c r="N230" s="5">
        <f>IF($L230&gt;0,InterspecUsage[[#This Row],[Free-of-Max]]/InterspecUsage[[#This Row],[Usage-Delta-MB]],InterspecUsage[[#This Row],[Free-of-Max]])</f>
        <v>21596</v>
      </c>
    </row>
    <row r="231" spans="1:14" x14ac:dyDescent="0.25">
      <c r="A231" s="3">
        <v>44396</v>
      </c>
      <c r="B231" t="s">
        <v>29</v>
      </c>
      <c r="C231">
        <v>0</v>
      </c>
      <c r="D231">
        <v>500</v>
      </c>
      <c r="E231">
        <v>499</v>
      </c>
      <c r="F231">
        <v>1</v>
      </c>
      <c r="G231">
        <v>100</v>
      </c>
      <c r="H231">
        <v>500</v>
      </c>
      <c r="I231">
        <v>0</v>
      </c>
      <c r="J231" t="s">
        <v>1</v>
      </c>
      <c r="K231" t="s">
        <v>2</v>
      </c>
      <c r="L231" s="8">
        <f>InterspecUsage[[#This Row],[Used-MB]]-F221</f>
        <v>0</v>
      </c>
      <c r="M231">
        <f>InterspecUsage[[#This Row],[Max]]-InterspecUsage[[#This Row],[Used-MB]]</f>
        <v>499</v>
      </c>
      <c r="N231" s="5">
        <f>IF($L231&gt;0,InterspecUsage[[#This Row],[Free-of-Max]]/InterspecUsage[[#This Row],[Usage-Delta-MB]],InterspecUsage[[#This Row],[Free-of-Max]])</f>
        <v>499</v>
      </c>
    </row>
    <row r="232" spans="1:14" x14ac:dyDescent="0.25">
      <c r="A232" s="3">
        <v>44403</v>
      </c>
      <c r="B232" t="s">
        <v>26</v>
      </c>
      <c r="C232">
        <v>93</v>
      </c>
      <c r="D232">
        <v>17788</v>
      </c>
      <c r="E232">
        <v>1256</v>
      </c>
      <c r="F232">
        <v>16532</v>
      </c>
      <c r="G232">
        <v>7</v>
      </c>
      <c r="H232">
        <v>40960</v>
      </c>
      <c r="I232">
        <v>40</v>
      </c>
      <c r="J232" t="s">
        <v>1</v>
      </c>
      <c r="K232" t="s">
        <v>2</v>
      </c>
      <c r="L232" s="8">
        <f>InterspecUsage[[#This Row],[Used-MB]]-F222</f>
        <v>64</v>
      </c>
      <c r="M232">
        <f>InterspecUsage[[#This Row],[Max]]-InterspecUsage[[#This Row],[Used-MB]]</f>
        <v>24428</v>
      </c>
      <c r="N232" s="5">
        <f>IF($L232&gt;0,InterspecUsage[[#This Row],[Free-of-Max]]/InterspecUsage[[#This Row],[Usage-Delta-MB]],InterspecUsage[[#This Row],[Free-of-Max]])</f>
        <v>381.6875</v>
      </c>
    </row>
    <row r="233" spans="1:14" x14ac:dyDescent="0.25">
      <c r="A233" s="3">
        <v>44403</v>
      </c>
      <c r="B233" t="s">
        <v>24</v>
      </c>
      <c r="C233">
        <v>98</v>
      </c>
      <c r="D233">
        <v>18000</v>
      </c>
      <c r="E233">
        <v>410</v>
      </c>
      <c r="F233">
        <v>17590</v>
      </c>
      <c r="G233">
        <v>2</v>
      </c>
      <c r="H233">
        <v>32768</v>
      </c>
      <c r="I233">
        <v>54</v>
      </c>
      <c r="J233" t="s">
        <v>1</v>
      </c>
      <c r="K233" t="s">
        <v>2</v>
      </c>
      <c r="L233" s="8">
        <f>InterspecUsage[[#This Row],[Used-MB]]-F223</f>
        <v>8</v>
      </c>
      <c r="M233">
        <f>InterspecUsage[[#This Row],[Max]]-InterspecUsage[[#This Row],[Used-MB]]</f>
        <v>15178</v>
      </c>
      <c r="N233" s="5">
        <f>IF($L233&gt;0,InterspecUsage[[#This Row],[Free-of-Max]]/InterspecUsage[[#This Row],[Usage-Delta-MB]],InterspecUsage[[#This Row],[Free-of-Max]])</f>
        <v>1897.25</v>
      </c>
    </row>
    <row r="234" spans="1:14" x14ac:dyDescent="0.25">
      <c r="A234" s="3">
        <v>44403</v>
      </c>
      <c r="B234" t="s">
        <v>35</v>
      </c>
      <c r="C234">
        <v>95</v>
      </c>
      <c r="D234">
        <v>21600</v>
      </c>
      <c r="E234">
        <v>1119</v>
      </c>
      <c r="F234">
        <v>20481</v>
      </c>
      <c r="G234">
        <v>5</v>
      </c>
      <c r="H234">
        <v>32768</v>
      </c>
      <c r="I234">
        <v>63</v>
      </c>
      <c r="J234" t="s">
        <v>1</v>
      </c>
      <c r="K234" t="s">
        <v>2</v>
      </c>
      <c r="L234" s="8">
        <f>InterspecUsage[[#This Row],[Used-MB]]-F224</f>
        <v>64</v>
      </c>
      <c r="M234">
        <f>InterspecUsage[[#This Row],[Max]]-InterspecUsage[[#This Row],[Used-MB]]</f>
        <v>12287</v>
      </c>
      <c r="N234" s="5">
        <f>IF($L234&gt;0,InterspecUsage[[#This Row],[Free-of-Max]]/InterspecUsage[[#This Row],[Usage-Delta-MB]],InterspecUsage[[#This Row],[Free-of-Max]])</f>
        <v>191.984375</v>
      </c>
    </row>
    <row r="235" spans="1:14" x14ac:dyDescent="0.25">
      <c r="A235" s="3">
        <v>44403</v>
      </c>
      <c r="B235" t="s">
        <v>27</v>
      </c>
      <c r="C235">
        <v>79</v>
      </c>
      <c r="D235">
        <v>131072</v>
      </c>
      <c r="E235">
        <v>27161</v>
      </c>
      <c r="F235">
        <v>103911</v>
      </c>
      <c r="G235">
        <v>21</v>
      </c>
      <c r="H235">
        <v>131072</v>
      </c>
      <c r="I235">
        <v>79</v>
      </c>
      <c r="J235" t="s">
        <v>1</v>
      </c>
      <c r="K235" t="s">
        <v>2</v>
      </c>
      <c r="L235" s="8">
        <f>InterspecUsage[[#This Row],[Used-MB]]-F225</f>
        <v>131</v>
      </c>
      <c r="M235">
        <f>InterspecUsage[[#This Row],[Max]]-InterspecUsage[[#This Row],[Used-MB]]</f>
        <v>27161</v>
      </c>
      <c r="N235" s="5">
        <f>IF($L235&gt;0,InterspecUsage[[#This Row],[Free-of-Max]]/InterspecUsage[[#This Row],[Usage-Delta-MB]],InterspecUsage[[#This Row],[Free-of-Max]])</f>
        <v>207.33587786259542</v>
      </c>
    </row>
    <row r="236" spans="1:14" x14ac:dyDescent="0.25">
      <c r="A236" s="3">
        <v>44403</v>
      </c>
      <c r="B236" t="s">
        <v>7</v>
      </c>
      <c r="C236">
        <v>96</v>
      </c>
      <c r="D236">
        <v>930</v>
      </c>
      <c r="E236">
        <v>36</v>
      </c>
      <c r="F236">
        <v>894</v>
      </c>
      <c r="G236">
        <v>4</v>
      </c>
      <c r="H236">
        <v>32768</v>
      </c>
      <c r="I236">
        <v>3</v>
      </c>
      <c r="J236" t="s">
        <v>1</v>
      </c>
      <c r="K236" t="s">
        <v>2</v>
      </c>
      <c r="L236" s="8">
        <f>InterspecUsage[[#This Row],[Used-MB]]-F226</f>
        <v>9</v>
      </c>
      <c r="M236">
        <f>InterspecUsage[[#This Row],[Max]]-InterspecUsage[[#This Row],[Used-MB]]</f>
        <v>31874</v>
      </c>
      <c r="N236" s="5">
        <f>IF($L236&gt;0,InterspecUsage[[#This Row],[Free-of-Max]]/InterspecUsage[[#This Row],[Usage-Delta-MB]],InterspecUsage[[#This Row],[Free-of-Max]])</f>
        <v>3541.5555555555557</v>
      </c>
    </row>
    <row r="237" spans="1:14" x14ac:dyDescent="0.25">
      <c r="A237" s="3">
        <v>44403</v>
      </c>
      <c r="B237" t="s">
        <v>0</v>
      </c>
      <c r="C237">
        <v>98</v>
      </c>
      <c r="D237">
        <v>2930</v>
      </c>
      <c r="E237">
        <v>53</v>
      </c>
      <c r="F237">
        <v>2877</v>
      </c>
      <c r="G237">
        <v>2</v>
      </c>
      <c r="H237">
        <v>32768</v>
      </c>
      <c r="I237">
        <v>9</v>
      </c>
      <c r="J237" t="s">
        <v>1</v>
      </c>
      <c r="K237" t="s">
        <v>2</v>
      </c>
      <c r="L237" s="8">
        <f>InterspecUsage[[#This Row],[Used-MB]]-F227</f>
        <v>64</v>
      </c>
      <c r="M237">
        <f>InterspecUsage[[#This Row],[Max]]-InterspecUsage[[#This Row],[Used-MB]]</f>
        <v>29891</v>
      </c>
      <c r="N237" s="5">
        <f>IF($L237&gt;0,InterspecUsage[[#This Row],[Free-of-Max]]/InterspecUsage[[#This Row],[Usage-Delta-MB]],InterspecUsage[[#This Row],[Free-of-Max]])</f>
        <v>467.046875</v>
      </c>
    </row>
    <row r="238" spans="1:14" x14ac:dyDescent="0.25">
      <c r="A238" s="3">
        <v>44403</v>
      </c>
      <c r="B238" t="s">
        <v>30</v>
      </c>
      <c r="C238">
        <v>0</v>
      </c>
      <c r="D238">
        <v>32767</v>
      </c>
      <c r="E238">
        <v>32746</v>
      </c>
      <c r="F238">
        <v>21</v>
      </c>
      <c r="G238">
        <v>100</v>
      </c>
      <c r="H238">
        <v>32768</v>
      </c>
      <c r="I238">
        <v>0</v>
      </c>
      <c r="J238" t="s">
        <v>1</v>
      </c>
      <c r="K238" t="s">
        <v>13</v>
      </c>
      <c r="L238" s="8">
        <f>InterspecUsage[[#This Row],[Used-MB]]-F228</f>
        <v>6</v>
      </c>
      <c r="M238">
        <f>InterspecUsage[[#This Row],[Max]]-InterspecUsage[[#This Row],[Used-MB]]</f>
        <v>32747</v>
      </c>
      <c r="N238" s="5">
        <f>IF($L238&gt;0,InterspecUsage[[#This Row],[Free-of-Max]]/InterspecUsage[[#This Row],[Usage-Delta-MB]],InterspecUsage[[#This Row],[Free-of-Max]])</f>
        <v>5457.833333333333</v>
      </c>
    </row>
    <row r="239" spans="1:14" x14ac:dyDescent="0.25">
      <c r="A239" s="3">
        <v>44403</v>
      </c>
      <c r="B239" t="s">
        <v>28</v>
      </c>
      <c r="C239">
        <v>24</v>
      </c>
      <c r="D239">
        <v>16400</v>
      </c>
      <c r="E239">
        <v>12483</v>
      </c>
      <c r="F239">
        <v>3917</v>
      </c>
      <c r="G239">
        <v>76</v>
      </c>
      <c r="H239">
        <v>32768</v>
      </c>
      <c r="I239">
        <v>12</v>
      </c>
      <c r="J239" t="s">
        <v>1</v>
      </c>
      <c r="K239" t="s">
        <v>10</v>
      </c>
      <c r="L239" s="8">
        <f>InterspecUsage[[#This Row],[Used-MB]]-F229</f>
        <v>-22</v>
      </c>
      <c r="M239">
        <f>InterspecUsage[[#This Row],[Max]]-InterspecUsage[[#This Row],[Used-MB]]</f>
        <v>28851</v>
      </c>
      <c r="N239" s="5">
        <f>IF($L239&gt;0,InterspecUsage[[#This Row],[Free-of-Max]]/InterspecUsage[[#This Row],[Usage-Delta-MB]],InterspecUsage[[#This Row],[Free-of-Max]])</f>
        <v>28851</v>
      </c>
    </row>
    <row r="240" spans="1:14" x14ac:dyDescent="0.25">
      <c r="A240" s="3">
        <v>44403</v>
      </c>
      <c r="B240" t="s">
        <v>25</v>
      </c>
      <c r="C240">
        <v>75</v>
      </c>
      <c r="D240">
        <v>11800</v>
      </c>
      <c r="E240">
        <v>2998</v>
      </c>
      <c r="F240">
        <v>8802</v>
      </c>
      <c r="G240">
        <v>25</v>
      </c>
      <c r="H240">
        <v>32768</v>
      </c>
      <c r="I240">
        <v>27</v>
      </c>
      <c r="J240" t="s">
        <v>1</v>
      </c>
      <c r="K240" t="s">
        <v>2</v>
      </c>
      <c r="L240" s="8">
        <f>InterspecUsage[[#This Row],[Used-MB]]-F230</f>
        <v>-2370</v>
      </c>
      <c r="M240">
        <f>InterspecUsage[[#This Row],[Max]]-InterspecUsage[[#This Row],[Used-MB]]</f>
        <v>23966</v>
      </c>
      <c r="N240" s="5">
        <f>IF($L240&gt;0,InterspecUsage[[#This Row],[Free-of-Max]]/InterspecUsage[[#This Row],[Usage-Delta-MB]],InterspecUsage[[#This Row],[Free-of-Max]])</f>
        <v>23966</v>
      </c>
    </row>
    <row r="241" spans="1:14" x14ac:dyDescent="0.25">
      <c r="A241" s="3">
        <v>44403</v>
      </c>
      <c r="B241" t="s">
        <v>29</v>
      </c>
      <c r="C241">
        <v>0</v>
      </c>
      <c r="D241">
        <v>500</v>
      </c>
      <c r="E241">
        <v>499</v>
      </c>
      <c r="F241">
        <v>1</v>
      </c>
      <c r="G241">
        <v>100</v>
      </c>
      <c r="H241">
        <v>500</v>
      </c>
      <c r="I241">
        <v>0</v>
      </c>
      <c r="J241" t="s">
        <v>1</v>
      </c>
      <c r="K241" t="s">
        <v>2</v>
      </c>
      <c r="L241" s="8">
        <f>InterspecUsage[[#This Row],[Used-MB]]-F231</f>
        <v>0</v>
      </c>
      <c r="M241">
        <f>InterspecUsage[[#This Row],[Max]]-InterspecUsage[[#This Row],[Used-MB]]</f>
        <v>499</v>
      </c>
      <c r="N241" s="5">
        <f>IF($L241&gt;0,InterspecUsage[[#This Row],[Free-of-Max]]/InterspecUsage[[#This Row],[Usage-Delta-MB]],InterspecUsage[[#This Row],[Free-of-Max]])</f>
        <v>499</v>
      </c>
    </row>
    <row r="242" spans="1:14" x14ac:dyDescent="0.25">
      <c r="A242" s="3">
        <v>44410</v>
      </c>
      <c r="B242" t="s">
        <v>26</v>
      </c>
      <c r="C242">
        <v>93</v>
      </c>
      <c r="D242">
        <v>17788</v>
      </c>
      <c r="E242">
        <v>1256</v>
      </c>
      <c r="F242">
        <v>16532</v>
      </c>
      <c r="G242">
        <v>7</v>
      </c>
      <c r="H242">
        <v>40960</v>
      </c>
      <c r="I242">
        <v>40</v>
      </c>
      <c r="J242" t="s">
        <v>1</v>
      </c>
      <c r="K242" t="s">
        <v>2</v>
      </c>
      <c r="L242" s="8">
        <f>InterspecUsage[[#This Row],[Used-MB]]-F232</f>
        <v>0</v>
      </c>
      <c r="M242">
        <f>InterspecUsage[[#This Row],[Max]]-InterspecUsage[[#This Row],[Used-MB]]</f>
        <v>24428</v>
      </c>
      <c r="N242" s="5">
        <f>IF($L242&gt;0,InterspecUsage[[#This Row],[Free-of-Max]]/InterspecUsage[[#This Row],[Usage-Delta-MB]],InterspecUsage[[#This Row],[Free-of-Max]])</f>
        <v>24428</v>
      </c>
    </row>
    <row r="243" spans="1:14" x14ac:dyDescent="0.25">
      <c r="A243" s="3">
        <v>44410</v>
      </c>
      <c r="B243" t="s">
        <v>24</v>
      </c>
      <c r="C243">
        <v>98</v>
      </c>
      <c r="D243">
        <v>18000</v>
      </c>
      <c r="E243">
        <v>409</v>
      </c>
      <c r="F243">
        <v>17591</v>
      </c>
      <c r="G243">
        <v>2</v>
      </c>
      <c r="H243">
        <v>32768</v>
      </c>
      <c r="I243">
        <v>54</v>
      </c>
      <c r="J243" t="s">
        <v>1</v>
      </c>
      <c r="K243" t="s">
        <v>2</v>
      </c>
      <c r="L243" s="8">
        <f>InterspecUsage[[#This Row],[Used-MB]]-F233</f>
        <v>1</v>
      </c>
      <c r="M243">
        <f>InterspecUsage[[#This Row],[Max]]-InterspecUsage[[#This Row],[Used-MB]]</f>
        <v>15177</v>
      </c>
      <c r="N243" s="5">
        <f>IF($L243&gt;0,InterspecUsage[[#This Row],[Free-of-Max]]/InterspecUsage[[#This Row],[Usage-Delta-MB]],InterspecUsage[[#This Row],[Free-of-Max]])</f>
        <v>15177</v>
      </c>
    </row>
    <row r="244" spans="1:14" x14ac:dyDescent="0.25">
      <c r="A244" s="3">
        <v>44410</v>
      </c>
      <c r="B244" t="s">
        <v>35</v>
      </c>
      <c r="C244">
        <v>95</v>
      </c>
      <c r="D244">
        <v>21600</v>
      </c>
      <c r="E244">
        <v>1119</v>
      </c>
      <c r="F244">
        <v>20481</v>
      </c>
      <c r="G244">
        <v>5</v>
      </c>
      <c r="H244">
        <v>32768</v>
      </c>
      <c r="I244">
        <v>63</v>
      </c>
      <c r="J244" t="s">
        <v>1</v>
      </c>
      <c r="K244" t="s">
        <v>2</v>
      </c>
      <c r="L244" s="8">
        <f>InterspecUsage[[#This Row],[Used-MB]]-F234</f>
        <v>0</v>
      </c>
      <c r="M244">
        <f>InterspecUsage[[#This Row],[Max]]-InterspecUsage[[#This Row],[Used-MB]]</f>
        <v>12287</v>
      </c>
      <c r="N244" s="5">
        <f>IF($L244&gt;0,InterspecUsage[[#This Row],[Free-of-Max]]/InterspecUsage[[#This Row],[Usage-Delta-MB]],InterspecUsage[[#This Row],[Free-of-Max]])</f>
        <v>12287</v>
      </c>
    </row>
    <row r="245" spans="1:14" x14ac:dyDescent="0.25">
      <c r="A245" s="3">
        <v>44410</v>
      </c>
      <c r="B245" t="s">
        <v>27</v>
      </c>
      <c r="C245">
        <v>79</v>
      </c>
      <c r="D245">
        <v>131072</v>
      </c>
      <c r="E245">
        <v>26967</v>
      </c>
      <c r="F245">
        <v>104105</v>
      </c>
      <c r="G245">
        <v>21</v>
      </c>
      <c r="H245">
        <v>131072</v>
      </c>
      <c r="I245">
        <v>79</v>
      </c>
      <c r="J245" t="s">
        <v>1</v>
      </c>
      <c r="K245" t="s">
        <v>2</v>
      </c>
      <c r="L245" s="8">
        <f>InterspecUsage[[#This Row],[Used-MB]]-F235</f>
        <v>194</v>
      </c>
      <c r="M245">
        <f>InterspecUsage[[#This Row],[Max]]-InterspecUsage[[#This Row],[Used-MB]]</f>
        <v>26967</v>
      </c>
      <c r="N245" s="5">
        <f>IF($L245&gt;0,InterspecUsage[[#This Row],[Free-of-Max]]/InterspecUsage[[#This Row],[Usage-Delta-MB]],InterspecUsage[[#This Row],[Free-of-Max]])</f>
        <v>139.00515463917526</v>
      </c>
    </row>
    <row r="246" spans="1:14" x14ac:dyDescent="0.25">
      <c r="A246" s="3">
        <v>44410</v>
      </c>
      <c r="B246" t="s">
        <v>7</v>
      </c>
      <c r="C246">
        <v>95</v>
      </c>
      <c r="D246">
        <v>940</v>
      </c>
      <c r="E246">
        <v>47</v>
      </c>
      <c r="F246">
        <v>893</v>
      </c>
      <c r="G246">
        <v>5</v>
      </c>
      <c r="H246">
        <v>32768</v>
      </c>
      <c r="I246">
        <v>3</v>
      </c>
      <c r="J246" t="s">
        <v>1</v>
      </c>
      <c r="K246" t="s">
        <v>2</v>
      </c>
      <c r="L246" s="8">
        <f>InterspecUsage[[#This Row],[Used-MB]]-F236</f>
        <v>-1</v>
      </c>
      <c r="M246">
        <f>InterspecUsage[[#This Row],[Max]]-InterspecUsage[[#This Row],[Used-MB]]</f>
        <v>31875</v>
      </c>
      <c r="N246" s="5">
        <f>IF($L246&gt;0,InterspecUsage[[#This Row],[Free-of-Max]]/InterspecUsage[[#This Row],[Usage-Delta-MB]],InterspecUsage[[#This Row],[Free-of-Max]])</f>
        <v>31875</v>
      </c>
    </row>
    <row r="247" spans="1:14" x14ac:dyDescent="0.25">
      <c r="A247" s="3">
        <v>44410</v>
      </c>
      <c r="B247" t="s">
        <v>0</v>
      </c>
      <c r="C247">
        <v>98</v>
      </c>
      <c r="D247">
        <v>2930</v>
      </c>
      <c r="E247">
        <v>52</v>
      </c>
      <c r="F247">
        <v>2878</v>
      </c>
      <c r="G247">
        <v>2</v>
      </c>
      <c r="H247">
        <v>32768</v>
      </c>
      <c r="I247">
        <v>9</v>
      </c>
      <c r="J247" t="s">
        <v>1</v>
      </c>
      <c r="K247" t="s">
        <v>2</v>
      </c>
      <c r="L247" s="8">
        <f>InterspecUsage[[#This Row],[Used-MB]]-F237</f>
        <v>1</v>
      </c>
      <c r="M247">
        <f>InterspecUsage[[#This Row],[Max]]-InterspecUsage[[#This Row],[Used-MB]]</f>
        <v>29890</v>
      </c>
      <c r="N247" s="5">
        <f>IF($L247&gt;0,InterspecUsage[[#This Row],[Free-of-Max]]/InterspecUsage[[#This Row],[Usage-Delta-MB]],InterspecUsage[[#This Row],[Free-of-Max]])</f>
        <v>29890</v>
      </c>
    </row>
    <row r="248" spans="1:14" x14ac:dyDescent="0.25">
      <c r="A248" s="3">
        <v>44410</v>
      </c>
      <c r="B248" t="s">
        <v>30</v>
      </c>
      <c r="C248">
        <v>0</v>
      </c>
      <c r="D248">
        <v>32767</v>
      </c>
      <c r="E248">
        <v>32755</v>
      </c>
      <c r="F248">
        <v>12</v>
      </c>
      <c r="G248">
        <v>100</v>
      </c>
      <c r="H248">
        <v>32768</v>
      </c>
      <c r="I248">
        <v>0</v>
      </c>
      <c r="J248" t="s">
        <v>1</v>
      </c>
      <c r="K248" t="s">
        <v>13</v>
      </c>
      <c r="L248" s="8">
        <f>InterspecUsage[[#This Row],[Used-MB]]-F238</f>
        <v>-9</v>
      </c>
      <c r="M248">
        <f>InterspecUsage[[#This Row],[Max]]-InterspecUsage[[#This Row],[Used-MB]]</f>
        <v>32756</v>
      </c>
      <c r="N248" s="5">
        <f>IF($L248&gt;0,InterspecUsage[[#This Row],[Free-of-Max]]/InterspecUsage[[#This Row],[Usage-Delta-MB]],InterspecUsage[[#This Row],[Free-of-Max]])</f>
        <v>32756</v>
      </c>
    </row>
    <row r="249" spans="1:14" x14ac:dyDescent="0.25">
      <c r="A249" s="3">
        <v>44410</v>
      </c>
      <c r="B249" t="s">
        <v>28</v>
      </c>
      <c r="C249">
        <v>24</v>
      </c>
      <c r="D249">
        <v>16400</v>
      </c>
      <c r="E249">
        <v>12471</v>
      </c>
      <c r="F249">
        <v>3929</v>
      </c>
      <c r="G249">
        <v>76</v>
      </c>
      <c r="H249">
        <v>32768</v>
      </c>
      <c r="I249">
        <v>12</v>
      </c>
      <c r="J249" t="s">
        <v>1</v>
      </c>
      <c r="K249" t="s">
        <v>10</v>
      </c>
      <c r="L249" s="8">
        <f>InterspecUsage[[#This Row],[Used-MB]]-F239</f>
        <v>12</v>
      </c>
      <c r="M249">
        <f>InterspecUsage[[#This Row],[Max]]-InterspecUsage[[#This Row],[Used-MB]]</f>
        <v>28839</v>
      </c>
      <c r="N249" s="5">
        <f>IF($L249&gt;0,InterspecUsage[[#This Row],[Free-of-Max]]/InterspecUsage[[#This Row],[Usage-Delta-MB]],InterspecUsage[[#This Row],[Free-of-Max]])</f>
        <v>2403.25</v>
      </c>
    </row>
    <row r="250" spans="1:14" x14ac:dyDescent="0.25">
      <c r="A250" s="3">
        <v>44410</v>
      </c>
      <c r="B250" t="s">
        <v>25</v>
      </c>
      <c r="C250">
        <v>75</v>
      </c>
      <c r="D250">
        <v>11800</v>
      </c>
      <c r="E250">
        <v>2998</v>
      </c>
      <c r="F250">
        <v>8802</v>
      </c>
      <c r="G250">
        <v>25</v>
      </c>
      <c r="H250">
        <v>32768</v>
      </c>
      <c r="I250">
        <v>27</v>
      </c>
      <c r="J250" t="s">
        <v>1</v>
      </c>
      <c r="K250" t="s">
        <v>2</v>
      </c>
      <c r="L250" s="8">
        <f>InterspecUsage[[#This Row],[Used-MB]]-F240</f>
        <v>0</v>
      </c>
      <c r="M250">
        <f>InterspecUsage[[#This Row],[Max]]-InterspecUsage[[#This Row],[Used-MB]]</f>
        <v>23966</v>
      </c>
      <c r="N250" s="5">
        <f>IF($L250&gt;0,InterspecUsage[[#This Row],[Free-of-Max]]/InterspecUsage[[#This Row],[Usage-Delta-MB]],InterspecUsage[[#This Row],[Free-of-Max]])</f>
        <v>23966</v>
      </c>
    </row>
    <row r="251" spans="1:14" x14ac:dyDescent="0.25">
      <c r="A251" s="3">
        <v>44410</v>
      </c>
      <c r="B251" t="s">
        <v>29</v>
      </c>
      <c r="C251">
        <v>0</v>
      </c>
      <c r="D251">
        <v>500</v>
      </c>
      <c r="E251">
        <v>499</v>
      </c>
      <c r="F251">
        <v>1</v>
      </c>
      <c r="G251">
        <v>100</v>
      </c>
      <c r="H251">
        <v>500</v>
      </c>
      <c r="I251">
        <v>0</v>
      </c>
      <c r="J251" t="s">
        <v>1</v>
      </c>
      <c r="K251" t="s">
        <v>2</v>
      </c>
      <c r="L251" s="8">
        <f>InterspecUsage[[#This Row],[Used-MB]]-F241</f>
        <v>0</v>
      </c>
      <c r="M251">
        <f>InterspecUsage[[#This Row],[Max]]-InterspecUsage[[#This Row],[Used-MB]]</f>
        <v>499</v>
      </c>
      <c r="N251" s="5">
        <f>IF($L251&gt;0,InterspecUsage[[#This Row],[Free-of-Max]]/InterspecUsage[[#This Row],[Usage-Delta-MB]],InterspecUsage[[#This Row],[Free-of-Max]])</f>
        <v>499</v>
      </c>
    </row>
    <row r="252" spans="1:14" x14ac:dyDescent="0.25">
      <c r="A252" s="3">
        <v>44417</v>
      </c>
      <c r="B252" t="s">
        <v>26</v>
      </c>
      <c r="C252">
        <v>93</v>
      </c>
      <c r="D252">
        <v>17788</v>
      </c>
      <c r="E252">
        <v>1192</v>
      </c>
      <c r="F252">
        <v>16596</v>
      </c>
      <c r="G252">
        <v>7</v>
      </c>
      <c r="H252">
        <v>40960</v>
      </c>
      <c r="I252">
        <v>41</v>
      </c>
      <c r="J252" t="s">
        <v>1</v>
      </c>
      <c r="K252" t="s">
        <v>2</v>
      </c>
      <c r="L252" s="8">
        <f>InterspecUsage[[#This Row],[Used-MB]]-F242</f>
        <v>64</v>
      </c>
      <c r="M252">
        <f>InterspecUsage[[#This Row],[Max]]-InterspecUsage[[#This Row],[Used-MB]]</f>
        <v>24364</v>
      </c>
      <c r="N252" s="5">
        <f>IF($L252&gt;0,InterspecUsage[[#This Row],[Free-of-Max]]/InterspecUsage[[#This Row],[Usage-Delta-MB]],InterspecUsage[[#This Row],[Free-of-Max]])</f>
        <v>380.6875</v>
      </c>
    </row>
    <row r="253" spans="1:14" x14ac:dyDescent="0.25">
      <c r="A253" s="3">
        <v>44417</v>
      </c>
      <c r="B253" t="s">
        <v>24</v>
      </c>
      <c r="C253">
        <v>98</v>
      </c>
      <c r="D253">
        <v>18000</v>
      </c>
      <c r="E253">
        <v>409</v>
      </c>
      <c r="F253">
        <v>17591</v>
      </c>
      <c r="G253">
        <v>2</v>
      </c>
      <c r="H253">
        <v>32768</v>
      </c>
      <c r="I253">
        <v>54</v>
      </c>
      <c r="J253" t="s">
        <v>1</v>
      </c>
      <c r="K253" t="s">
        <v>2</v>
      </c>
      <c r="L253" s="8">
        <f>InterspecUsage[[#This Row],[Used-MB]]-F243</f>
        <v>0</v>
      </c>
      <c r="M253">
        <f>InterspecUsage[[#This Row],[Max]]-InterspecUsage[[#This Row],[Used-MB]]</f>
        <v>15177</v>
      </c>
      <c r="N253" s="5">
        <f>IF($L253&gt;0,InterspecUsage[[#This Row],[Free-of-Max]]/InterspecUsage[[#This Row],[Usage-Delta-MB]],InterspecUsage[[#This Row],[Free-of-Max]])</f>
        <v>15177</v>
      </c>
    </row>
    <row r="254" spans="1:14" x14ac:dyDescent="0.25">
      <c r="A254" s="3">
        <v>44417</v>
      </c>
      <c r="B254" t="s">
        <v>35</v>
      </c>
      <c r="C254">
        <v>95</v>
      </c>
      <c r="D254">
        <v>21600</v>
      </c>
      <c r="E254">
        <v>1119</v>
      </c>
      <c r="F254">
        <v>20481</v>
      </c>
      <c r="G254">
        <v>5</v>
      </c>
      <c r="H254">
        <v>32768</v>
      </c>
      <c r="I254">
        <v>63</v>
      </c>
      <c r="J254" t="s">
        <v>1</v>
      </c>
      <c r="K254" t="s">
        <v>2</v>
      </c>
      <c r="L254" s="8">
        <f>InterspecUsage[[#This Row],[Used-MB]]-F244</f>
        <v>0</v>
      </c>
      <c r="M254">
        <f>InterspecUsage[[#This Row],[Max]]-InterspecUsage[[#This Row],[Used-MB]]</f>
        <v>12287</v>
      </c>
      <c r="N254" s="5">
        <f>IF($L254&gt;0,InterspecUsage[[#This Row],[Free-of-Max]]/InterspecUsage[[#This Row],[Usage-Delta-MB]],InterspecUsage[[#This Row],[Free-of-Max]])</f>
        <v>12287</v>
      </c>
    </row>
    <row r="255" spans="1:14" x14ac:dyDescent="0.25">
      <c r="A255" s="3">
        <v>44417</v>
      </c>
      <c r="B255" t="s">
        <v>27</v>
      </c>
      <c r="C255">
        <v>80</v>
      </c>
      <c r="D255">
        <v>131072</v>
      </c>
      <c r="E255">
        <v>26837</v>
      </c>
      <c r="F255">
        <v>104235</v>
      </c>
      <c r="G255">
        <v>20</v>
      </c>
      <c r="H255">
        <v>131072</v>
      </c>
      <c r="I255">
        <v>80</v>
      </c>
      <c r="J255" t="s">
        <v>1</v>
      </c>
      <c r="K255" t="s">
        <v>2</v>
      </c>
      <c r="L255" s="8">
        <f>InterspecUsage[[#This Row],[Used-MB]]-F245</f>
        <v>130</v>
      </c>
      <c r="M255">
        <f>InterspecUsage[[#This Row],[Max]]-InterspecUsage[[#This Row],[Used-MB]]</f>
        <v>26837</v>
      </c>
      <c r="N255" s="5">
        <f>IF($L255&gt;0,InterspecUsage[[#This Row],[Free-of-Max]]/InterspecUsage[[#This Row],[Usage-Delta-MB]],InterspecUsage[[#This Row],[Free-of-Max]])</f>
        <v>206.43846153846152</v>
      </c>
    </row>
    <row r="256" spans="1:14" x14ac:dyDescent="0.25">
      <c r="A256" s="3">
        <v>44417</v>
      </c>
      <c r="B256" t="s">
        <v>7</v>
      </c>
      <c r="C256">
        <v>96</v>
      </c>
      <c r="D256">
        <v>940</v>
      </c>
      <c r="E256">
        <v>38</v>
      </c>
      <c r="F256">
        <v>902</v>
      </c>
      <c r="G256">
        <v>4</v>
      </c>
      <c r="H256">
        <v>32768</v>
      </c>
      <c r="I256">
        <v>3</v>
      </c>
      <c r="J256" t="s">
        <v>1</v>
      </c>
      <c r="K256" t="s">
        <v>2</v>
      </c>
      <c r="L256" s="8">
        <f>InterspecUsage[[#This Row],[Used-MB]]-F246</f>
        <v>9</v>
      </c>
      <c r="M256">
        <f>InterspecUsage[[#This Row],[Max]]-InterspecUsage[[#This Row],[Used-MB]]</f>
        <v>31866</v>
      </c>
      <c r="N256" s="5">
        <f>IF($L256&gt;0,InterspecUsage[[#This Row],[Free-of-Max]]/InterspecUsage[[#This Row],[Usage-Delta-MB]],InterspecUsage[[#This Row],[Free-of-Max]])</f>
        <v>3540.6666666666665</v>
      </c>
    </row>
    <row r="257" spans="1:14" x14ac:dyDescent="0.25">
      <c r="A257" s="3">
        <v>44417</v>
      </c>
      <c r="B257" t="s">
        <v>0</v>
      </c>
      <c r="C257">
        <v>98</v>
      </c>
      <c r="D257">
        <v>2930</v>
      </c>
      <c r="E257">
        <v>52</v>
      </c>
      <c r="F257">
        <v>2878</v>
      </c>
      <c r="G257">
        <v>2</v>
      </c>
      <c r="H257">
        <v>32768</v>
      </c>
      <c r="I257">
        <v>9</v>
      </c>
      <c r="J257" t="s">
        <v>1</v>
      </c>
      <c r="K257" t="s">
        <v>2</v>
      </c>
      <c r="L257" s="8">
        <f>InterspecUsage[[#This Row],[Used-MB]]-F247</f>
        <v>0</v>
      </c>
      <c r="M257">
        <f>InterspecUsage[[#This Row],[Max]]-InterspecUsage[[#This Row],[Used-MB]]</f>
        <v>29890</v>
      </c>
      <c r="N257" s="5">
        <f>IF($L257&gt;0,InterspecUsage[[#This Row],[Free-of-Max]]/InterspecUsage[[#This Row],[Usage-Delta-MB]],InterspecUsage[[#This Row],[Free-of-Max]])</f>
        <v>29890</v>
      </c>
    </row>
    <row r="258" spans="1:14" x14ac:dyDescent="0.25">
      <c r="A258" s="3">
        <v>44417</v>
      </c>
      <c r="B258" t="s">
        <v>30</v>
      </c>
      <c r="C258">
        <v>0</v>
      </c>
      <c r="D258">
        <v>32767</v>
      </c>
      <c r="E258">
        <v>32756</v>
      </c>
      <c r="F258">
        <v>11</v>
      </c>
      <c r="G258">
        <v>100</v>
      </c>
      <c r="H258">
        <v>32768</v>
      </c>
      <c r="I258">
        <v>0</v>
      </c>
      <c r="J258" t="s">
        <v>1</v>
      </c>
      <c r="K258" t="s">
        <v>13</v>
      </c>
      <c r="L258" s="8">
        <f>InterspecUsage[[#This Row],[Used-MB]]-F248</f>
        <v>-1</v>
      </c>
      <c r="M258">
        <f>InterspecUsage[[#This Row],[Max]]-InterspecUsage[[#This Row],[Used-MB]]</f>
        <v>32757</v>
      </c>
      <c r="N258" s="5">
        <f>IF($L258&gt;0,InterspecUsage[[#This Row],[Free-of-Max]]/InterspecUsage[[#This Row],[Usage-Delta-MB]],InterspecUsage[[#This Row],[Free-of-Max]])</f>
        <v>32757</v>
      </c>
    </row>
    <row r="259" spans="1:14" x14ac:dyDescent="0.25">
      <c r="A259" s="3">
        <v>44417</v>
      </c>
      <c r="B259" t="s">
        <v>28</v>
      </c>
      <c r="C259">
        <v>24</v>
      </c>
      <c r="D259">
        <v>16400</v>
      </c>
      <c r="E259">
        <v>12499</v>
      </c>
      <c r="F259">
        <v>3901</v>
      </c>
      <c r="G259">
        <v>76</v>
      </c>
      <c r="H259">
        <v>32768</v>
      </c>
      <c r="I259">
        <v>12</v>
      </c>
      <c r="J259" t="s">
        <v>1</v>
      </c>
      <c r="K259" t="s">
        <v>10</v>
      </c>
      <c r="L259" s="8">
        <f>InterspecUsage[[#This Row],[Used-MB]]-F249</f>
        <v>-28</v>
      </c>
      <c r="M259">
        <f>InterspecUsage[[#This Row],[Max]]-InterspecUsage[[#This Row],[Used-MB]]</f>
        <v>28867</v>
      </c>
      <c r="N259" s="5">
        <f>IF($L259&gt;0,InterspecUsage[[#This Row],[Free-of-Max]]/InterspecUsage[[#This Row],[Usage-Delta-MB]],InterspecUsage[[#This Row],[Free-of-Max]])</f>
        <v>28867</v>
      </c>
    </row>
    <row r="260" spans="1:14" x14ac:dyDescent="0.25">
      <c r="A260" s="3">
        <v>44417</v>
      </c>
      <c r="B260" t="s">
        <v>25</v>
      </c>
      <c r="C260">
        <v>75</v>
      </c>
      <c r="D260">
        <v>11800</v>
      </c>
      <c r="E260">
        <v>2998</v>
      </c>
      <c r="F260">
        <v>8802</v>
      </c>
      <c r="G260">
        <v>25</v>
      </c>
      <c r="H260">
        <v>32768</v>
      </c>
      <c r="I260">
        <v>27</v>
      </c>
      <c r="J260" t="s">
        <v>1</v>
      </c>
      <c r="K260" t="s">
        <v>2</v>
      </c>
      <c r="L260" s="8">
        <f>InterspecUsage[[#This Row],[Used-MB]]-F250</f>
        <v>0</v>
      </c>
      <c r="M260">
        <f>InterspecUsage[[#This Row],[Max]]-InterspecUsage[[#This Row],[Used-MB]]</f>
        <v>23966</v>
      </c>
      <c r="N260" s="5">
        <f>IF($L260&gt;0,InterspecUsage[[#This Row],[Free-of-Max]]/InterspecUsage[[#This Row],[Usage-Delta-MB]],InterspecUsage[[#This Row],[Free-of-Max]])</f>
        <v>23966</v>
      </c>
    </row>
    <row r="261" spans="1:14" x14ac:dyDescent="0.25">
      <c r="A261" s="3">
        <v>44417</v>
      </c>
      <c r="B261" t="s">
        <v>29</v>
      </c>
      <c r="C261">
        <v>0</v>
      </c>
      <c r="D261">
        <v>500</v>
      </c>
      <c r="E261">
        <v>499</v>
      </c>
      <c r="F261">
        <v>1</v>
      </c>
      <c r="G261">
        <v>100</v>
      </c>
      <c r="H261">
        <v>500</v>
      </c>
      <c r="I261">
        <v>0</v>
      </c>
      <c r="J261" t="s">
        <v>1</v>
      </c>
      <c r="K261" t="s">
        <v>2</v>
      </c>
      <c r="L261" s="8">
        <f>InterspecUsage[[#This Row],[Used-MB]]-F251</f>
        <v>0</v>
      </c>
      <c r="M261">
        <f>InterspecUsage[[#This Row],[Max]]-InterspecUsage[[#This Row],[Used-MB]]</f>
        <v>499</v>
      </c>
      <c r="N261" s="5">
        <f>IF($L261&gt;0,InterspecUsage[[#This Row],[Free-of-Max]]/InterspecUsage[[#This Row],[Usage-Delta-MB]],InterspecUsage[[#This Row],[Free-of-Max]])</f>
        <v>499</v>
      </c>
    </row>
    <row r="262" spans="1:14" x14ac:dyDescent="0.25">
      <c r="A262" s="3">
        <v>44425</v>
      </c>
      <c r="B262" t="s">
        <v>26</v>
      </c>
      <c r="C262">
        <v>94</v>
      </c>
      <c r="D262">
        <v>17788</v>
      </c>
      <c r="E262">
        <v>1128</v>
      </c>
      <c r="F262">
        <v>16660</v>
      </c>
      <c r="G262">
        <v>6</v>
      </c>
      <c r="H262">
        <v>40960</v>
      </c>
      <c r="I262">
        <v>41</v>
      </c>
      <c r="J262" t="s">
        <v>1</v>
      </c>
      <c r="K262" t="s">
        <v>2</v>
      </c>
      <c r="L262" s="8">
        <f>InterspecUsage[[#This Row],[Used-MB]]-F252</f>
        <v>64</v>
      </c>
      <c r="M262">
        <f>InterspecUsage[[#This Row],[Max]]-InterspecUsage[[#This Row],[Used-MB]]</f>
        <v>24300</v>
      </c>
      <c r="N262" s="5">
        <f>IF($L262&gt;0,InterspecUsage[[#This Row],[Free-of-Max]]/InterspecUsage[[#This Row],[Usage-Delta-MB]],InterspecUsage[[#This Row],[Free-of-Max]])</f>
        <v>379.6875</v>
      </c>
    </row>
    <row r="263" spans="1:14" x14ac:dyDescent="0.25">
      <c r="A263" s="3">
        <v>44425</v>
      </c>
      <c r="B263" t="s">
        <v>24</v>
      </c>
      <c r="C263">
        <v>98</v>
      </c>
      <c r="D263">
        <v>18000</v>
      </c>
      <c r="E263">
        <v>409</v>
      </c>
      <c r="F263">
        <v>17591</v>
      </c>
      <c r="G263">
        <v>2</v>
      </c>
      <c r="H263">
        <v>32768</v>
      </c>
      <c r="I263">
        <v>54</v>
      </c>
      <c r="J263" t="s">
        <v>1</v>
      </c>
      <c r="K263" t="s">
        <v>2</v>
      </c>
      <c r="L263" s="8">
        <f>InterspecUsage[[#This Row],[Used-MB]]-F253</f>
        <v>0</v>
      </c>
      <c r="M263">
        <f>InterspecUsage[[#This Row],[Max]]-InterspecUsage[[#This Row],[Used-MB]]</f>
        <v>15177</v>
      </c>
      <c r="N263" s="5">
        <f>IF($L263&gt;0,InterspecUsage[[#This Row],[Free-of-Max]]/InterspecUsage[[#This Row],[Usage-Delta-MB]],InterspecUsage[[#This Row],[Free-of-Max]])</f>
        <v>15177</v>
      </c>
    </row>
    <row r="264" spans="1:14" x14ac:dyDescent="0.25">
      <c r="A264" s="3">
        <v>44425</v>
      </c>
      <c r="B264" t="s">
        <v>35</v>
      </c>
      <c r="C264">
        <v>95</v>
      </c>
      <c r="D264">
        <v>21600</v>
      </c>
      <c r="E264">
        <v>1055</v>
      </c>
      <c r="F264">
        <v>20545</v>
      </c>
      <c r="G264">
        <v>5</v>
      </c>
      <c r="H264">
        <v>32768</v>
      </c>
      <c r="I264">
        <v>63</v>
      </c>
      <c r="J264" t="s">
        <v>1</v>
      </c>
      <c r="K264" t="s">
        <v>2</v>
      </c>
      <c r="L264" s="8">
        <f>InterspecUsage[[#This Row],[Used-MB]]-F254</f>
        <v>64</v>
      </c>
      <c r="M264">
        <f>InterspecUsage[[#This Row],[Max]]-InterspecUsage[[#This Row],[Used-MB]]</f>
        <v>12223</v>
      </c>
      <c r="N264" s="5">
        <f>IF($L264&gt;0,InterspecUsage[[#This Row],[Free-of-Max]]/InterspecUsage[[#This Row],[Usage-Delta-MB]],InterspecUsage[[#This Row],[Free-of-Max]])</f>
        <v>190.984375</v>
      </c>
    </row>
    <row r="265" spans="1:14" x14ac:dyDescent="0.25">
      <c r="A265" s="3">
        <v>44425</v>
      </c>
      <c r="B265" t="s">
        <v>27</v>
      </c>
      <c r="C265">
        <v>80</v>
      </c>
      <c r="D265">
        <v>131072</v>
      </c>
      <c r="E265">
        <v>26708</v>
      </c>
      <c r="F265">
        <v>104364</v>
      </c>
      <c r="G265">
        <v>20</v>
      </c>
      <c r="H265">
        <v>131072</v>
      </c>
      <c r="I265">
        <v>80</v>
      </c>
      <c r="J265" t="s">
        <v>1</v>
      </c>
      <c r="K265" t="s">
        <v>2</v>
      </c>
      <c r="L265" s="8">
        <f>InterspecUsage[[#This Row],[Used-MB]]-F255</f>
        <v>129</v>
      </c>
      <c r="M265">
        <f>InterspecUsage[[#This Row],[Max]]-InterspecUsage[[#This Row],[Used-MB]]</f>
        <v>26708</v>
      </c>
      <c r="N265" s="5">
        <f>IF($L265&gt;0,InterspecUsage[[#This Row],[Free-of-Max]]/InterspecUsage[[#This Row],[Usage-Delta-MB]],InterspecUsage[[#This Row],[Free-of-Max]])</f>
        <v>207.03875968992247</v>
      </c>
    </row>
    <row r="266" spans="1:14" x14ac:dyDescent="0.25">
      <c r="A266" s="3">
        <v>44425</v>
      </c>
      <c r="B266" t="s">
        <v>7</v>
      </c>
      <c r="C266">
        <v>95</v>
      </c>
      <c r="D266">
        <v>960</v>
      </c>
      <c r="E266">
        <v>50</v>
      </c>
      <c r="F266">
        <v>910</v>
      </c>
      <c r="G266">
        <v>5</v>
      </c>
      <c r="H266">
        <v>32768</v>
      </c>
      <c r="I266">
        <v>3</v>
      </c>
      <c r="J266" t="s">
        <v>1</v>
      </c>
      <c r="K266" t="s">
        <v>2</v>
      </c>
      <c r="L266" s="8">
        <f>InterspecUsage[[#This Row],[Used-MB]]-F256</f>
        <v>8</v>
      </c>
      <c r="M266">
        <f>InterspecUsage[[#This Row],[Max]]-InterspecUsage[[#This Row],[Used-MB]]</f>
        <v>31858</v>
      </c>
      <c r="N266" s="5">
        <f>IF($L266&gt;0,InterspecUsage[[#This Row],[Free-of-Max]]/InterspecUsage[[#This Row],[Usage-Delta-MB]],InterspecUsage[[#This Row],[Free-of-Max]])</f>
        <v>3982.25</v>
      </c>
    </row>
    <row r="267" spans="1:14" x14ac:dyDescent="0.25">
      <c r="A267" s="3">
        <v>44425</v>
      </c>
      <c r="B267" t="s">
        <v>0</v>
      </c>
      <c r="C267">
        <v>98</v>
      </c>
      <c r="D267">
        <v>2930</v>
      </c>
      <c r="E267">
        <v>52</v>
      </c>
      <c r="F267">
        <v>2878</v>
      </c>
      <c r="G267">
        <v>2</v>
      </c>
      <c r="H267">
        <v>32768</v>
      </c>
      <c r="I267">
        <v>9</v>
      </c>
      <c r="J267" t="s">
        <v>1</v>
      </c>
      <c r="K267" t="s">
        <v>2</v>
      </c>
      <c r="L267" s="8">
        <f>InterspecUsage[[#This Row],[Used-MB]]-F257</f>
        <v>0</v>
      </c>
      <c r="M267">
        <f>InterspecUsage[[#This Row],[Max]]-InterspecUsage[[#This Row],[Used-MB]]</f>
        <v>29890</v>
      </c>
      <c r="N267" s="5">
        <f>IF($L267&gt;0,InterspecUsage[[#This Row],[Free-of-Max]]/InterspecUsage[[#This Row],[Usage-Delta-MB]],InterspecUsage[[#This Row],[Free-of-Max]])</f>
        <v>29890</v>
      </c>
    </row>
    <row r="268" spans="1:14" x14ac:dyDescent="0.25">
      <c r="A268" s="3">
        <v>44425</v>
      </c>
      <c r="B268" t="s">
        <v>30</v>
      </c>
      <c r="C268">
        <v>0</v>
      </c>
      <c r="D268">
        <v>32767</v>
      </c>
      <c r="E268">
        <v>32740</v>
      </c>
      <c r="F268">
        <v>27</v>
      </c>
      <c r="G268">
        <v>100</v>
      </c>
      <c r="H268">
        <v>32768</v>
      </c>
      <c r="I268">
        <v>0</v>
      </c>
      <c r="J268" t="s">
        <v>1</v>
      </c>
      <c r="K268" t="s">
        <v>13</v>
      </c>
      <c r="L268" s="8">
        <f>InterspecUsage[[#This Row],[Used-MB]]-F258</f>
        <v>16</v>
      </c>
      <c r="M268">
        <f>InterspecUsage[[#This Row],[Max]]-InterspecUsage[[#This Row],[Used-MB]]</f>
        <v>32741</v>
      </c>
      <c r="N268" s="5">
        <f>IF($L268&gt;0,InterspecUsage[[#This Row],[Free-of-Max]]/InterspecUsage[[#This Row],[Usage-Delta-MB]],InterspecUsage[[#This Row],[Free-of-Max]])</f>
        <v>2046.3125</v>
      </c>
    </row>
    <row r="269" spans="1:14" x14ac:dyDescent="0.25">
      <c r="A269" s="3">
        <v>44425</v>
      </c>
      <c r="B269" t="s">
        <v>28</v>
      </c>
      <c r="C269">
        <v>24</v>
      </c>
      <c r="D269">
        <v>16400</v>
      </c>
      <c r="E269">
        <v>12462</v>
      </c>
      <c r="F269">
        <v>3938</v>
      </c>
      <c r="G269">
        <v>76</v>
      </c>
      <c r="H269">
        <v>32768</v>
      </c>
      <c r="I269">
        <v>12</v>
      </c>
      <c r="J269" t="s">
        <v>1</v>
      </c>
      <c r="K269" t="s">
        <v>10</v>
      </c>
      <c r="L269" s="8">
        <f>InterspecUsage[[#This Row],[Used-MB]]-F259</f>
        <v>37</v>
      </c>
      <c r="M269">
        <f>InterspecUsage[[#This Row],[Max]]-InterspecUsage[[#This Row],[Used-MB]]</f>
        <v>28830</v>
      </c>
      <c r="N269" s="5">
        <f>IF($L269&gt;0,InterspecUsage[[#This Row],[Free-of-Max]]/InterspecUsage[[#This Row],[Usage-Delta-MB]],InterspecUsage[[#This Row],[Free-of-Max]])</f>
        <v>779.18918918918916</v>
      </c>
    </row>
    <row r="270" spans="1:14" x14ac:dyDescent="0.25">
      <c r="A270" s="3">
        <v>44425</v>
      </c>
      <c r="B270" t="s">
        <v>25</v>
      </c>
      <c r="C270">
        <v>75</v>
      </c>
      <c r="D270">
        <v>11800</v>
      </c>
      <c r="E270">
        <v>2998</v>
      </c>
      <c r="F270">
        <v>8802</v>
      </c>
      <c r="G270">
        <v>25</v>
      </c>
      <c r="H270">
        <v>32768</v>
      </c>
      <c r="I270">
        <v>27</v>
      </c>
      <c r="J270" t="s">
        <v>1</v>
      </c>
      <c r="K270" t="s">
        <v>2</v>
      </c>
      <c r="L270" s="8">
        <f>InterspecUsage[[#This Row],[Used-MB]]-F260</f>
        <v>0</v>
      </c>
      <c r="M270">
        <f>InterspecUsage[[#This Row],[Max]]-InterspecUsage[[#This Row],[Used-MB]]</f>
        <v>23966</v>
      </c>
      <c r="N270" s="5">
        <f>IF($L270&gt;0,InterspecUsage[[#This Row],[Free-of-Max]]/InterspecUsage[[#This Row],[Usage-Delta-MB]],InterspecUsage[[#This Row],[Free-of-Max]])</f>
        <v>23966</v>
      </c>
    </row>
    <row r="271" spans="1:14" x14ac:dyDescent="0.25">
      <c r="A271" s="3">
        <v>44425</v>
      </c>
      <c r="B271" t="s">
        <v>29</v>
      </c>
      <c r="C271">
        <v>0</v>
      </c>
      <c r="D271">
        <v>500</v>
      </c>
      <c r="E271">
        <v>499</v>
      </c>
      <c r="F271">
        <v>1</v>
      </c>
      <c r="G271">
        <v>100</v>
      </c>
      <c r="H271">
        <v>500</v>
      </c>
      <c r="I271">
        <v>0</v>
      </c>
      <c r="J271" t="s">
        <v>1</v>
      </c>
      <c r="K271" t="s">
        <v>2</v>
      </c>
      <c r="L271" s="8">
        <f>InterspecUsage[[#This Row],[Used-MB]]-F261</f>
        <v>0</v>
      </c>
      <c r="M271">
        <f>InterspecUsage[[#This Row],[Max]]-InterspecUsage[[#This Row],[Used-MB]]</f>
        <v>499</v>
      </c>
      <c r="N271" s="5">
        <f>IF($L271&gt;0,InterspecUsage[[#This Row],[Free-of-Max]]/InterspecUsage[[#This Row],[Usage-Delta-MB]],InterspecUsage[[#This Row],[Free-of-Max]])</f>
        <v>499</v>
      </c>
    </row>
    <row r="272" spans="1:14" x14ac:dyDescent="0.25">
      <c r="A272" s="3">
        <v>44431</v>
      </c>
      <c r="B272" t="s">
        <v>26</v>
      </c>
      <c r="C272">
        <v>94</v>
      </c>
      <c r="D272">
        <v>17788</v>
      </c>
      <c r="E272">
        <v>1127</v>
      </c>
      <c r="F272">
        <v>16661</v>
      </c>
      <c r="G272">
        <v>6</v>
      </c>
      <c r="H272">
        <v>40960</v>
      </c>
      <c r="I272">
        <v>41</v>
      </c>
      <c r="J272" t="s">
        <v>1</v>
      </c>
      <c r="K272" t="s">
        <v>2</v>
      </c>
      <c r="L272" s="8">
        <f>InterspecUsage[[#This Row],[Used-MB]]-F262</f>
        <v>1</v>
      </c>
      <c r="M272">
        <f>InterspecUsage[[#This Row],[Max]]-InterspecUsage[[#This Row],[Used-MB]]</f>
        <v>24299</v>
      </c>
      <c r="N272" s="5">
        <f>IF($L272&gt;0,InterspecUsage[[#This Row],[Free-of-Max]]/InterspecUsage[[#This Row],[Usage-Delta-MB]],InterspecUsage[[#This Row],[Free-of-Max]])</f>
        <v>24299</v>
      </c>
    </row>
    <row r="273" spans="1:14" x14ac:dyDescent="0.25">
      <c r="A273" s="3">
        <v>44431</v>
      </c>
      <c r="B273" t="s">
        <v>24</v>
      </c>
      <c r="C273">
        <v>98</v>
      </c>
      <c r="D273">
        <v>18000</v>
      </c>
      <c r="E273">
        <v>408</v>
      </c>
      <c r="F273">
        <v>17592</v>
      </c>
      <c r="G273">
        <v>2</v>
      </c>
      <c r="H273">
        <v>32768</v>
      </c>
      <c r="I273">
        <v>54</v>
      </c>
      <c r="J273" t="s">
        <v>1</v>
      </c>
      <c r="K273" t="s">
        <v>2</v>
      </c>
      <c r="L273" s="8">
        <f>InterspecUsage[[#This Row],[Used-MB]]-F263</f>
        <v>1</v>
      </c>
      <c r="M273">
        <f>InterspecUsage[[#This Row],[Max]]-InterspecUsage[[#This Row],[Used-MB]]</f>
        <v>15176</v>
      </c>
      <c r="N273" s="5">
        <f>IF($L273&gt;0,InterspecUsage[[#This Row],[Free-of-Max]]/InterspecUsage[[#This Row],[Usage-Delta-MB]],InterspecUsage[[#This Row],[Free-of-Max]])</f>
        <v>15176</v>
      </c>
    </row>
    <row r="274" spans="1:14" x14ac:dyDescent="0.25">
      <c r="A274" s="3">
        <v>44431</v>
      </c>
      <c r="B274" t="s">
        <v>35</v>
      </c>
      <c r="C274">
        <v>95</v>
      </c>
      <c r="D274">
        <v>21600</v>
      </c>
      <c r="E274">
        <v>1055</v>
      </c>
      <c r="F274">
        <v>20545</v>
      </c>
      <c r="G274">
        <v>5</v>
      </c>
      <c r="H274">
        <v>32768</v>
      </c>
      <c r="I274">
        <v>63</v>
      </c>
      <c r="J274" t="s">
        <v>1</v>
      </c>
      <c r="K274" t="s">
        <v>2</v>
      </c>
      <c r="L274" s="8">
        <f>InterspecUsage[[#This Row],[Used-MB]]-F264</f>
        <v>0</v>
      </c>
      <c r="M274">
        <f>InterspecUsage[[#This Row],[Max]]-InterspecUsage[[#This Row],[Used-MB]]</f>
        <v>12223</v>
      </c>
      <c r="N274" s="5">
        <f>IF($L274&gt;0,InterspecUsage[[#This Row],[Free-of-Max]]/InterspecUsage[[#This Row],[Usage-Delta-MB]],InterspecUsage[[#This Row],[Free-of-Max]])</f>
        <v>12223</v>
      </c>
    </row>
    <row r="275" spans="1:14" x14ac:dyDescent="0.25">
      <c r="A275" s="3">
        <v>44431</v>
      </c>
      <c r="B275" t="s">
        <v>27</v>
      </c>
      <c r="C275">
        <v>80</v>
      </c>
      <c r="D275">
        <v>131072</v>
      </c>
      <c r="E275">
        <v>26640</v>
      </c>
      <c r="F275">
        <v>104432</v>
      </c>
      <c r="G275">
        <v>20</v>
      </c>
      <c r="H275">
        <v>131072</v>
      </c>
      <c r="I275">
        <v>80</v>
      </c>
      <c r="J275" t="s">
        <v>1</v>
      </c>
      <c r="K275" t="s">
        <v>2</v>
      </c>
      <c r="L275" s="8">
        <f>InterspecUsage[[#This Row],[Used-MB]]-F265</f>
        <v>68</v>
      </c>
      <c r="M275">
        <f>InterspecUsage[[#This Row],[Max]]-InterspecUsage[[#This Row],[Used-MB]]</f>
        <v>26640</v>
      </c>
      <c r="N275" s="5">
        <f>IF($L275&gt;0,InterspecUsage[[#This Row],[Free-of-Max]]/InterspecUsage[[#This Row],[Usage-Delta-MB]],InterspecUsage[[#This Row],[Free-of-Max]])</f>
        <v>391.76470588235293</v>
      </c>
    </row>
    <row r="276" spans="1:14" x14ac:dyDescent="0.25">
      <c r="A276" s="3">
        <v>44431</v>
      </c>
      <c r="B276" t="s">
        <v>7</v>
      </c>
      <c r="C276">
        <v>96</v>
      </c>
      <c r="D276">
        <v>960</v>
      </c>
      <c r="E276">
        <v>42</v>
      </c>
      <c r="F276">
        <v>918</v>
      </c>
      <c r="G276">
        <v>4</v>
      </c>
      <c r="H276">
        <v>32768</v>
      </c>
      <c r="I276">
        <v>3</v>
      </c>
      <c r="J276" t="s">
        <v>1</v>
      </c>
      <c r="K276" t="s">
        <v>2</v>
      </c>
      <c r="L276" s="8">
        <f>InterspecUsage[[#This Row],[Used-MB]]-F266</f>
        <v>8</v>
      </c>
      <c r="M276">
        <f>InterspecUsage[[#This Row],[Max]]-InterspecUsage[[#This Row],[Used-MB]]</f>
        <v>31850</v>
      </c>
      <c r="N276" s="5">
        <f>IF($L276&gt;0,InterspecUsage[[#This Row],[Free-of-Max]]/InterspecUsage[[#This Row],[Usage-Delta-MB]],InterspecUsage[[#This Row],[Free-of-Max]])</f>
        <v>3981.25</v>
      </c>
    </row>
    <row r="277" spans="1:14" x14ac:dyDescent="0.25">
      <c r="A277" s="3">
        <v>44431</v>
      </c>
      <c r="B277" t="s">
        <v>0</v>
      </c>
      <c r="C277">
        <v>98</v>
      </c>
      <c r="D277">
        <v>2930</v>
      </c>
      <c r="E277">
        <v>52</v>
      </c>
      <c r="F277">
        <v>2878</v>
      </c>
      <c r="G277">
        <v>2</v>
      </c>
      <c r="H277">
        <v>32768</v>
      </c>
      <c r="I277">
        <v>9</v>
      </c>
      <c r="J277" t="s">
        <v>1</v>
      </c>
      <c r="K277" t="s">
        <v>2</v>
      </c>
      <c r="L277" s="8">
        <f>InterspecUsage[[#This Row],[Used-MB]]-F267</f>
        <v>0</v>
      </c>
      <c r="M277">
        <f>InterspecUsage[[#This Row],[Max]]-InterspecUsage[[#This Row],[Used-MB]]</f>
        <v>29890</v>
      </c>
      <c r="N277" s="5">
        <f>IF($L277&gt;0,InterspecUsage[[#This Row],[Free-of-Max]]/InterspecUsage[[#This Row],[Usage-Delta-MB]],InterspecUsage[[#This Row],[Free-of-Max]])</f>
        <v>29890</v>
      </c>
    </row>
    <row r="278" spans="1:14" x14ac:dyDescent="0.25">
      <c r="A278" s="3">
        <v>44431</v>
      </c>
      <c r="B278" t="s">
        <v>30</v>
      </c>
      <c r="C278">
        <v>0</v>
      </c>
      <c r="D278">
        <v>32767</v>
      </c>
      <c r="E278">
        <v>32753</v>
      </c>
      <c r="F278">
        <v>14</v>
      </c>
      <c r="G278">
        <v>100</v>
      </c>
      <c r="H278">
        <v>32768</v>
      </c>
      <c r="I278">
        <v>0</v>
      </c>
      <c r="J278" t="s">
        <v>1</v>
      </c>
      <c r="K278" t="s">
        <v>13</v>
      </c>
      <c r="L278" s="8">
        <f>InterspecUsage[[#This Row],[Used-MB]]-F268</f>
        <v>-13</v>
      </c>
      <c r="M278">
        <f>InterspecUsage[[#This Row],[Max]]-InterspecUsage[[#This Row],[Used-MB]]</f>
        <v>32754</v>
      </c>
      <c r="N278" s="5">
        <f>IF($L278&gt;0,InterspecUsage[[#This Row],[Free-of-Max]]/InterspecUsage[[#This Row],[Usage-Delta-MB]],InterspecUsage[[#This Row],[Free-of-Max]])</f>
        <v>32754</v>
      </c>
    </row>
    <row r="279" spans="1:14" x14ac:dyDescent="0.25">
      <c r="A279" s="3">
        <v>44431</v>
      </c>
      <c r="B279" t="s">
        <v>28</v>
      </c>
      <c r="C279">
        <v>24</v>
      </c>
      <c r="D279">
        <v>16400</v>
      </c>
      <c r="E279">
        <v>12404</v>
      </c>
      <c r="F279">
        <v>3996</v>
      </c>
      <c r="G279">
        <v>76</v>
      </c>
      <c r="H279">
        <v>32768</v>
      </c>
      <c r="I279">
        <v>12</v>
      </c>
      <c r="J279" t="s">
        <v>1</v>
      </c>
      <c r="K279" t="s">
        <v>10</v>
      </c>
      <c r="L279" s="8">
        <f>InterspecUsage[[#This Row],[Used-MB]]-F269</f>
        <v>58</v>
      </c>
      <c r="M279">
        <f>InterspecUsage[[#This Row],[Max]]-InterspecUsage[[#This Row],[Used-MB]]</f>
        <v>28772</v>
      </c>
      <c r="N279" s="5">
        <f>IF($L279&gt;0,InterspecUsage[[#This Row],[Free-of-Max]]/InterspecUsage[[#This Row],[Usage-Delta-MB]],InterspecUsage[[#This Row],[Free-of-Max]])</f>
        <v>496.06896551724139</v>
      </c>
    </row>
    <row r="280" spans="1:14" x14ac:dyDescent="0.25">
      <c r="A280" s="3">
        <v>44431</v>
      </c>
      <c r="B280" t="s">
        <v>25</v>
      </c>
      <c r="C280">
        <v>75</v>
      </c>
      <c r="D280">
        <v>11800</v>
      </c>
      <c r="E280">
        <v>2997</v>
      </c>
      <c r="F280">
        <v>8803</v>
      </c>
      <c r="G280">
        <v>25</v>
      </c>
      <c r="H280">
        <v>32768</v>
      </c>
      <c r="I280">
        <v>27</v>
      </c>
      <c r="J280" t="s">
        <v>1</v>
      </c>
      <c r="K280" t="s">
        <v>2</v>
      </c>
      <c r="L280" s="8">
        <f>InterspecUsage[[#This Row],[Used-MB]]-F270</f>
        <v>1</v>
      </c>
      <c r="M280">
        <f>InterspecUsage[[#This Row],[Max]]-InterspecUsage[[#This Row],[Used-MB]]</f>
        <v>23965</v>
      </c>
      <c r="N280" s="5">
        <f>IF($L280&gt;0,InterspecUsage[[#This Row],[Free-of-Max]]/InterspecUsage[[#This Row],[Usage-Delta-MB]],InterspecUsage[[#This Row],[Free-of-Max]])</f>
        <v>23965</v>
      </c>
    </row>
    <row r="281" spans="1:14" x14ac:dyDescent="0.25">
      <c r="A281" s="3">
        <v>44431</v>
      </c>
      <c r="B281" t="s">
        <v>29</v>
      </c>
      <c r="C281">
        <v>0</v>
      </c>
      <c r="D281">
        <v>500</v>
      </c>
      <c r="E281">
        <v>499</v>
      </c>
      <c r="F281">
        <v>1</v>
      </c>
      <c r="G281">
        <v>100</v>
      </c>
      <c r="H281">
        <v>500</v>
      </c>
      <c r="I281">
        <v>0</v>
      </c>
      <c r="J281" t="s">
        <v>1</v>
      </c>
      <c r="K281" t="s">
        <v>2</v>
      </c>
      <c r="L281" s="8">
        <f>InterspecUsage[[#This Row],[Used-MB]]-F271</f>
        <v>0</v>
      </c>
      <c r="M281">
        <f>InterspecUsage[[#This Row],[Max]]-InterspecUsage[[#This Row],[Used-MB]]</f>
        <v>499</v>
      </c>
      <c r="N281" s="5">
        <f>IF($L281&gt;0,InterspecUsage[[#This Row],[Free-of-Max]]/InterspecUsage[[#This Row],[Usage-Delta-MB]],InterspecUsage[[#This Row],[Free-of-Max]])</f>
        <v>499</v>
      </c>
    </row>
    <row r="282" spans="1:14" x14ac:dyDescent="0.25">
      <c r="A282" s="3">
        <v>44438</v>
      </c>
      <c r="B282" t="s">
        <v>26</v>
      </c>
      <c r="C282">
        <v>94</v>
      </c>
      <c r="D282">
        <v>17788</v>
      </c>
      <c r="E282">
        <v>1063</v>
      </c>
      <c r="F282">
        <v>16725</v>
      </c>
      <c r="G282">
        <v>6</v>
      </c>
      <c r="H282">
        <v>40960</v>
      </c>
      <c r="I282">
        <v>41</v>
      </c>
      <c r="J282" t="s">
        <v>1</v>
      </c>
      <c r="K282" t="s">
        <v>2</v>
      </c>
      <c r="L282" s="8">
        <f>InterspecUsage[[#This Row],[Used-MB]]-F272</f>
        <v>64</v>
      </c>
      <c r="M282">
        <f>InterspecUsage[[#This Row],[Max]]-InterspecUsage[[#This Row],[Used-MB]]</f>
        <v>24235</v>
      </c>
      <c r="N282" s="5">
        <f>IF($L282&gt;0,InterspecUsage[[#This Row],[Free-of-Max]]/InterspecUsage[[#This Row],[Usage-Delta-MB]],InterspecUsage[[#This Row],[Free-of-Max]])</f>
        <v>378.671875</v>
      </c>
    </row>
    <row r="283" spans="1:14" x14ac:dyDescent="0.25">
      <c r="A283" s="3">
        <v>44438</v>
      </c>
      <c r="B283" t="s">
        <v>24</v>
      </c>
      <c r="C283">
        <v>98</v>
      </c>
      <c r="D283">
        <v>18000</v>
      </c>
      <c r="E283">
        <v>399</v>
      </c>
      <c r="F283">
        <v>17601</v>
      </c>
      <c r="G283">
        <v>2</v>
      </c>
      <c r="H283">
        <v>32768</v>
      </c>
      <c r="I283">
        <v>54</v>
      </c>
      <c r="J283" t="s">
        <v>1</v>
      </c>
      <c r="K283" t="s">
        <v>2</v>
      </c>
      <c r="L283" s="8">
        <f>InterspecUsage[[#This Row],[Used-MB]]-F273</f>
        <v>9</v>
      </c>
      <c r="M283">
        <f>InterspecUsage[[#This Row],[Max]]-InterspecUsage[[#This Row],[Used-MB]]</f>
        <v>15167</v>
      </c>
      <c r="N283" s="5">
        <f>IF($L283&gt;0,InterspecUsage[[#This Row],[Free-of-Max]]/InterspecUsage[[#This Row],[Usage-Delta-MB]],InterspecUsage[[#This Row],[Free-of-Max]])</f>
        <v>1685.2222222222222</v>
      </c>
    </row>
    <row r="284" spans="1:14" x14ac:dyDescent="0.25">
      <c r="A284" s="3">
        <v>44438</v>
      </c>
      <c r="B284" t="s">
        <v>35</v>
      </c>
      <c r="C284">
        <v>95</v>
      </c>
      <c r="D284">
        <v>21800</v>
      </c>
      <c r="E284">
        <v>1191</v>
      </c>
      <c r="F284">
        <v>20609</v>
      </c>
      <c r="G284">
        <v>5</v>
      </c>
      <c r="H284">
        <v>32768</v>
      </c>
      <c r="I284">
        <v>63</v>
      </c>
      <c r="J284" t="s">
        <v>1</v>
      </c>
      <c r="K284" t="s">
        <v>2</v>
      </c>
      <c r="L284" s="8">
        <f>InterspecUsage[[#This Row],[Used-MB]]-F274</f>
        <v>64</v>
      </c>
      <c r="M284">
        <f>InterspecUsage[[#This Row],[Max]]-InterspecUsage[[#This Row],[Used-MB]]</f>
        <v>12159</v>
      </c>
      <c r="N284" s="5">
        <f>IF($L284&gt;0,InterspecUsage[[#This Row],[Free-of-Max]]/InterspecUsage[[#This Row],[Usage-Delta-MB]],InterspecUsage[[#This Row],[Free-of-Max]])</f>
        <v>189.984375</v>
      </c>
    </row>
    <row r="285" spans="1:14" x14ac:dyDescent="0.25">
      <c r="A285" s="3">
        <v>44438</v>
      </c>
      <c r="B285" t="s">
        <v>27</v>
      </c>
      <c r="C285">
        <v>80</v>
      </c>
      <c r="D285">
        <v>131072</v>
      </c>
      <c r="E285">
        <v>26381</v>
      </c>
      <c r="F285">
        <v>104691</v>
      </c>
      <c r="G285">
        <v>20</v>
      </c>
      <c r="H285">
        <v>131072</v>
      </c>
      <c r="I285">
        <v>80</v>
      </c>
      <c r="J285" t="s">
        <v>1</v>
      </c>
      <c r="K285" t="s">
        <v>2</v>
      </c>
      <c r="L285" s="8">
        <f>InterspecUsage[[#This Row],[Used-MB]]-F275</f>
        <v>259</v>
      </c>
      <c r="M285">
        <f>InterspecUsage[[#This Row],[Max]]-InterspecUsage[[#This Row],[Used-MB]]</f>
        <v>26381</v>
      </c>
      <c r="N285" s="5">
        <f>IF($L285&gt;0,InterspecUsage[[#This Row],[Free-of-Max]]/InterspecUsage[[#This Row],[Usage-Delta-MB]],InterspecUsage[[#This Row],[Free-of-Max]])</f>
        <v>101.85714285714286</v>
      </c>
    </row>
    <row r="286" spans="1:14" x14ac:dyDescent="0.25">
      <c r="A286" s="3">
        <v>44438</v>
      </c>
      <c r="B286" t="s">
        <v>7</v>
      </c>
      <c r="C286">
        <v>96</v>
      </c>
      <c r="D286">
        <v>960</v>
      </c>
      <c r="E286">
        <v>41</v>
      </c>
      <c r="F286">
        <v>919</v>
      </c>
      <c r="G286">
        <v>4</v>
      </c>
      <c r="H286">
        <v>32768</v>
      </c>
      <c r="I286">
        <v>3</v>
      </c>
      <c r="J286" t="s">
        <v>1</v>
      </c>
      <c r="K286" t="s">
        <v>2</v>
      </c>
      <c r="L286" s="8">
        <f>InterspecUsage[[#This Row],[Used-MB]]-F276</f>
        <v>1</v>
      </c>
      <c r="M286">
        <f>InterspecUsage[[#This Row],[Max]]-InterspecUsage[[#This Row],[Used-MB]]</f>
        <v>31849</v>
      </c>
      <c r="N286" s="5">
        <f>IF($L286&gt;0,InterspecUsage[[#This Row],[Free-of-Max]]/InterspecUsage[[#This Row],[Usage-Delta-MB]],InterspecUsage[[#This Row],[Free-of-Max]])</f>
        <v>31849</v>
      </c>
    </row>
    <row r="287" spans="1:14" x14ac:dyDescent="0.25">
      <c r="A287" s="3">
        <v>44438</v>
      </c>
      <c r="B287" t="s">
        <v>0</v>
      </c>
      <c r="C287">
        <v>98</v>
      </c>
      <c r="D287">
        <v>2930</v>
      </c>
      <c r="E287">
        <v>52</v>
      </c>
      <c r="F287">
        <v>2878</v>
      </c>
      <c r="G287">
        <v>2</v>
      </c>
      <c r="H287">
        <v>32768</v>
      </c>
      <c r="I287">
        <v>9</v>
      </c>
      <c r="J287" t="s">
        <v>1</v>
      </c>
      <c r="K287" t="s">
        <v>2</v>
      </c>
      <c r="L287" s="8">
        <f>InterspecUsage[[#This Row],[Used-MB]]-F277</f>
        <v>0</v>
      </c>
      <c r="M287">
        <f>InterspecUsage[[#This Row],[Max]]-InterspecUsage[[#This Row],[Used-MB]]</f>
        <v>29890</v>
      </c>
      <c r="N287" s="5">
        <f>IF($L287&gt;0,InterspecUsage[[#This Row],[Free-of-Max]]/InterspecUsage[[#This Row],[Usage-Delta-MB]],InterspecUsage[[#This Row],[Free-of-Max]])</f>
        <v>29890</v>
      </c>
    </row>
    <row r="288" spans="1:14" x14ac:dyDescent="0.25">
      <c r="A288" s="3">
        <v>44438</v>
      </c>
      <c r="B288" t="s">
        <v>30</v>
      </c>
      <c r="C288">
        <v>0</v>
      </c>
      <c r="D288">
        <v>32767</v>
      </c>
      <c r="E288">
        <v>32743</v>
      </c>
      <c r="F288">
        <v>24</v>
      </c>
      <c r="G288">
        <v>100</v>
      </c>
      <c r="H288">
        <v>32768</v>
      </c>
      <c r="I288">
        <v>0</v>
      </c>
      <c r="J288" t="s">
        <v>1</v>
      </c>
      <c r="K288" t="s">
        <v>13</v>
      </c>
      <c r="L288" s="8">
        <f>InterspecUsage[[#This Row],[Used-MB]]-F278</f>
        <v>10</v>
      </c>
      <c r="M288">
        <f>InterspecUsage[[#This Row],[Max]]-InterspecUsage[[#This Row],[Used-MB]]</f>
        <v>32744</v>
      </c>
      <c r="N288" s="5">
        <f>IF($L288&gt;0,InterspecUsage[[#This Row],[Free-of-Max]]/InterspecUsage[[#This Row],[Usage-Delta-MB]],InterspecUsage[[#This Row],[Free-of-Max]])</f>
        <v>3274.4</v>
      </c>
    </row>
    <row r="289" spans="1:14" x14ac:dyDescent="0.25">
      <c r="A289" s="3">
        <v>44438</v>
      </c>
      <c r="B289" t="s">
        <v>28</v>
      </c>
      <c r="C289">
        <v>24</v>
      </c>
      <c r="D289">
        <v>16400</v>
      </c>
      <c r="E289">
        <v>12410</v>
      </c>
      <c r="F289">
        <v>3990</v>
      </c>
      <c r="G289">
        <v>76</v>
      </c>
      <c r="H289">
        <v>32768</v>
      </c>
      <c r="I289">
        <v>12</v>
      </c>
      <c r="J289" t="s">
        <v>1</v>
      </c>
      <c r="K289" t="s">
        <v>10</v>
      </c>
      <c r="L289" s="8">
        <f>InterspecUsage[[#This Row],[Used-MB]]-F279</f>
        <v>-6</v>
      </c>
      <c r="M289">
        <f>InterspecUsage[[#This Row],[Max]]-InterspecUsage[[#This Row],[Used-MB]]</f>
        <v>28778</v>
      </c>
      <c r="N289" s="5">
        <f>IF($L289&gt;0,InterspecUsage[[#This Row],[Free-of-Max]]/InterspecUsage[[#This Row],[Usage-Delta-MB]],InterspecUsage[[#This Row],[Free-of-Max]])</f>
        <v>28778</v>
      </c>
    </row>
    <row r="290" spans="1:14" x14ac:dyDescent="0.25">
      <c r="A290" s="3">
        <v>44438</v>
      </c>
      <c r="B290" t="s">
        <v>25</v>
      </c>
      <c r="C290">
        <v>75</v>
      </c>
      <c r="D290">
        <v>11800</v>
      </c>
      <c r="E290">
        <v>2997</v>
      </c>
      <c r="F290">
        <v>8803</v>
      </c>
      <c r="G290">
        <v>25</v>
      </c>
      <c r="H290">
        <v>32768</v>
      </c>
      <c r="I290">
        <v>27</v>
      </c>
      <c r="J290" t="s">
        <v>1</v>
      </c>
      <c r="K290" t="s">
        <v>2</v>
      </c>
      <c r="L290" s="8">
        <f>InterspecUsage[[#This Row],[Used-MB]]-F280</f>
        <v>0</v>
      </c>
      <c r="M290">
        <f>InterspecUsage[[#This Row],[Max]]-InterspecUsage[[#This Row],[Used-MB]]</f>
        <v>23965</v>
      </c>
      <c r="N290" s="5">
        <f>IF($L290&gt;0,InterspecUsage[[#This Row],[Free-of-Max]]/InterspecUsage[[#This Row],[Usage-Delta-MB]],InterspecUsage[[#This Row],[Free-of-Max]])</f>
        <v>23965</v>
      </c>
    </row>
    <row r="291" spans="1:14" x14ac:dyDescent="0.25">
      <c r="A291" s="3">
        <v>44438</v>
      </c>
      <c r="B291" t="s">
        <v>29</v>
      </c>
      <c r="C291">
        <v>0</v>
      </c>
      <c r="D291">
        <v>500</v>
      </c>
      <c r="E291">
        <v>499</v>
      </c>
      <c r="F291">
        <v>1</v>
      </c>
      <c r="G291">
        <v>100</v>
      </c>
      <c r="H291">
        <v>500</v>
      </c>
      <c r="I291">
        <v>0</v>
      </c>
      <c r="J291" t="s">
        <v>1</v>
      </c>
      <c r="K291" t="s">
        <v>2</v>
      </c>
      <c r="L291" s="8">
        <f>InterspecUsage[[#This Row],[Used-MB]]-F281</f>
        <v>0</v>
      </c>
      <c r="M291">
        <f>InterspecUsage[[#This Row],[Max]]-InterspecUsage[[#This Row],[Used-MB]]</f>
        <v>499</v>
      </c>
      <c r="N291" s="5">
        <f>IF($L291&gt;0,InterspecUsage[[#This Row],[Free-of-Max]]/InterspecUsage[[#This Row],[Usage-Delta-MB]],InterspecUsage[[#This Row],[Free-of-Max]])</f>
        <v>499</v>
      </c>
    </row>
    <row r="292" spans="1:14" x14ac:dyDescent="0.25">
      <c r="A292" s="3">
        <v>44445</v>
      </c>
      <c r="B292" t="s">
        <v>26</v>
      </c>
      <c r="C292">
        <v>94</v>
      </c>
      <c r="D292">
        <v>17788</v>
      </c>
      <c r="E292">
        <v>1063</v>
      </c>
      <c r="F292">
        <v>16725</v>
      </c>
      <c r="G292">
        <v>6</v>
      </c>
      <c r="H292">
        <v>40960</v>
      </c>
      <c r="I292">
        <v>41</v>
      </c>
      <c r="J292" t="s">
        <v>1</v>
      </c>
      <c r="K292" t="s">
        <v>2</v>
      </c>
      <c r="L292" s="8">
        <f>InterspecUsage[[#This Row],[Used-MB]]-F282</f>
        <v>0</v>
      </c>
      <c r="M292">
        <f>InterspecUsage[[#This Row],[Max]]-InterspecUsage[[#This Row],[Used-MB]]</f>
        <v>24235</v>
      </c>
      <c r="N292" s="5">
        <f>IF($L292&gt;0,InterspecUsage[[#This Row],[Free-of-Max]]/InterspecUsage[[#This Row],[Usage-Delta-MB]],InterspecUsage[[#This Row],[Free-of-Max]])</f>
        <v>24235</v>
      </c>
    </row>
    <row r="293" spans="1:14" x14ac:dyDescent="0.25">
      <c r="A293" s="3">
        <v>44445</v>
      </c>
      <c r="B293" t="s">
        <v>24</v>
      </c>
      <c r="C293">
        <v>98</v>
      </c>
      <c r="D293">
        <v>18000</v>
      </c>
      <c r="E293">
        <v>327</v>
      </c>
      <c r="F293">
        <v>17673</v>
      </c>
      <c r="G293">
        <v>2</v>
      </c>
      <c r="H293">
        <v>32768</v>
      </c>
      <c r="I293">
        <v>54</v>
      </c>
      <c r="J293" t="s">
        <v>1</v>
      </c>
      <c r="K293" t="s">
        <v>2</v>
      </c>
      <c r="L293" s="8">
        <f>InterspecUsage[[#This Row],[Used-MB]]-F283</f>
        <v>72</v>
      </c>
      <c r="M293">
        <f>InterspecUsage[[#This Row],[Max]]-InterspecUsage[[#This Row],[Used-MB]]</f>
        <v>15095</v>
      </c>
      <c r="N293" s="5">
        <f>IF($L293&gt;0,InterspecUsage[[#This Row],[Free-of-Max]]/InterspecUsage[[#This Row],[Usage-Delta-MB]],InterspecUsage[[#This Row],[Free-of-Max]])</f>
        <v>209.65277777777777</v>
      </c>
    </row>
    <row r="294" spans="1:14" x14ac:dyDescent="0.25">
      <c r="A294" s="3">
        <v>44445</v>
      </c>
      <c r="B294" t="s">
        <v>35</v>
      </c>
      <c r="C294">
        <v>95</v>
      </c>
      <c r="D294">
        <v>21800</v>
      </c>
      <c r="E294">
        <v>1191</v>
      </c>
      <c r="F294">
        <v>20609</v>
      </c>
      <c r="G294">
        <v>5</v>
      </c>
      <c r="H294">
        <v>32768</v>
      </c>
      <c r="I294">
        <v>63</v>
      </c>
      <c r="J294" t="s">
        <v>1</v>
      </c>
      <c r="K294" t="s">
        <v>2</v>
      </c>
      <c r="L294" s="8">
        <f>InterspecUsage[[#This Row],[Used-MB]]-F284</f>
        <v>0</v>
      </c>
      <c r="M294">
        <f>InterspecUsage[[#This Row],[Max]]-InterspecUsage[[#This Row],[Used-MB]]</f>
        <v>12159</v>
      </c>
      <c r="N294" s="5">
        <f>IF($L294&gt;0,InterspecUsage[[#This Row],[Free-of-Max]]/InterspecUsage[[#This Row],[Usage-Delta-MB]],InterspecUsage[[#This Row],[Free-of-Max]])</f>
        <v>12159</v>
      </c>
    </row>
    <row r="295" spans="1:14" x14ac:dyDescent="0.25">
      <c r="A295" s="3">
        <v>44445</v>
      </c>
      <c r="B295" t="s">
        <v>27</v>
      </c>
      <c r="C295">
        <v>80</v>
      </c>
      <c r="D295">
        <v>131072</v>
      </c>
      <c r="E295">
        <v>26123</v>
      </c>
      <c r="F295">
        <v>104949</v>
      </c>
      <c r="G295">
        <v>20</v>
      </c>
      <c r="H295">
        <v>131072</v>
      </c>
      <c r="I295">
        <v>80</v>
      </c>
      <c r="J295" t="s">
        <v>1</v>
      </c>
      <c r="K295" t="s">
        <v>2</v>
      </c>
      <c r="L295" s="8">
        <f>InterspecUsage[[#This Row],[Used-MB]]-F285</f>
        <v>258</v>
      </c>
      <c r="M295">
        <f>InterspecUsage[[#This Row],[Max]]-InterspecUsage[[#This Row],[Used-MB]]</f>
        <v>26123</v>
      </c>
      <c r="N295" s="5">
        <f>IF($L295&gt;0,InterspecUsage[[#This Row],[Free-of-Max]]/InterspecUsage[[#This Row],[Usage-Delta-MB]],InterspecUsage[[#This Row],[Free-of-Max]])</f>
        <v>101.25193798449612</v>
      </c>
    </row>
    <row r="296" spans="1:14" x14ac:dyDescent="0.25">
      <c r="A296" s="3">
        <v>44445</v>
      </c>
      <c r="B296" t="s">
        <v>7</v>
      </c>
      <c r="C296">
        <v>95</v>
      </c>
      <c r="D296">
        <v>980</v>
      </c>
      <c r="E296">
        <v>53</v>
      </c>
      <c r="F296">
        <v>927</v>
      </c>
      <c r="G296">
        <v>5</v>
      </c>
      <c r="H296">
        <v>32768</v>
      </c>
      <c r="I296">
        <v>3</v>
      </c>
      <c r="J296" t="s">
        <v>1</v>
      </c>
      <c r="K296" t="s">
        <v>2</v>
      </c>
      <c r="L296" s="8">
        <f>InterspecUsage[[#This Row],[Used-MB]]-F286</f>
        <v>8</v>
      </c>
      <c r="M296">
        <f>InterspecUsage[[#This Row],[Max]]-InterspecUsage[[#This Row],[Used-MB]]</f>
        <v>31841</v>
      </c>
      <c r="N296" s="5">
        <f>IF($L296&gt;0,InterspecUsage[[#This Row],[Free-of-Max]]/InterspecUsage[[#This Row],[Usage-Delta-MB]],InterspecUsage[[#This Row],[Free-of-Max]])</f>
        <v>3980.125</v>
      </c>
    </row>
    <row r="297" spans="1:14" x14ac:dyDescent="0.25">
      <c r="A297" s="3">
        <v>44445</v>
      </c>
      <c r="B297" t="s">
        <v>0</v>
      </c>
      <c r="C297">
        <v>98</v>
      </c>
      <c r="D297">
        <v>3000</v>
      </c>
      <c r="E297">
        <v>58</v>
      </c>
      <c r="F297">
        <v>2942</v>
      </c>
      <c r="G297">
        <v>2</v>
      </c>
      <c r="H297">
        <v>32768</v>
      </c>
      <c r="I297">
        <v>9</v>
      </c>
      <c r="J297" t="s">
        <v>1</v>
      </c>
      <c r="K297" t="s">
        <v>2</v>
      </c>
      <c r="L297" s="8">
        <f>InterspecUsage[[#This Row],[Used-MB]]-F287</f>
        <v>64</v>
      </c>
      <c r="M297">
        <f>InterspecUsage[[#This Row],[Max]]-InterspecUsage[[#This Row],[Used-MB]]</f>
        <v>29826</v>
      </c>
      <c r="N297" s="5">
        <f>IF($L297&gt;0,InterspecUsage[[#This Row],[Free-of-Max]]/InterspecUsage[[#This Row],[Usage-Delta-MB]],InterspecUsage[[#This Row],[Free-of-Max]])</f>
        <v>466.03125</v>
      </c>
    </row>
    <row r="298" spans="1:14" x14ac:dyDescent="0.25">
      <c r="A298" s="3">
        <v>44445</v>
      </c>
      <c r="B298" t="s">
        <v>30</v>
      </c>
      <c r="C298">
        <v>0</v>
      </c>
      <c r="D298">
        <v>32767</v>
      </c>
      <c r="E298">
        <v>32744</v>
      </c>
      <c r="F298">
        <v>23</v>
      </c>
      <c r="G298">
        <v>100</v>
      </c>
      <c r="H298">
        <v>32768</v>
      </c>
      <c r="I298">
        <v>0</v>
      </c>
      <c r="J298" t="s">
        <v>1</v>
      </c>
      <c r="K298" t="s">
        <v>13</v>
      </c>
      <c r="L298" s="8">
        <f>InterspecUsage[[#This Row],[Used-MB]]-F288</f>
        <v>-1</v>
      </c>
      <c r="M298">
        <f>InterspecUsage[[#This Row],[Max]]-InterspecUsage[[#This Row],[Used-MB]]</f>
        <v>32745</v>
      </c>
      <c r="N298" s="5">
        <f>IF($L298&gt;0,InterspecUsage[[#This Row],[Free-of-Max]]/InterspecUsage[[#This Row],[Usage-Delta-MB]],InterspecUsage[[#This Row],[Free-of-Max]])</f>
        <v>32745</v>
      </c>
    </row>
    <row r="299" spans="1:14" x14ac:dyDescent="0.25">
      <c r="A299" s="3">
        <v>44445</v>
      </c>
      <c r="B299" t="s">
        <v>28</v>
      </c>
      <c r="C299">
        <v>24</v>
      </c>
      <c r="D299">
        <v>16400</v>
      </c>
      <c r="E299">
        <v>12494</v>
      </c>
      <c r="F299">
        <v>3906</v>
      </c>
      <c r="G299">
        <v>76</v>
      </c>
      <c r="H299">
        <v>32768</v>
      </c>
      <c r="I299">
        <v>12</v>
      </c>
      <c r="J299" t="s">
        <v>1</v>
      </c>
      <c r="K299" t="s">
        <v>10</v>
      </c>
      <c r="L299" s="8">
        <f>InterspecUsage[[#This Row],[Used-MB]]-F289</f>
        <v>-84</v>
      </c>
      <c r="M299">
        <f>InterspecUsage[[#This Row],[Max]]-InterspecUsage[[#This Row],[Used-MB]]</f>
        <v>28862</v>
      </c>
      <c r="N299" s="5">
        <f>IF($L299&gt;0,InterspecUsage[[#This Row],[Free-of-Max]]/InterspecUsage[[#This Row],[Usage-Delta-MB]],InterspecUsage[[#This Row],[Free-of-Max]])</f>
        <v>28862</v>
      </c>
    </row>
    <row r="300" spans="1:14" x14ac:dyDescent="0.25">
      <c r="A300" s="3">
        <v>44445</v>
      </c>
      <c r="B300" t="s">
        <v>25</v>
      </c>
      <c r="C300">
        <v>75</v>
      </c>
      <c r="D300">
        <v>11800</v>
      </c>
      <c r="E300">
        <v>2962</v>
      </c>
      <c r="F300">
        <v>8838</v>
      </c>
      <c r="G300">
        <v>25</v>
      </c>
      <c r="H300">
        <v>32768</v>
      </c>
      <c r="I300">
        <v>27</v>
      </c>
      <c r="J300" t="s">
        <v>1</v>
      </c>
      <c r="K300" t="s">
        <v>2</v>
      </c>
      <c r="L300" s="8">
        <f>InterspecUsage[[#This Row],[Used-MB]]-F290</f>
        <v>35</v>
      </c>
      <c r="M300">
        <f>InterspecUsage[[#This Row],[Max]]-InterspecUsage[[#This Row],[Used-MB]]</f>
        <v>23930</v>
      </c>
      <c r="N300" s="5">
        <f>IF($L300&gt;0,InterspecUsage[[#This Row],[Free-of-Max]]/InterspecUsage[[#This Row],[Usage-Delta-MB]],InterspecUsage[[#This Row],[Free-of-Max]])</f>
        <v>683.71428571428567</v>
      </c>
    </row>
    <row r="301" spans="1:14" x14ac:dyDescent="0.25">
      <c r="A301" s="3">
        <v>44445</v>
      </c>
      <c r="B301" t="s">
        <v>29</v>
      </c>
      <c r="C301">
        <v>0</v>
      </c>
      <c r="D301">
        <v>500</v>
      </c>
      <c r="E301">
        <v>499</v>
      </c>
      <c r="F301">
        <v>1</v>
      </c>
      <c r="G301">
        <v>100</v>
      </c>
      <c r="H301">
        <v>500</v>
      </c>
      <c r="I301">
        <v>0</v>
      </c>
      <c r="J301" t="s">
        <v>1</v>
      </c>
      <c r="K301" t="s">
        <v>2</v>
      </c>
      <c r="L301" s="8">
        <f>InterspecUsage[[#This Row],[Used-MB]]-F291</f>
        <v>0</v>
      </c>
      <c r="M301">
        <f>InterspecUsage[[#This Row],[Max]]-InterspecUsage[[#This Row],[Used-MB]]</f>
        <v>499</v>
      </c>
      <c r="N301" s="5">
        <f>IF($L301&gt;0,InterspecUsage[[#This Row],[Free-of-Max]]/InterspecUsage[[#This Row],[Usage-Delta-MB]],InterspecUsage[[#This Row],[Free-of-Max]])</f>
        <v>499</v>
      </c>
    </row>
    <row r="302" spans="1:14" x14ac:dyDescent="0.25">
      <c r="A302" s="3">
        <v>44452</v>
      </c>
      <c r="B302" t="s">
        <v>26</v>
      </c>
      <c r="C302">
        <v>94</v>
      </c>
      <c r="D302">
        <v>17788</v>
      </c>
      <c r="E302">
        <v>999</v>
      </c>
      <c r="F302">
        <v>16789</v>
      </c>
      <c r="G302">
        <v>6</v>
      </c>
      <c r="H302">
        <v>40960</v>
      </c>
      <c r="I302">
        <v>41</v>
      </c>
      <c r="J302" t="s">
        <v>1</v>
      </c>
      <c r="K302" t="s">
        <v>2</v>
      </c>
      <c r="L302" s="8">
        <f>InterspecUsage[[#This Row],[Used-MB]]-F292</f>
        <v>64</v>
      </c>
      <c r="M302">
        <f>InterspecUsage[[#This Row],[Max]]-InterspecUsage[[#This Row],[Used-MB]]</f>
        <v>24171</v>
      </c>
      <c r="N302" s="5">
        <f>IF($L302&gt;0,InterspecUsage[[#This Row],[Free-of-Max]]/InterspecUsage[[#This Row],[Usage-Delta-MB]],InterspecUsage[[#This Row],[Free-of-Max]])</f>
        <v>377.671875</v>
      </c>
    </row>
    <row r="303" spans="1:14" x14ac:dyDescent="0.25">
      <c r="A303" s="3">
        <v>44452</v>
      </c>
      <c r="B303" t="s">
        <v>24</v>
      </c>
      <c r="C303">
        <v>98</v>
      </c>
      <c r="D303">
        <v>18000</v>
      </c>
      <c r="E303">
        <v>326</v>
      </c>
      <c r="F303">
        <v>17674</v>
      </c>
      <c r="G303">
        <v>2</v>
      </c>
      <c r="H303">
        <v>32768</v>
      </c>
      <c r="I303">
        <v>54</v>
      </c>
      <c r="J303" t="s">
        <v>1</v>
      </c>
      <c r="K303" t="s">
        <v>2</v>
      </c>
      <c r="L303" s="8">
        <f>InterspecUsage[[#This Row],[Used-MB]]-F293</f>
        <v>1</v>
      </c>
      <c r="M303">
        <f>InterspecUsage[[#This Row],[Max]]-InterspecUsage[[#This Row],[Used-MB]]</f>
        <v>15094</v>
      </c>
      <c r="N303" s="5">
        <f>IF($L303&gt;0,InterspecUsage[[#This Row],[Free-of-Max]]/InterspecUsage[[#This Row],[Usage-Delta-MB]],InterspecUsage[[#This Row],[Free-of-Max]])</f>
        <v>15094</v>
      </c>
    </row>
    <row r="304" spans="1:14" x14ac:dyDescent="0.25">
      <c r="A304" s="3">
        <v>44452</v>
      </c>
      <c r="B304" t="s">
        <v>35</v>
      </c>
      <c r="C304">
        <v>95</v>
      </c>
      <c r="D304">
        <v>21800</v>
      </c>
      <c r="E304">
        <v>1127</v>
      </c>
      <c r="F304">
        <v>20673</v>
      </c>
      <c r="G304">
        <v>5</v>
      </c>
      <c r="H304">
        <v>32768</v>
      </c>
      <c r="I304">
        <v>63</v>
      </c>
      <c r="J304" t="s">
        <v>1</v>
      </c>
      <c r="K304" t="s">
        <v>2</v>
      </c>
      <c r="L304" s="8">
        <f>InterspecUsage[[#This Row],[Used-MB]]-F294</f>
        <v>64</v>
      </c>
      <c r="M304">
        <f>InterspecUsage[[#This Row],[Max]]-InterspecUsage[[#This Row],[Used-MB]]</f>
        <v>12095</v>
      </c>
      <c r="N304" s="5">
        <f>IF($L304&gt;0,InterspecUsage[[#This Row],[Free-of-Max]]/InterspecUsage[[#This Row],[Usage-Delta-MB]],InterspecUsage[[#This Row],[Free-of-Max]])</f>
        <v>188.984375</v>
      </c>
    </row>
    <row r="305" spans="1:14" x14ac:dyDescent="0.25">
      <c r="A305" s="3">
        <v>44452</v>
      </c>
      <c r="B305" t="s">
        <v>27</v>
      </c>
      <c r="C305">
        <v>80</v>
      </c>
      <c r="D305">
        <v>131072</v>
      </c>
      <c r="E305">
        <v>26059</v>
      </c>
      <c r="F305">
        <v>105013</v>
      </c>
      <c r="G305">
        <v>20</v>
      </c>
      <c r="H305">
        <v>131072</v>
      </c>
      <c r="I305">
        <v>80</v>
      </c>
      <c r="J305" t="s">
        <v>1</v>
      </c>
      <c r="K305" t="s">
        <v>2</v>
      </c>
      <c r="L305" s="8">
        <f>InterspecUsage[[#This Row],[Used-MB]]-F295</f>
        <v>64</v>
      </c>
      <c r="M305">
        <f>InterspecUsage[[#This Row],[Max]]-InterspecUsage[[#This Row],[Used-MB]]</f>
        <v>26059</v>
      </c>
      <c r="N305" s="5">
        <f>IF($L305&gt;0,InterspecUsage[[#This Row],[Free-of-Max]]/InterspecUsage[[#This Row],[Usage-Delta-MB]],InterspecUsage[[#This Row],[Free-of-Max]])</f>
        <v>407.171875</v>
      </c>
    </row>
    <row r="306" spans="1:14" x14ac:dyDescent="0.25">
      <c r="A306" s="3">
        <v>44452</v>
      </c>
      <c r="B306" t="s">
        <v>7</v>
      </c>
      <c r="C306">
        <v>95</v>
      </c>
      <c r="D306">
        <v>980</v>
      </c>
      <c r="E306">
        <v>44</v>
      </c>
      <c r="F306">
        <v>936</v>
      </c>
      <c r="G306">
        <v>5</v>
      </c>
      <c r="H306">
        <v>32768</v>
      </c>
      <c r="I306">
        <v>3</v>
      </c>
      <c r="J306" t="s">
        <v>1</v>
      </c>
      <c r="K306" t="s">
        <v>2</v>
      </c>
      <c r="L306" s="8">
        <f>InterspecUsage[[#This Row],[Used-MB]]-F296</f>
        <v>9</v>
      </c>
      <c r="M306">
        <f>InterspecUsage[[#This Row],[Max]]-InterspecUsage[[#This Row],[Used-MB]]</f>
        <v>31832</v>
      </c>
      <c r="N306" s="5">
        <f>IF($L306&gt;0,InterspecUsage[[#This Row],[Free-of-Max]]/InterspecUsage[[#This Row],[Usage-Delta-MB]],InterspecUsage[[#This Row],[Free-of-Max]])</f>
        <v>3536.8888888888887</v>
      </c>
    </row>
    <row r="307" spans="1:14" x14ac:dyDescent="0.25">
      <c r="A307" s="3">
        <v>44452</v>
      </c>
      <c r="B307" t="s">
        <v>0</v>
      </c>
      <c r="C307">
        <v>98</v>
      </c>
      <c r="D307">
        <v>3000</v>
      </c>
      <c r="E307">
        <v>58</v>
      </c>
      <c r="F307">
        <v>2942</v>
      </c>
      <c r="G307">
        <v>2</v>
      </c>
      <c r="H307">
        <v>32768</v>
      </c>
      <c r="I307">
        <v>9</v>
      </c>
      <c r="J307" t="s">
        <v>1</v>
      </c>
      <c r="K307" t="s">
        <v>2</v>
      </c>
      <c r="L307" s="8">
        <f>InterspecUsage[[#This Row],[Used-MB]]-F297</f>
        <v>0</v>
      </c>
      <c r="M307">
        <f>InterspecUsage[[#This Row],[Max]]-InterspecUsage[[#This Row],[Used-MB]]</f>
        <v>29826</v>
      </c>
      <c r="N307" s="5">
        <f>IF($L307&gt;0,InterspecUsage[[#This Row],[Free-of-Max]]/InterspecUsage[[#This Row],[Usage-Delta-MB]],InterspecUsage[[#This Row],[Free-of-Max]])</f>
        <v>29826</v>
      </c>
    </row>
    <row r="308" spans="1:14" x14ac:dyDescent="0.25">
      <c r="A308" s="3">
        <v>44452</v>
      </c>
      <c r="B308" t="s">
        <v>30</v>
      </c>
      <c r="C308">
        <v>0</v>
      </c>
      <c r="D308">
        <v>32767</v>
      </c>
      <c r="E308">
        <v>32755</v>
      </c>
      <c r="F308">
        <v>12</v>
      </c>
      <c r="G308">
        <v>100</v>
      </c>
      <c r="H308">
        <v>32768</v>
      </c>
      <c r="I308">
        <v>0</v>
      </c>
      <c r="J308" t="s">
        <v>1</v>
      </c>
      <c r="K308" t="s">
        <v>13</v>
      </c>
      <c r="L308" s="8">
        <f>InterspecUsage[[#This Row],[Used-MB]]-F298</f>
        <v>-11</v>
      </c>
      <c r="M308">
        <f>InterspecUsage[[#This Row],[Max]]-InterspecUsage[[#This Row],[Used-MB]]</f>
        <v>32756</v>
      </c>
      <c r="N308" s="5">
        <f>IF($L308&gt;0,InterspecUsage[[#This Row],[Free-of-Max]]/InterspecUsage[[#This Row],[Usage-Delta-MB]],InterspecUsage[[#This Row],[Free-of-Max]])</f>
        <v>32756</v>
      </c>
    </row>
    <row r="309" spans="1:14" x14ac:dyDescent="0.25">
      <c r="A309" s="3">
        <v>44452</v>
      </c>
      <c r="B309" t="s">
        <v>28</v>
      </c>
      <c r="C309">
        <v>24</v>
      </c>
      <c r="D309">
        <v>16400</v>
      </c>
      <c r="E309">
        <v>12498</v>
      </c>
      <c r="F309">
        <v>3902</v>
      </c>
      <c r="G309">
        <v>76</v>
      </c>
      <c r="H309">
        <v>32768</v>
      </c>
      <c r="I309">
        <v>12</v>
      </c>
      <c r="J309" t="s">
        <v>1</v>
      </c>
      <c r="K309" t="s">
        <v>10</v>
      </c>
      <c r="L309" s="8">
        <f>InterspecUsage[[#This Row],[Used-MB]]-F299</f>
        <v>-4</v>
      </c>
      <c r="M309">
        <f>InterspecUsage[[#This Row],[Max]]-InterspecUsage[[#This Row],[Used-MB]]</f>
        <v>28866</v>
      </c>
      <c r="N309" s="5">
        <f>IF($L309&gt;0,InterspecUsage[[#This Row],[Free-of-Max]]/InterspecUsage[[#This Row],[Usage-Delta-MB]],InterspecUsage[[#This Row],[Free-of-Max]])</f>
        <v>28866</v>
      </c>
    </row>
    <row r="310" spans="1:14" x14ac:dyDescent="0.25">
      <c r="A310" s="3">
        <v>44452</v>
      </c>
      <c r="B310" t="s">
        <v>25</v>
      </c>
      <c r="C310">
        <v>75</v>
      </c>
      <c r="D310">
        <v>11800</v>
      </c>
      <c r="E310">
        <v>2954</v>
      </c>
      <c r="F310">
        <v>8846</v>
      </c>
      <c r="G310">
        <v>25</v>
      </c>
      <c r="H310">
        <v>32768</v>
      </c>
      <c r="I310">
        <v>27</v>
      </c>
      <c r="J310" t="s">
        <v>1</v>
      </c>
      <c r="K310" t="s">
        <v>2</v>
      </c>
      <c r="L310" s="8">
        <f>InterspecUsage[[#This Row],[Used-MB]]-F300</f>
        <v>8</v>
      </c>
      <c r="M310">
        <f>InterspecUsage[[#This Row],[Max]]-InterspecUsage[[#This Row],[Used-MB]]</f>
        <v>23922</v>
      </c>
      <c r="N310" s="5">
        <f>IF($L310&gt;0,InterspecUsage[[#This Row],[Free-of-Max]]/InterspecUsage[[#This Row],[Usage-Delta-MB]],InterspecUsage[[#This Row],[Free-of-Max]])</f>
        <v>2990.25</v>
      </c>
    </row>
    <row r="311" spans="1:14" x14ac:dyDescent="0.25">
      <c r="A311" s="3">
        <v>44452</v>
      </c>
      <c r="B311" t="s">
        <v>29</v>
      </c>
      <c r="C311">
        <v>0</v>
      </c>
      <c r="D311">
        <v>500</v>
      </c>
      <c r="E311">
        <v>499</v>
      </c>
      <c r="F311">
        <v>1</v>
      </c>
      <c r="G311">
        <v>100</v>
      </c>
      <c r="H311">
        <v>500</v>
      </c>
      <c r="I311">
        <v>0</v>
      </c>
      <c r="J311" t="s">
        <v>1</v>
      </c>
      <c r="K311" t="s">
        <v>2</v>
      </c>
      <c r="L311" s="8">
        <f>InterspecUsage[[#This Row],[Used-MB]]-F301</f>
        <v>0</v>
      </c>
      <c r="M311">
        <f>InterspecUsage[[#This Row],[Max]]-InterspecUsage[[#This Row],[Used-MB]]</f>
        <v>499</v>
      </c>
      <c r="N311" s="5">
        <f>IF($L311&gt;0,InterspecUsage[[#This Row],[Free-of-Max]]/InterspecUsage[[#This Row],[Usage-Delta-MB]],InterspecUsage[[#This Row],[Free-of-Max]])</f>
        <v>499</v>
      </c>
    </row>
    <row r="312" spans="1:14" x14ac:dyDescent="0.25">
      <c r="A312" s="3">
        <v>44459</v>
      </c>
      <c r="B312" t="s">
        <v>26</v>
      </c>
      <c r="C312">
        <v>95</v>
      </c>
      <c r="D312">
        <v>17788</v>
      </c>
      <c r="E312">
        <v>934</v>
      </c>
      <c r="F312">
        <v>16854</v>
      </c>
      <c r="G312">
        <v>5</v>
      </c>
      <c r="H312">
        <v>40960</v>
      </c>
      <c r="I312">
        <v>41</v>
      </c>
      <c r="J312" t="s">
        <v>1</v>
      </c>
      <c r="K312" t="s">
        <v>2</v>
      </c>
      <c r="L312" s="8">
        <f>InterspecUsage[[#This Row],[Used-MB]]-F302</f>
        <v>65</v>
      </c>
      <c r="M312">
        <f>InterspecUsage[[#This Row],[Max]]-InterspecUsage[[#This Row],[Used-MB]]</f>
        <v>24106</v>
      </c>
      <c r="N312" s="5">
        <f>IF($L312&gt;0,InterspecUsage[[#This Row],[Free-of-Max]]/InterspecUsage[[#This Row],[Usage-Delta-MB]],InterspecUsage[[#This Row],[Free-of-Max]])</f>
        <v>370.86153846153849</v>
      </c>
    </row>
    <row r="313" spans="1:14" x14ac:dyDescent="0.25">
      <c r="A313" s="3">
        <v>44459</v>
      </c>
      <c r="B313" t="s">
        <v>24</v>
      </c>
      <c r="C313">
        <v>98</v>
      </c>
      <c r="D313">
        <v>18000</v>
      </c>
      <c r="E313">
        <v>326</v>
      </c>
      <c r="F313">
        <v>17674</v>
      </c>
      <c r="G313">
        <v>2</v>
      </c>
      <c r="H313">
        <v>32768</v>
      </c>
      <c r="I313">
        <v>54</v>
      </c>
      <c r="J313" t="s">
        <v>1</v>
      </c>
      <c r="K313" t="s">
        <v>2</v>
      </c>
      <c r="L313" s="8">
        <f>InterspecUsage[[#This Row],[Used-MB]]-F303</f>
        <v>0</v>
      </c>
      <c r="M313">
        <f>InterspecUsage[[#This Row],[Max]]-InterspecUsage[[#This Row],[Used-MB]]</f>
        <v>15094</v>
      </c>
      <c r="N313" s="5">
        <f>IF($L313&gt;0,InterspecUsage[[#This Row],[Free-of-Max]]/InterspecUsage[[#This Row],[Usage-Delta-MB]],InterspecUsage[[#This Row],[Free-of-Max]])</f>
        <v>15094</v>
      </c>
    </row>
    <row r="314" spans="1:14" x14ac:dyDescent="0.25">
      <c r="A314" s="3">
        <v>44459</v>
      </c>
      <c r="B314" t="s">
        <v>35</v>
      </c>
      <c r="C314">
        <v>95</v>
      </c>
      <c r="D314">
        <v>21800</v>
      </c>
      <c r="E314">
        <v>1126</v>
      </c>
      <c r="F314">
        <v>20674</v>
      </c>
      <c r="G314">
        <v>5</v>
      </c>
      <c r="H314">
        <v>32768</v>
      </c>
      <c r="I314">
        <v>63</v>
      </c>
      <c r="J314" t="s">
        <v>1</v>
      </c>
      <c r="K314" t="s">
        <v>2</v>
      </c>
      <c r="L314" s="8">
        <f>InterspecUsage[[#This Row],[Used-MB]]-F304</f>
        <v>1</v>
      </c>
      <c r="M314">
        <f>InterspecUsage[[#This Row],[Max]]-InterspecUsage[[#This Row],[Used-MB]]</f>
        <v>12094</v>
      </c>
      <c r="N314" s="5">
        <f>IF($L314&gt;0,InterspecUsage[[#This Row],[Free-of-Max]]/InterspecUsage[[#This Row],[Usage-Delta-MB]],InterspecUsage[[#This Row],[Free-of-Max]])</f>
        <v>12094</v>
      </c>
    </row>
    <row r="315" spans="1:14" x14ac:dyDescent="0.25">
      <c r="A315" s="3">
        <v>44459</v>
      </c>
      <c r="B315" t="s">
        <v>27</v>
      </c>
      <c r="C315">
        <v>80</v>
      </c>
      <c r="D315">
        <v>131072</v>
      </c>
      <c r="E315">
        <v>25865</v>
      </c>
      <c r="F315">
        <v>105207</v>
      </c>
      <c r="G315">
        <v>20</v>
      </c>
      <c r="H315">
        <v>131072</v>
      </c>
      <c r="I315">
        <v>80</v>
      </c>
      <c r="J315" t="s">
        <v>1</v>
      </c>
      <c r="K315" t="s">
        <v>2</v>
      </c>
      <c r="L315" s="8">
        <f>InterspecUsage[[#This Row],[Used-MB]]-F305</f>
        <v>194</v>
      </c>
      <c r="M315">
        <f>InterspecUsage[[#This Row],[Max]]-InterspecUsage[[#This Row],[Used-MB]]</f>
        <v>25865</v>
      </c>
      <c r="N315" s="5">
        <f>IF($L315&gt;0,InterspecUsage[[#This Row],[Free-of-Max]]/InterspecUsage[[#This Row],[Usage-Delta-MB]],InterspecUsage[[#This Row],[Free-of-Max]])</f>
        <v>133.32474226804123</v>
      </c>
    </row>
    <row r="316" spans="1:14" x14ac:dyDescent="0.25">
      <c r="A316" s="3">
        <v>44459</v>
      </c>
      <c r="B316" t="s">
        <v>7</v>
      </c>
      <c r="C316">
        <v>94</v>
      </c>
      <c r="D316">
        <v>1000</v>
      </c>
      <c r="E316">
        <v>56</v>
      </c>
      <c r="F316">
        <v>944</v>
      </c>
      <c r="G316">
        <v>6</v>
      </c>
      <c r="H316">
        <v>32768</v>
      </c>
      <c r="I316">
        <v>3</v>
      </c>
      <c r="J316" t="s">
        <v>1</v>
      </c>
      <c r="K316" t="s">
        <v>2</v>
      </c>
      <c r="L316" s="8">
        <f>InterspecUsage[[#This Row],[Used-MB]]-F306</f>
        <v>8</v>
      </c>
      <c r="M316">
        <f>InterspecUsage[[#This Row],[Max]]-InterspecUsage[[#This Row],[Used-MB]]</f>
        <v>31824</v>
      </c>
      <c r="N316" s="5">
        <f>IF($L316&gt;0,InterspecUsage[[#This Row],[Free-of-Max]]/InterspecUsage[[#This Row],[Usage-Delta-MB]],InterspecUsage[[#This Row],[Free-of-Max]])</f>
        <v>3978</v>
      </c>
    </row>
    <row r="317" spans="1:14" x14ac:dyDescent="0.25">
      <c r="A317" s="3">
        <v>44459</v>
      </c>
      <c r="B317" t="s">
        <v>0</v>
      </c>
      <c r="C317">
        <v>98</v>
      </c>
      <c r="D317">
        <v>3000</v>
      </c>
      <c r="E317">
        <v>58</v>
      </c>
      <c r="F317">
        <v>2942</v>
      </c>
      <c r="G317">
        <v>2</v>
      </c>
      <c r="H317">
        <v>32768</v>
      </c>
      <c r="I317">
        <v>9</v>
      </c>
      <c r="J317" t="s">
        <v>1</v>
      </c>
      <c r="K317" t="s">
        <v>2</v>
      </c>
      <c r="L317" s="8">
        <f>InterspecUsage[[#This Row],[Used-MB]]-F307</f>
        <v>0</v>
      </c>
      <c r="M317">
        <f>InterspecUsage[[#This Row],[Max]]-InterspecUsage[[#This Row],[Used-MB]]</f>
        <v>29826</v>
      </c>
      <c r="N317" s="5">
        <f>IF($L317&gt;0,InterspecUsage[[#This Row],[Free-of-Max]]/InterspecUsage[[#This Row],[Usage-Delta-MB]],InterspecUsage[[#This Row],[Free-of-Max]])</f>
        <v>29826</v>
      </c>
    </row>
    <row r="318" spans="1:14" x14ac:dyDescent="0.25">
      <c r="A318" s="3">
        <v>44459</v>
      </c>
      <c r="B318" t="s">
        <v>30</v>
      </c>
      <c r="C318">
        <v>0</v>
      </c>
      <c r="D318">
        <v>32767</v>
      </c>
      <c r="E318">
        <v>32755</v>
      </c>
      <c r="F318">
        <v>12</v>
      </c>
      <c r="G318">
        <v>100</v>
      </c>
      <c r="H318">
        <v>32768</v>
      </c>
      <c r="I318">
        <v>0</v>
      </c>
      <c r="J318" t="s">
        <v>1</v>
      </c>
      <c r="K318" t="s">
        <v>13</v>
      </c>
      <c r="L318" s="8">
        <f>InterspecUsage[[#This Row],[Used-MB]]-F308</f>
        <v>0</v>
      </c>
      <c r="M318">
        <f>InterspecUsage[[#This Row],[Max]]-InterspecUsage[[#This Row],[Used-MB]]</f>
        <v>32756</v>
      </c>
      <c r="N318" s="5">
        <f>IF($L318&gt;0,InterspecUsage[[#This Row],[Free-of-Max]]/InterspecUsage[[#This Row],[Usage-Delta-MB]],InterspecUsage[[#This Row],[Free-of-Max]])</f>
        <v>32756</v>
      </c>
    </row>
    <row r="319" spans="1:14" x14ac:dyDescent="0.25">
      <c r="A319" s="3">
        <v>44459</v>
      </c>
      <c r="B319" t="s">
        <v>28</v>
      </c>
      <c r="C319">
        <v>24</v>
      </c>
      <c r="D319">
        <v>16400</v>
      </c>
      <c r="E319">
        <v>12454</v>
      </c>
      <c r="F319">
        <v>3946</v>
      </c>
      <c r="G319">
        <v>76</v>
      </c>
      <c r="H319">
        <v>32768</v>
      </c>
      <c r="I319">
        <v>12</v>
      </c>
      <c r="J319" t="s">
        <v>1</v>
      </c>
      <c r="K319" t="s">
        <v>10</v>
      </c>
      <c r="L319" s="8">
        <f>InterspecUsage[[#This Row],[Used-MB]]-F309</f>
        <v>44</v>
      </c>
      <c r="M319">
        <f>InterspecUsage[[#This Row],[Max]]-InterspecUsage[[#This Row],[Used-MB]]</f>
        <v>28822</v>
      </c>
      <c r="N319" s="5">
        <f>IF($L319&gt;0,InterspecUsage[[#This Row],[Free-of-Max]]/InterspecUsage[[#This Row],[Usage-Delta-MB]],InterspecUsage[[#This Row],[Free-of-Max]])</f>
        <v>655.0454545454545</v>
      </c>
    </row>
    <row r="320" spans="1:14" x14ac:dyDescent="0.25">
      <c r="A320" s="3">
        <v>44459</v>
      </c>
      <c r="B320" t="s">
        <v>25</v>
      </c>
      <c r="C320">
        <v>75</v>
      </c>
      <c r="D320">
        <v>11800</v>
      </c>
      <c r="E320">
        <v>2945</v>
      </c>
      <c r="F320">
        <v>8855</v>
      </c>
      <c r="G320">
        <v>25</v>
      </c>
      <c r="H320">
        <v>32768</v>
      </c>
      <c r="I320">
        <v>27</v>
      </c>
      <c r="J320" t="s">
        <v>1</v>
      </c>
      <c r="K320" t="s">
        <v>2</v>
      </c>
      <c r="L320" s="8">
        <f>InterspecUsage[[#This Row],[Used-MB]]-F310</f>
        <v>9</v>
      </c>
      <c r="M320">
        <f>InterspecUsage[[#This Row],[Max]]-InterspecUsage[[#This Row],[Used-MB]]</f>
        <v>23913</v>
      </c>
      <c r="N320" s="5">
        <f>IF($L320&gt;0,InterspecUsage[[#This Row],[Free-of-Max]]/InterspecUsage[[#This Row],[Usage-Delta-MB]],InterspecUsage[[#This Row],[Free-of-Max]])</f>
        <v>2657</v>
      </c>
    </row>
    <row r="321" spans="1:14" x14ac:dyDescent="0.25">
      <c r="A321" s="3">
        <v>44459</v>
      </c>
      <c r="B321" t="s">
        <v>29</v>
      </c>
      <c r="C321">
        <v>0</v>
      </c>
      <c r="D321">
        <v>500</v>
      </c>
      <c r="E321">
        <v>499</v>
      </c>
      <c r="F321">
        <v>1</v>
      </c>
      <c r="G321">
        <v>100</v>
      </c>
      <c r="H321">
        <v>500</v>
      </c>
      <c r="I321">
        <v>0</v>
      </c>
      <c r="J321" t="s">
        <v>1</v>
      </c>
      <c r="K321" t="s">
        <v>2</v>
      </c>
      <c r="L321" s="8">
        <f>InterspecUsage[[#This Row],[Used-MB]]-F311</f>
        <v>0</v>
      </c>
      <c r="M321">
        <f>InterspecUsage[[#This Row],[Max]]-InterspecUsage[[#This Row],[Used-MB]]</f>
        <v>499</v>
      </c>
      <c r="N321" s="5">
        <f>IF($L321&gt;0,InterspecUsage[[#This Row],[Free-of-Max]]/InterspecUsage[[#This Row],[Usage-Delta-MB]],InterspecUsage[[#This Row],[Free-of-Max]])</f>
        <v>499</v>
      </c>
    </row>
    <row r="322" spans="1:14" x14ac:dyDescent="0.25">
      <c r="A322" s="3">
        <v>44469</v>
      </c>
      <c r="B322" t="s">
        <v>26</v>
      </c>
      <c r="C322">
        <v>95</v>
      </c>
      <c r="D322">
        <v>17788</v>
      </c>
      <c r="E322">
        <v>870</v>
      </c>
      <c r="F322">
        <v>16918</v>
      </c>
      <c r="G322">
        <v>5</v>
      </c>
      <c r="H322">
        <v>40960</v>
      </c>
      <c r="I322">
        <v>41</v>
      </c>
      <c r="J322" t="s">
        <v>1</v>
      </c>
      <c r="K322" t="s">
        <v>2</v>
      </c>
      <c r="L322" s="8">
        <f>InterspecUsage[[#This Row],[Used-MB]]-F312</f>
        <v>64</v>
      </c>
      <c r="M322">
        <f>InterspecUsage[[#This Row],[Max]]-InterspecUsage[[#This Row],[Used-MB]]</f>
        <v>24042</v>
      </c>
      <c r="N322" s="5">
        <f>IF($L322&gt;0,InterspecUsage[[#This Row],[Free-of-Max]]/InterspecUsage[[#This Row],[Usage-Delta-MB]],InterspecUsage[[#This Row],[Free-of-Max]])</f>
        <v>375.65625</v>
      </c>
    </row>
    <row r="323" spans="1:14" x14ac:dyDescent="0.25">
      <c r="A323" s="3">
        <v>44469</v>
      </c>
      <c r="B323" t="s">
        <v>24</v>
      </c>
      <c r="C323">
        <v>99</v>
      </c>
      <c r="D323">
        <v>18000</v>
      </c>
      <c r="E323">
        <v>253</v>
      </c>
      <c r="F323">
        <v>17748</v>
      </c>
      <c r="G323">
        <v>1</v>
      </c>
      <c r="H323">
        <v>32768</v>
      </c>
      <c r="I323">
        <v>54</v>
      </c>
      <c r="J323" t="s">
        <v>1</v>
      </c>
      <c r="K323" t="s">
        <v>2</v>
      </c>
      <c r="L323" s="8">
        <f>InterspecUsage[[#This Row],[Used-MB]]-F313</f>
        <v>74</v>
      </c>
      <c r="M323">
        <f>InterspecUsage[[#This Row],[Max]]-InterspecUsage[[#This Row],[Used-MB]]</f>
        <v>15020</v>
      </c>
      <c r="N323" s="5">
        <f>IF($L323&gt;0,InterspecUsage[[#This Row],[Free-of-Max]]/InterspecUsage[[#This Row],[Usage-Delta-MB]],InterspecUsage[[#This Row],[Free-of-Max]])</f>
        <v>202.97297297297297</v>
      </c>
    </row>
    <row r="324" spans="1:14" x14ac:dyDescent="0.25">
      <c r="A324" s="3">
        <v>44469</v>
      </c>
      <c r="B324" t="s">
        <v>35</v>
      </c>
      <c r="C324">
        <v>95</v>
      </c>
      <c r="D324">
        <v>22000</v>
      </c>
      <c r="E324">
        <v>1070</v>
      </c>
      <c r="F324">
        <v>20930</v>
      </c>
      <c r="G324">
        <v>5</v>
      </c>
      <c r="H324">
        <v>32768</v>
      </c>
      <c r="I324">
        <v>64</v>
      </c>
      <c r="J324" t="s">
        <v>1</v>
      </c>
      <c r="K324" t="s">
        <v>2</v>
      </c>
      <c r="L324" s="8">
        <f>InterspecUsage[[#This Row],[Used-MB]]-F314</f>
        <v>256</v>
      </c>
      <c r="M324">
        <f>InterspecUsage[[#This Row],[Max]]-InterspecUsage[[#This Row],[Used-MB]]</f>
        <v>11838</v>
      </c>
      <c r="N324" s="5">
        <f>IF($L324&gt;0,InterspecUsage[[#This Row],[Free-of-Max]]/InterspecUsage[[#This Row],[Usage-Delta-MB]],InterspecUsage[[#This Row],[Free-of-Max]])</f>
        <v>46.2421875</v>
      </c>
    </row>
    <row r="325" spans="1:14" x14ac:dyDescent="0.25">
      <c r="A325" s="3">
        <v>44469</v>
      </c>
      <c r="B325" t="s">
        <v>27</v>
      </c>
      <c r="C325">
        <v>81</v>
      </c>
      <c r="D325">
        <v>131072</v>
      </c>
      <c r="E325">
        <v>24694</v>
      </c>
      <c r="F325">
        <v>106378</v>
      </c>
      <c r="G325">
        <v>19</v>
      </c>
      <c r="H325">
        <v>131072</v>
      </c>
      <c r="I325">
        <v>81</v>
      </c>
      <c r="J325" t="s">
        <v>1</v>
      </c>
      <c r="K325" t="s">
        <v>2</v>
      </c>
      <c r="L325" s="8">
        <f>InterspecUsage[[#This Row],[Used-MB]]-F315</f>
        <v>1171</v>
      </c>
      <c r="M325">
        <f>InterspecUsage[[#This Row],[Max]]-InterspecUsage[[#This Row],[Used-MB]]</f>
        <v>24694</v>
      </c>
      <c r="N325" s="5">
        <f>IF($L325&gt;0,InterspecUsage[[#This Row],[Free-of-Max]]/InterspecUsage[[#This Row],[Usage-Delta-MB]],InterspecUsage[[#This Row],[Free-of-Max]])</f>
        <v>21.087959009393682</v>
      </c>
    </row>
    <row r="326" spans="1:14" x14ac:dyDescent="0.25">
      <c r="A326" s="3">
        <v>44469</v>
      </c>
      <c r="B326" t="s">
        <v>7</v>
      </c>
      <c r="C326">
        <v>94</v>
      </c>
      <c r="D326">
        <v>1000</v>
      </c>
      <c r="E326">
        <v>57</v>
      </c>
      <c r="F326">
        <v>943</v>
      </c>
      <c r="G326">
        <v>6</v>
      </c>
      <c r="H326">
        <v>32768</v>
      </c>
      <c r="I326">
        <v>3</v>
      </c>
      <c r="J326" t="s">
        <v>1</v>
      </c>
      <c r="K326" t="s">
        <v>2</v>
      </c>
      <c r="L326" s="8">
        <f>InterspecUsage[[#This Row],[Used-MB]]-F316</f>
        <v>-1</v>
      </c>
      <c r="M326">
        <f>InterspecUsage[[#This Row],[Max]]-InterspecUsage[[#This Row],[Used-MB]]</f>
        <v>31825</v>
      </c>
      <c r="N326" s="5">
        <f>IF($L326&gt;0,InterspecUsage[[#This Row],[Free-of-Max]]/InterspecUsage[[#This Row],[Usage-Delta-MB]],InterspecUsage[[#This Row],[Free-of-Max]])</f>
        <v>31825</v>
      </c>
    </row>
    <row r="327" spans="1:14" x14ac:dyDescent="0.25">
      <c r="A327" s="3">
        <v>44469</v>
      </c>
      <c r="B327" t="s">
        <v>0</v>
      </c>
      <c r="C327">
        <v>98</v>
      </c>
      <c r="D327">
        <v>3000</v>
      </c>
      <c r="E327">
        <v>58</v>
      </c>
      <c r="F327">
        <v>2942</v>
      </c>
      <c r="G327">
        <v>2</v>
      </c>
      <c r="H327">
        <v>32768</v>
      </c>
      <c r="I327">
        <v>9</v>
      </c>
      <c r="J327" t="s">
        <v>1</v>
      </c>
      <c r="K327" t="s">
        <v>2</v>
      </c>
      <c r="L327" s="8">
        <f>InterspecUsage[[#This Row],[Used-MB]]-F317</f>
        <v>0</v>
      </c>
      <c r="M327">
        <f>InterspecUsage[[#This Row],[Max]]-InterspecUsage[[#This Row],[Used-MB]]</f>
        <v>29826</v>
      </c>
      <c r="N327" s="5">
        <f>IF($L327&gt;0,InterspecUsage[[#This Row],[Free-of-Max]]/InterspecUsage[[#This Row],[Usage-Delta-MB]],InterspecUsage[[#This Row],[Free-of-Max]])</f>
        <v>29826</v>
      </c>
    </row>
    <row r="328" spans="1:14" x14ac:dyDescent="0.25">
      <c r="A328" s="3">
        <v>44469</v>
      </c>
      <c r="B328" t="s">
        <v>30</v>
      </c>
      <c r="C328">
        <v>0</v>
      </c>
      <c r="D328">
        <v>32767</v>
      </c>
      <c r="E328">
        <v>32733</v>
      </c>
      <c r="F328">
        <v>34</v>
      </c>
      <c r="G328">
        <v>100</v>
      </c>
      <c r="H328">
        <v>32768</v>
      </c>
      <c r="I328">
        <v>0</v>
      </c>
      <c r="J328" t="s">
        <v>1</v>
      </c>
      <c r="K328" t="s">
        <v>13</v>
      </c>
      <c r="L328" s="8">
        <f>InterspecUsage[[#This Row],[Used-MB]]-F318</f>
        <v>22</v>
      </c>
      <c r="M328">
        <f>InterspecUsage[[#This Row],[Max]]-InterspecUsage[[#This Row],[Used-MB]]</f>
        <v>32734</v>
      </c>
      <c r="N328" s="5">
        <f>IF($L328&gt;0,InterspecUsage[[#This Row],[Free-of-Max]]/InterspecUsage[[#This Row],[Usage-Delta-MB]],InterspecUsage[[#This Row],[Free-of-Max]])</f>
        <v>1487.909090909091</v>
      </c>
    </row>
    <row r="329" spans="1:14" x14ac:dyDescent="0.25">
      <c r="A329" s="3">
        <v>44469</v>
      </c>
      <c r="B329" t="s">
        <v>28</v>
      </c>
      <c r="C329">
        <v>24</v>
      </c>
      <c r="D329">
        <v>16400</v>
      </c>
      <c r="E329">
        <v>12470</v>
      </c>
      <c r="F329">
        <v>3930</v>
      </c>
      <c r="G329">
        <v>76</v>
      </c>
      <c r="H329">
        <v>32768</v>
      </c>
      <c r="I329">
        <v>12</v>
      </c>
      <c r="J329" t="s">
        <v>1</v>
      </c>
      <c r="K329" t="s">
        <v>10</v>
      </c>
      <c r="L329" s="8">
        <f>InterspecUsage[[#This Row],[Used-MB]]-F319</f>
        <v>-16</v>
      </c>
      <c r="M329">
        <f>InterspecUsage[[#This Row],[Max]]-InterspecUsage[[#This Row],[Used-MB]]</f>
        <v>28838</v>
      </c>
      <c r="N329" s="5">
        <f>IF($L329&gt;0,InterspecUsage[[#This Row],[Free-of-Max]]/InterspecUsage[[#This Row],[Usage-Delta-MB]],InterspecUsage[[#This Row],[Free-of-Max]])</f>
        <v>28838</v>
      </c>
    </row>
    <row r="330" spans="1:14" x14ac:dyDescent="0.25">
      <c r="A330" s="3">
        <v>44469</v>
      </c>
      <c r="B330" t="s">
        <v>25</v>
      </c>
      <c r="C330">
        <v>75</v>
      </c>
      <c r="D330">
        <v>11800</v>
      </c>
      <c r="E330">
        <v>2943</v>
      </c>
      <c r="F330">
        <v>8857</v>
      </c>
      <c r="G330">
        <v>25</v>
      </c>
      <c r="H330">
        <v>32768</v>
      </c>
      <c r="I330">
        <v>27</v>
      </c>
      <c r="J330" t="s">
        <v>1</v>
      </c>
      <c r="K330" t="s">
        <v>2</v>
      </c>
      <c r="L330" s="8">
        <f>InterspecUsage[[#This Row],[Used-MB]]-F320</f>
        <v>2</v>
      </c>
      <c r="M330">
        <f>InterspecUsage[[#This Row],[Max]]-InterspecUsage[[#This Row],[Used-MB]]</f>
        <v>23911</v>
      </c>
      <c r="N330" s="5">
        <f>IF($L330&gt;0,InterspecUsage[[#This Row],[Free-of-Max]]/InterspecUsage[[#This Row],[Usage-Delta-MB]],InterspecUsage[[#This Row],[Free-of-Max]])</f>
        <v>11955.5</v>
      </c>
    </row>
    <row r="331" spans="1:14" x14ac:dyDescent="0.25">
      <c r="A331" s="3">
        <v>44469</v>
      </c>
      <c r="B331" t="s">
        <v>29</v>
      </c>
      <c r="C331">
        <v>0</v>
      </c>
      <c r="D331">
        <v>500</v>
      </c>
      <c r="E331">
        <v>499</v>
      </c>
      <c r="F331">
        <v>1</v>
      </c>
      <c r="G331">
        <v>100</v>
      </c>
      <c r="H331">
        <v>500</v>
      </c>
      <c r="I331">
        <v>0</v>
      </c>
      <c r="J331" t="s">
        <v>1</v>
      </c>
      <c r="K331" t="s">
        <v>2</v>
      </c>
      <c r="L331" s="8">
        <f>InterspecUsage[[#This Row],[Used-MB]]-F321</f>
        <v>0</v>
      </c>
      <c r="M331">
        <f>InterspecUsage[[#This Row],[Max]]-InterspecUsage[[#This Row],[Used-MB]]</f>
        <v>499</v>
      </c>
      <c r="N331" s="5">
        <f>IF($L331&gt;0,InterspecUsage[[#This Row],[Free-of-Max]]/InterspecUsage[[#This Row],[Usage-Delta-MB]],InterspecUsage[[#This Row],[Free-of-Max]])</f>
        <v>499</v>
      </c>
    </row>
    <row r="332" spans="1:14" x14ac:dyDescent="0.25">
      <c r="A332" s="3">
        <v>44473</v>
      </c>
      <c r="B332" t="s">
        <v>26</v>
      </c>
      <c r="C332">
        <v>95</v>
      </c>
      <c r="D332">
        <v>17788</v>
      </c>
      <c r="E332">
        <v>870</v>
      </c>
      <c r="F332">
        <v>16918</v>
      </c>
      <c r="G332">
        <v>5</v>
      </c>
      <c r="H332">
        <v>40960</v>
      </c>
      <c r="I332">
        <v>41</v>
      </c>
      <c r="J332" t="s">
        <v>1</v>
      </c>
      <c r="K332" t="s">
        <v>2</v>
      </c>
      <c r="L332" s="8">
        <f>InterspecUsage[[#This Row],[Used-MB]]-F322</f>
        <v>0</v>
      </c>
      <c r="M332">
        <f>InterspecUsage[[#This Row],[Max]]-InterspecUsage[[#This Row],[Used-MB]]</f>
        <v>24042</v>
      </c>
      <c r="N332" s="5">
        <f>IF($L332&gt;0,InterspecUsage[[#This Row],[Free-of-Max]]/InterspecUsage[[#This Row],[Usage-Delta-MB]],InterspecUsage[[#This Row],[Free-of-Max]])</f>
        <v>24042</v>
      </c>
    </row>
    <row r="333" spans="1:14" x14ac:dyDescent="0.25">
      <c r="A333" s="3">
        <v>44473</v>
      </c>
      <c r="B333" t="s">
        <v>24</v>
      </c>
      <c r="C333">
        <v>99</v>
      </c>
      <c r="D333">
        <v>18000</v>
      </c>
      <c r="E333">
        <v>245</v>
      </c>
      <c r="F333">
        <v>17756</v>
      </c>
      <c r="G333">
        <v>1</v>
      </c>
      <c r="H333">
        <v>32768</v>
      </c>
      <c r="I333">
        <v>54</v>
      </c>
      <c r="J333" t="s">
        <v>1</v>
      </c>
      <c r="K333" t="s">
        <v>2</v>
      </c>
      <c r="L333" s="8">
        <f>InterspecUsage[[#This Row],[Used-MB]]-F323</f>
        <v>8</v>
      </c>
      <c r="M333">
        <f>InterspecUsage[[#This Row],[Max]]-InterspecUsage[[#This Row],[Used-MB]]</f>
        <v>15012</v>
      </c>
      <c r="N333" s="5">
        <f>IF($L333&gt;0,InterspecUsage[[#This Row],[Free-of-Max]]/InterspecUsage[[#This Row],[Usage-Delta-MB]],InterspecUsage[[#This Row],[Free-of-Max]])</f>
        <v>1876.5</v>
      </c>
    </row>
    <row r="334" spans="1:14" x14ac:dyDescent="0.25">
      <c r="A334" s="3">
        <v>44473</v>
      </c>
      <c r="B334" t="s">
        <v>35</v>
      </c>
      <c r="C334">
        <v>95</v>
      </c>
      <c r="D334">
        <v>22000</v>
      </c>
      <c r="E334">
        <v>1070</v>
      </c>
      <c r="F334">
        <v>20930</v>
      </c>
      <c r="G334">
        <v>5</v>
      </c>
      <c r="H334">
        <v>32768</v>
      </c>
      <c r="I334">
        <v>64</v>
      </c>
      <c r="J334" t="s">
        <v>1</v>
      </c>
      <c r="K334" t="s">
        <v>2</v>
      </c>
      <c r="L334" s="8">
        <f>InterspecUsage[[#This Row],[Used-MB]]-F324</f>
        <v>0</v>
      </c>
      <c r="M334">
        <f>InterspecUsage[[#This Row],[Max]]-InterspecUsage[[#This Row],[Used-MB]]</f>
        <v>11838</v>
      </c>
      <c r="N334" s="5">
        <f>IF($L334&gt;0,InterspecUsage[[#This Row],[Free-of-Max]]/InterspecUsage[[#This Row],[Usage-Delta-MB]],InterspecUsage[[#This Row],[Free-of-Max]])</f>
        <v>11838</v>
      </c>
    </row>
    <row r="335" spans="1:14" x14ac:dyDescent="0.25">
      <c r="A335" s="3">
        <v>44473</v>
      </c>
      <c r="B335" t="s">
        <v>27</v>
      </c>
      <c r="C335">
        <v>81</v>
      </c>
      <c r="D335">
        <v>131072</v>
      </c>
      <c r="E335">
        <v>24500</v>
      </c>
      <c r="F335">
        <v>106572</v>
      </c>
      <c r="G335">
        <v>19</v>
      </c>
      <c r="H335">
        <v>131072</v>
      </c>
      <c r="I335">
        <v>81</v>
      </c>
      <c r="J335" t="s">
        <v>1</v>
      </c>
      <c r="K335" t="s">
        <v>2</v>
      </c>
      <c r="L335" s="8">
        <f>InterspecUsage[[#This Row],[Used-MB]]-F325</f>
        <v>194</v>
      </c>
      <c r="M335">
        <f>InterspecUsage[[#This Row],[Max]]-InterspecUsage[[#This Row],[Used-MB]]</f>
        <v>24500</v>
      </c>
      <c r="N335" s="5">
        <f>IF($L335&gt;0,InterspecUsage[[#This Row],[Free-of-Max]]/InterspecUsage[[#This Row],[Usage-Delta-MB]],InterspecUsage[[#This Row],[Free-of-Max]])</f>
        <v>126.28865979381443</v>
      </c>
    </row>
    <row r="336" spans="1:14" x14ac:dyDescent="0.25">
      <c r="A336" s="3">
        <v>44473</v>
      </c>
      <c r="B336" t="s">
        <v>7</v>
      </c>
      <c r="C336">
        <v>95</v>
      </c>
      <c r="D336">
        <v>1000</v>
      </c>
      <c r="E336">
        <v>49</v>
      </c>
      <c r="F336">
        <v>951</v>
      </c>
      <c r="G336">
        <v>5</v>
      </c>
      <c r="H336">
        <v>32768</v>
      </c>
      <c r="I336">
        <v>3</v>
      </c>
      <c r="J336" t="s">
        <v>1</v>
      </c>
      <c r="K336" t="s">
        <v>2</v>
      </c>
      <c r="L336" s="8">
        <f>InterspecUsage[[#This Row],[Used-MB]]-F326</f>
        <v>8</v>
      </c>
      <c r="M336">
        <f>InterspecUsage[[#This Row],[Max]]-InterspecUsage[[#This Row],[Used-MB]]</f>
        <v>31817</v>
      </c>
      <c r="N336" s="5">
        <f>IF($L336&gt;0,InterspecUsage[[#This Row],[Free-of-Max]]/InterspecUsage[[#This Row],[Usage-Delta-MB]],InterspecUsage[[#This Row],[Free-of-Max]])</f>
        <v>3977.125</v>
      </c>
    </row>
    <row r="337" spans="1:14" x14ac:dyDescent="0.25">
      <c r="A337" s="3">
        <v>44473</v>
      </c>
      <c r="B337" t="s">
        <v>0</v>
      </c>
      <c r="C337">
        <v>98</v>
      </c>
      <c r="D337">
        <v>3000</v>
      </c>
      <c r="E337">
        <v>58</v>
      </c>
      <c r="F337">
        <v>2942</v>
      </c>
      <c r="G337">
        <v>2</v>
      </c>
      <c r="H337">
        <v>32768</v>
      </c>
      <c r="I337">
        <v>9</v>
      </c>
      <c r="J337" t="s">
        <v>1</v>
      </c>
      <c r="K337" t="s">
        <v>2</v>
      </c>
      <c r="L337" s="8">
        <f>InterspecUsage[[#This Row],[Used-MB]]-F327</f>
        <v>0</v>
      </c>
      <c r="M337">
        <f>InterspecUsage[[#This Row],[Max]]-InterspecUsage[[#This Row],[Used-MB]]</f>
        <v>29826</v>
      </c>
      <c r="N337" s="5">
        <f>IF($L337&gt;0,InterspecUsage[[#This Row],[Free-of-Max]]/InterspecUsage[[#This Row],[Usage-Delta-MB]],InterspecUsage[[#This Row],[Free-of-Max]])</f>
        <v>29826</v>
      </c>
    </row>
    <row r="338" spans="1:14" x14ac:dyDescent="0.25">
      <c r="A338" s="3">
        <v>44473</v>
      </c>
      <c r="B338" t="s">
        <v>30</v>
      </c>
      <c r="C338">
        <v>0</v>
      </c>
      <c r="D338">
        <v>32767</v>
      </c>
      <c r="E338">
        <v>32739</v>
      </c>
      <c r="F338">
        <v>28</v>
      </c>
      <c r="G338">
        <v>100</v>
      </c>
      <c r="H338">
        <v>32768</v>
      </c>
      <c r="I338">
        <v>0</v>
      </c>
      <c r="J338" t="s">
        <v>1</v>
      </c>
      <c r="K338" t="s">
        <v>13</v>
      </c>
      <c r="L338" s="8">
        <f>InterspecUsage[[#This Row],[Used-MB]]-F328</f>
        <v>-6</v>
      </c>
      <c r="M338">
        <f>InterspecUsage[[#This Row],[Max]]-InterspecUsage[[#This Row],[Used-MB]]</f>
        <v>32740</v>
      </c>
      <c r="N338" s="5">
        <f>IF($L338&gt;0,InterspecUsage[[#This Row],[Free-of-Max]]/InterspecUsage[[#This Row],[Usage-Delta-MB]],InterspecUsage[[#This Row],[Free-of-Max]])</f>
        <v>32740</v>
      </c>
    </row>
    <row r="339" spans="1:14" x14ac:dyDescent="0.25">
      <c r="A339" s="3">
        <v>44473</v>
      </c>
      <c r="B339" t="s">
        <v>28</v>
      </c>
      <c r="C339">
        <v>24</v>
      </c>
      <c r="D339">
        <v>16400</v>
      </c>
      <c r="E339">
        <v>12467</v>
      </c>
      <c r="F339">
        <v>3933</v>
      </c>
      <c r="G339">
        <v>76</v>
      </c>
      <c r="H339">
        <v>32768</v>
      </c>
      <c r="I339">
        <v>12</v>
      </c>
      <c r="J339" t="s">
        <v>1</v>
      </c>
      <c r="K339" t="s">
        <v>10</v>
      </c>
      <c r="L339" s="8">
        <f>InterspecUsage[[#This Row],[Used-MB]]-F329</f>
        <v>3</v>
      </c>
      <c r="M339">
        <f>InterspecUsage[[#This Row],[Max]]-InterspecUsage[[#This Row],[Used-MB]]</f>
        <v>28835</v>
      </c>
      <c r="N339" s="5">
        <f>IF($L339&gt;0,InterspecUsage[[#This Row],[Free-of-Max]]/InterspecUsage[[#This Row],[Usage-Delta-MB]],InterspecUsage[[#This Row],[Free-of-Max]])</f>
        <v>9611.6666666666661</v>
      </c>
    </row>
    <row r="340" spans="1:14" x14ac:dyDescent="0.25">
      <c r="A340" s="3">
        <v>44473</v>
      </c>
      <c r="B340" t="s">
        <v>25</v>
      </c>
      <c r="C340">
        <v>75</v>
      </c>
      <c r="D340">
        <v>11800</v>
      </c>
      <c r="E340">
        <v>2943</v>
      </c>
      <c r="F340">
        <v>8857</v>
      </c>
      <c r="G340">
        <v>25</v>
      </c>
      <c r="H340">
        <v>32768</v>
      </c>
      <c r="I340">
        <v>27</v>
      </c>
      <c r="J340" t="s">
        <v>1</v>
      </c>
      <c r="K340" t="s">
        <v>2</v>
      </c>
      <c r="L340" s="8">
        <f>InterspecUsage[[#This Row],[Used-MB]]-F330</f>
        <v>0</v>
      </c>
      <c r="M340">
        <f>InterspecUsage[[#This Row],[Max]]-InterspecUsage[[#This Row],[Used-MB]]</f>
        <v>23911</v>
      </c>
      <c r="N340" s="5">
        <f>IF($L340&gt;0,InterspecUsage[[#This Row],[Free-of-Max]]/InterspecUsage[[#This Row],[Usage-Delta-MB]],InterspecUsage[[#This Row],[Free-of-Max]])</f>
        <v>23911</v>
      </c>
    </row>
    <row r="341" spans="1:14" x14ac:dyDescent="0.25">
      <c r="A341" s="3">
        <v>44473</v>
      </c>
      <c r="B341" t="s">
        <v>29</v>
      </c>
      <c r="C341">
        <v>0</v>
      </c>
      <c r="D341">
        <v>500</v>
      </c>
      <c r="E341">
        <v>499</v>
      </c>
      <c r="F341">
        <v>1</v>
      </c>
      <c r="G341">
        <v>100</v>
      </c>
      <c r="H341">
        <v>500</v>
      </c>
      <c r="I341">
        <v>0</v>
      </c>
      <c r="J341" t="s">
        <v>1</v>
      </c>
      <c r="K341" t="s">
        <v>2</v>
      </c>
      <c r="L341" s="8">
        <f>InterspecUsage[[#This Row],[Used-MB]]-F331</f>
        <v>0</v>
      </c>
      <c r="M341">
        <f>InterspecUsage[[#This Row],[Max]]-InterspecUsage[[#This Row],[Used-MB]]</f>
        <v>499</v>
      </c>
      <c r="N341" s="5">
        <f>IF($L341&gt;0,InterspecUsage[[#This Row],[Free-of-Max]]/InterspecUsage[[#This Row],[Usage-Delta-MB]],InterspecUsage[[#This Row],[Free-of-Max]])</f>
        <v>499</v>
      </c>
    </row>
    <row r="342" spans="1:14" x14ac:dyDescent="0.25">
      <c r="A342" s="3">
        <v>44480</v>
      </c>
      <c r="B342" t="s">
        <v>26</v>
      </c>
      <c r="C342">
        <v>93</v>
      </c>
      <c r="D342">
        <v>18288</v>
      </c>
      <c r="E342">
        <v>1306</v>
      </c>
      <c r="F342">
        <v>16982</v>
      </c>
      <c r="G342">
        <v>7</v>
      </c>
      <c r="H342">
        <v>40960</v>
      </c>
      <c r="I342">
        <v>41</v>
      </c>
      <c r="J342" t="s">
        <v>1</v>
      </c>
      <c r="K342" t="s">
        <v>2</v>
      </c>
      <c r="L342" s="8">
        <f>InterspecUsage[[#This Row],[Used-MB]]-F332</f>
        <v>64</v>
      </c>
      <c r="M342">
        <f>InterspecUsage[[#This Row],[Max]]-InterspecUsage[[#This Row],[Used-MB]]</f>
        <v>23978</v>
      </c>
      <c r="N342" s="5">
        <f>IF($L342&gt;0,InterspecUsage[[#This Row],[Free-of-Max]]/InterspecUsage[[#This Row],[Usage-Delta-MB]],InterspecUsage[[#This Row],[Free-of-Max]])</f>
        <v>374.65625</v>
      </c>
    </row>
    <row r="343" spans="1:14" x14ac:dyDescent="0.25">
      <c r="A343" s="3">
        <v>44480</v>
      </c>
      <c r="B343" t="s">
        <v>24</v>
      </c>
      <c r="C343">
        <v>99</v>
      </c>
      <c r="D343">
        <v>18000</v>
      </c>
      <c r="E343">
        <v>243</v>
      </c>
      <c r="F343">
        <v>17758</v>
      </c>
      <c r="G343">
        <v>1</v>
      </c>
      <c r="H343">
        <v>32768</v>
      </c>
      <c r="I343">
        <v>54</v>
      </c>
      <c r="J343" t="s">
        <v>1</v>
      </c>
      <c r="K343" t="s">
        <v>2</v>
      </c>
      <c r="L343" s="8">
        <f>InterspecUsage[[#This Row],[Used-MB]]-F333</f>
        <v>2</v>
      </c>
      <c r="M343">
        <f>InterspecUsage[[#This Row],[Max]]-InterspecUsage[[#This Row],[Used-MB]]</f>
        <v>15010</v>
      </c>
      <c r="N343" s="5">
        <f>IF($L343&gt;0,InterspecUsage[[#This Row],[Free-of-Max]]/InterspecUsage[[#This Row],[Usage-Delta-MB]],InterspecUsage[[#This Row],[Free-of-Max]])</f>
        <v>7505</v>
      </c>
    </row>
    <row r="344" spans="1:14" x14ac:dyDescent="0.25">
      <c r="A344" s="3">
        <v>44480</v>
      </c>
      <c r="B344" t="s">
        <v>36</v>
      </c>
      <c r="C344">
        <v>95</v>
      </c>
      <c r="D344">
        <v>22200</v>
      </c>
      <c r="E344">
        <v>1206</v>
      </c>
      <c r="F344">
        <v>20994</v>
      </c>
      <c r="G344">
        <v>5</v>
      </c>
      <c r="H344">
        <v>32768</v>
      </c>
      <c r="I344">
        <v>64</v>
      </c>
      <c r="J344" t="s">
        <v>1</v>
      </c>
      <c r="K344" t="s">
        <v>2</v>
      </c>
      <c r="L344" s="8">
        <f>InterspecUsage[[#This Row],[Used-MB]]-F334</f>
        <v>64</v>
      </c>
      <c r="M344">
        <f>InterspecUsage[[#This Row],[Max]]-InterspecUsage[[#This Row],[Used-MB]]</f>
        <v>11774</v>
      </c>
      <c r="N344" s="5">
        <f>IF($L344&gt;0,InterspecUsage[[#This Row],[Free-of-Max]]/InterspecUsage[[#This Row],[Usage-Delta-MB]],InterspecUsage[[#This Row],[Free-of-Max]])</f>
        <v>183.96875</v>
      </c>
    </row>
    <row r="345" spans="1:14" x14ac:dyDescent="0.25">
      <c r="A345" s="3">
        <v>44480</v>
      </c>
      <c r="B345" t="s">
        <v>27</v>
      </c>
      <c r="C345">
        <v>82</v>
      </c>
      <c r="D345">
        <v>131072</v>
      </c>
      <c r="E345">
        <v>24052</v>
      </c>
      <c r="F345">
        <v>107020</v>
      </c>
      <c r="G345">
        <v>18</v>
      </c>
      <c r="H345">
        <v>131072</v>
      </c>
      <c r="I345">
        <v>82</v>
      </c>
      <c r="J345" t="s">
        <v>1</v>
      </c>
      <c r="K345" t="s">
        <v>2</v>
      </c>
      <c r="L345" s="8">
        <f>InterspecUsage[[#This Row],[Used-MB]]-F335</f>
        <v>448</v>
      </c>
      <c r="M345">
        <f>InterspecUsage[[#This Row],[Max]]-InterspecUsage[[#This Row],[Used-MB]]</f>
        <v>24052</v>
      </c>
      <c r="N345" s="5">
        <f>IF($L345&gt;0,InterspecUsage[[#This Row],[Free-of-Max]]/InterspecUsage[[#This Row],[Usage-Delta-MB]],InterspecUsage[[#This Row],[Free-of-Max]])</f>
        <v>53.6875</v>
      </c>
    </row>
    <row r="346" spans="1:14" x14ac:dyDescent="0.25">
      <c r="A346" s="3">
        <v>44480</v>
      </c>
      <c r="B346" t="s">
        <v>7</v>
      </c>
      <c r="C346">
        <v>96</v>
      </c>
      <c r="D346">
        <v>1000</v>
      </c>
      <c r="E346">
        <v>40</v>
      </c>
      <c r="F346">
        <v>960</v>
      </c>
      <c r="G346">
        <v>4</v>
      </c>
      <c r="H346">
        <v>32768</v>
      </c>
      <c r="I346">
        <v>3</v>
      </c>
      <c r="J346" t="s">
        <v>1</v>
      </c>
      <c r="K346" t="s">
        <v>2</v>
      </c>
      <c r="L346" s="8">
        <f>InterspecUsage[[#This Row],[Used-MB]]-F336</f>
        <v>9</v>
      </c>
      <c r="M346">
        <f>InterspecUsage[[#This Row],[Max]]-InterspecUsage[[#This Row],[Used-MB]]</f>
        <v>31808</v>
      </c>
      <c r="N346" s="5">
        <f>IF($L346&gt;0,InterspecUsage[[#This Row],[Free-of-Max]]/InterspecUsage[[#This Row],[Usage-Delta-MB]],InterspecUsage[[#This Row],[Free-of-Max]])</f>
        <v>3534.2222222222222</v>
      </c>
    </row>
    <row r="347" spans="1:14" x14ac:dyDescent="0.25">
      <c r="A347" s="3">
        <v>44480</v>
      </c>
      <c r="B347" t="s">
        <v>0</v>
      </c>
      <c r="C347">
        <v>98</v>
      </c>
      <c r="D347">
        <v>3070</v>
      </c>
      <c r="E347">
        <v>64</v>
      </c>
      <c r="F347">
        <v>3006</v>
      </c>
      <c r="G347">
        <v>2</v>
      </c>
      <c r="H347">
        <v>32768</v>
      </c>
      <c r="I347">
        <v>9</v>
      </c>
      <c r="J347" t="s">
        <v>1</v>
      </c>
      <c r="K347" t="s">
        <v>2</v>
      </c>
      <c r="L347" s="8">
        <f>InterspecUsage[[#This Row],[Used-MB]]-F337</f>
        <v>64</v>
      </c>
      <c r="M347">
        <f>InterspecUsage[[#This Row],[Max]]-InterspecUsage[[#This Row],[Used-MB]]</f>
        <v>29762</v>
      </c>
      <c r="N347" s="5">
        <f>IF($L347&gt;0,InterspecUsage[[#This Row],[Free-of-Max]]/InterspecUsage[[#This Row],[Usage-Delta-MB]],InterspecUsage[[#This Row],[Free-of-Max]])</f>
        <v>465.03125</v>
      </c>
    </row>
    <row r="348" spans="1:14" x14ac:dyDescent="0.25">
      <c r="A348" s="3">
        <v>44480</v>
      </c>
      <c r="B348" t="s">
        <v>30</v>
      </c>
      <c r="C348">
        <v>0</v>
      </c>
      <c r="D348">
        <v>32767</v>
      </c>
      <c r="E348">
        <v>32746</v>
      </c>
      <c r="F348">
        <v>21</v>
      </c>
      <c r="G348">
        <v>100</v>
      </c>
      <c r="H348">
        <v>32768</v>
      </c>
      <c r="I348">
        <v>0</v>
      </c>
      <c r="J348" t="s">
        <v>1</v>
      </c>
      <c r="K348" t="s">
        <v>13</v>
      </c>
      <c r="L348" s="8">
        <f>InterspecUsage[[#This Row],[Used-MB]]-F338</f>
        <v>-7</v>
      </c>
      <c r="M348">
        <f>InterspecUsage[[#This Row],[Max]]-InterspecUsage[[#This Row],[Used-MB]]</f>
        <v>32747</v>
      </c>
      <c r="N348" s="5">
        <f>IF($L348&gt;0,InterspecUsage[[#This Row],[Free-of-Max]]/InterspecUsage[[#This Row],[Usage-Delta-MB]],InterspecUsage[[#This Row],[Free-of-Max]])</f>
        <v>32747</v>
      </c>
    </row>
    <row r="349" spans="1:14" x14ac:dyDescent="0.25">
      <c r="A349" s="3">
        <v>44480</v>
      </c>
      <c r="B349" t="s">
        <v>28</v>
      </c>
      <c r="C349">
        <v>24</v>
      </c>
      <c r="D349">
        <v>16400</v>
      </c>
      <c r="E349">
        <v>12457</v>
      </c>
      <c r="F349">
        <v>3943</v>
      </c>
      <c r="G349">
        <v>76</v>
      </c>
      <c r="H349">
        <v>32768</v>
      </c>
      <c r="I349">
        <v>12</v>
      </c>
      <c r="J349" t="s">
        <v>1</v>
      </c>
      <c r="K349" t="s">
        <v>10</v>
      </c>
      <c r="L349" s="8">
        <f>InterspecUsage[[#This Row],[Used-MB]]-F339</f>
        <v>10</v>
      </c>
      <c r="M349">
        <f>InterspecUsage[[#This Row],[Max]]-InterspecUsage[[#This Row],[Used-MB]]</f>
        <v>28825</v>
      </c>
      <c r="N349" s="5">
        <f>IF($L349&gt;0,InterspecUsage[[#This Row],[Free-of-Max]]/InterspecUsage[[#This Row],[Usage-Delta-MB]],InterspecUsage[[#This Row],[Free-of-Max]])</f>
        <v>2882.5</v>
      </c>
    </row>
    <row r="350" spans="1:14" x14ac:dyDescent="0.25">
      <c r="A350" s="3">
        <v>44480</v>
      </c>
      <c r="B350" t="s">
        <v>25</v>
      </c>
      <c r="C350">
        <v>75</v>
      </c>
      <c r="D350">
        <v>11800</v>
      </c>
      <c r="E350">
        <v>2917</v>
      </c>
      <c r="F350">
        <v>8883</v>
      </c>
      <c r="G350">
        <v>25</v>
      </c>
      <c r="H350">
        <v>32768</v>
      </c>
      <c r="I350">
        <v>27</v>
      </c>
      <c r="J350" t="s">
        <v>1</v>
      </c>
      <c r="K350" t="s">
        <v>2</v>
      </c>
      <c r="L350" s="8">
        <f>InterspecUsage[[#This Row],[Used-MB]]-F340</f>
        <v>26</v>
      </c>
      <c r="M350">
        <f>InterspecUsage[[#This Row],[Max]]-InterspecUsage[[#This Row],[Used-MB]]</f>
        <v>23885</v>
      </c>
      <c r="N350" s="5">
        <f>IF($L350&gt;0,InterspecUsage[[#This Row],[Free-of-Max]]/InterspecUsage[[#This Row],[Usage-Delta-MB]],InterspecUsage[[#This Row],[Free-of-Max]])</f>
        <v>918.65384615384619</v>
      </c>
    </row>
    <row r="351" spans="1:14" x14ac:dyDescent="0.25">
      <c r="A351" s="3">
        <v>44480</v>
      </c>
      <c r="B351" t="s">
        <v>29</v>
      </c>
      <c r="C351">
        <v>0</v>
      </c>
      <c r="D351">
        <v>500</v>
      </c>
      <c r="E351">
        <v>499</v>
      </c>
      <c r="F351">
        <v>1</v>
      </c>
      <c r="G351">
        <v>100</v>
      </c>
      <c r="H351">
        <v>500</v>
      </c>
      <c r="I351">
        <v>0</v>
      </c>
      <c r="J351" t="s">
        <v>1</v>
      </c>
      <c r="K351" t="s">
        <v>2</v>
      </c>
      <c r="L351" s="8">
        <f>InterspecUsage[[#This Row],[Used-MB]]-F341</f>
        <v>0</v>
      </c>
      <c r="M351">
        <f>InterspecUsage[[#This Row],[Max]]-InterspecUsage[[#This Row],[Used-MB]]</f>
        <v>499</v>
      </c>
      <c r="N351" s="5">
        <f>IF($L351&gt;0,InterspecUsage[[#This Row],[Free-of-Max]]/InterspecUsage[[#This Row],[Usage-Delta-MB]],InterspecUsage[[#This Row],[Free-of-Max]])</f>
        <v>499</v>
      </c>
    </row>
    <row r="352" spans="1:14" x14ac:dyDescent="0.25">
      <c r="A352" s="3">
        <v>44487</v>
      </c>
      <c r="B352" t="s">
        <v>26</v>
      </c>
      <c r="C352">
        <v>93</v>
      </c>
      <c r="D352">
        <v>18288</v>
      </c>
      <c r="E352">
        <v>1306</v>
      </c>
      <c r="F352">
        <v>16982</v>
      </c>
      <c r="G352">
        <v>7</v>
      </c>
      <c r="H352">
        <v>40960</v>
      </c>
      <c r="I352">
        <v>41</v>
      </c>
      <c r="J352" t="s">
        <v>1</v>
      </c>
      <c r="K352" t="s">
        <v>2</v>
      </c>
      <c r="L352" s="8">
        <f>InterspecUsage[[#This Row],[Used-MB]]-F342</f>
        <v>0</v>
      </c>
      <c r="M352">
        <f>InterspecUsage[[#This Row],[Max]]-InterspecUsage[[#This Row],[Used-MB]]</f>
        <v>23978</v>
      </c>
      <c r="N352" s="5">
        <f>IF($L352&gt;0,InterspecUsage[[#This Row],[Free-of-Max]]/InterspecUsage[[#This Row],[Usage-Delta-MB]],InterspecUsage[[#This Row],[Free-of-Max]])</f>
        <v>23978</v>
      </c>
    </row>
    <row r="353" spans="1:14" x14ac:dyDescent="0.25">
      <c r="A353" s="3">
        <v>44487</v>
      </c>
      <c r="B353" t="s">
        <v>24</v>
      </c>
      <c r="C353">
        <v>99</v>
      </c>
      <c r="D353">
        <v>18000</v>
      </c>
      <c r="E353">
        <v>178</v>
      </c>
      <c r="F353">
        <v>17823</v>
      </c>
      <c r="G353">
        <v>1</v>
      </c>
      <c r="H353">
        <v>32768</v>
      </c>
      <c r="I353">
        <v>54</v>
      </c>
      <c r="J353" t="s">
        <v>1</v>
      </c>
      <c r="K353" t="s">
        <v>2</v>
      </c>
      <c r="L353" s="8">
        <f>InterspecUsage[[#This Row],[Used-MB]]-F343</f>
        <v>65</v>
      </c>
      <c r="M353">
        <f>InterspecUsage[[#This Row],[Max]]-InterspecUsage[[#This Row],[Used-MB]]</f>
        <v>14945</v>
      </c>
      <c r="N353" s="5">
        <f>IF($L353&gt;0,InterspecUsage[[#This Row],[Free-of-Max]]/InterspecUsage[[#This Row],[Usage-Delta-MB]],InterspecUsage[[#This Row],[Free-of-Max]])</f>
        <v>229.92307692307693</v>
      </c>
    </row>
    <row r="354" spans="1:14" x14ac:dyDescent="0.25">
      <c r="A354" s="3">
        <v>44487</v>
      </c>
      <c r="B354" t="s">
        <v>35</v>
      </c>
      <c r="C354">
        <v>95</v>
      </c>
      <c r="D354">
        <v>22200</v>
      </c>
      <c r="E354">
        <v>1078</v>
      </c>
      <c r="F354">
        <v>21122</v>
      </c>
      <c r="G354">
        <v>5</v>
      </c>
      <c r="H354">
        <v>32768</v>
      </c>
      <c r="I354">
        <v>64</v>
      </c>
      <c r="J354" t="s">
        <v>1</v>
      </c>
      <c r="K354" t="s">
        <v>2</v>
      </c>
      <c r="L354" s="8">
        <f>InterspecUsage[[#This Row],[Used-MB]]-F344</f>
        <v>128</v>
      </c>
      <c r="M354">
        <f>InterspecUsage[[#This Row],[Max]]-InterspecUsage[[#This Row],[Used-MB]]</f>
        <v>11646</v>
      </c>
      <c r="N354" s="5">
        <f>IF($L354&gt;0,InterspecUsage[[#This Row],[Free-of-Max]]/InterspecUsage[[#This Row],[Usage-Delta-MB]],InterspecUsage[[#This Row],[Free-of-Max]])</f>
        <v>90.984375</v>
      </c>
    </row>
    <row r="355" spans="1:14" x14ac:dyDescent="0.25">
      <c r="A355" s="3">
        <v>44487</v>
      </c>
      <c r="B355" t="s">
        <v>27</v>
      </c>
      <c r="C355">
        <v>82</v>
      </c>
      <c r="D355">
        <v>131072</v>
      </c>
      <c r="E355">
        <v>23530</v>
      </c>
      <c r="F355">
        <v>107542</v>
      </c>
      <c r="G355">
        <v>18</v>
      </c>
      <c r="H355">
        <v>131072</v>
      </c>
      <c r="I355">
        <v>82</v>
      </c>
      <c r="J355" t="s">
        <v>1</v>
      </c>
      <c r="K355" t="s">
        <v>2</v>
      </c>
      <c r="L355" s="8">
        <f>InterspecUsage[[#This Row],[Used-MB]]-F345</f>
        <v>522</v>
      </c>
      <c r="M355">
        <f>InterspecUsage[[#This Row],[Max]]-InterspecUsage[[#This Row],[Used-MB]]</f>
        <v>23530</v>
      </c>
      <c r="N355" s="5">
        <f>IF($L355&gt;0,InterspecUsage[[#This Row],[Free-of-Max]]/InterspecUsage[[#This Row],[Usage-Delta-MB]],InterspecUsage[[#This Row],[Free-of-Max]])</f>
        <v>45.076628352490424</v>
      </c>
    </row>
    <row r="356" spans="1:14" x14ac:dyDescent="0.25">
      <c r="A356" s="3">
        <v>44487</v>
      </c>
      <c r="B356" t="s">
        <v>7</v>
      </c>
      <c r="C356">
        <v>95</v>
      </c>
      <c r="D356">
        <v>1020</v>
      </c>
      <c r="E356">
        <v>51</v>
      </c>
      <c r="F356">
        <v>969</v>
      </c>
      <c r="G356">
        <v>5</v>
      </c>
      <c r="H356">
        <v>32768</v>
      </c>
      <c r="I356">
        <v>3</v>
      </c>
      <c r="J356" t="s">
        <v>1</v>
      </c>
      <c r="K356" t="s">
        <v>2</v>
      </c>
      <c r="L356" s="8">
        <f>InterspecUsage[[#This Row],[Used-MB]]-F346</f>
        <v>9</v>
      </c>
      <c r="M356">
        <f>InterspecUsage[[#This Row],[Max]]-InterspecUsage[[#This Row],[Used-MB]]</f>
        <v>31799</v>
      </c>
      <c r="N356" s="5">
        <f>IF($L356&gt;0,InterspecUsage[[#This Row],[Free-of-Max]]/InterspecUsage[[#This Row],[Usage-Delta-MB]],InterspecUsage[[#This Row],[Free-of-Max]])</f>
        <v>3533.2222222222222</v>
      </c>
    </row>
    <row r="357" spans="1:14" x14ac:dyDescent="0.25">
      <c r="A357" s="3">
        <v>44487</v>
      </c>
      <c r="B357" t="s">
        <v>0</v>
      </c>
      <c r="C357">
        <v>98</v>
      </c>
      <c r="D357">
        <v>3070</v>
      </c>
      <c r="E357">
        <v>64</v>
      </c>
      <c r="F357">
        <v>3006</v>
      </c>
      <c r="G357">
        <v>2</v>
      </c>
      <c r="H357">
        <v>32768</v>
      </c>
      <c r="I357">
        <v>9</v>
      </c>
      <c r="J357" t="s">
        <v>1</v>
      </c>
      <c r="K357" t="s">
        <v>2</v>
      </c>
      <c r="L357" s="8">
        <f>InterspecUsage[[#This Row],[Used-MB]]-F347</f>
        <v>0</v>
      </c>
      <c r="M357">
        <f>InterspecUsage[[#This Row],[Max]]-InterspecUsage[[#This Row],[Used-MB]]</f>
        <v>29762</v>
      </c>
      <c r="N357" s="5">
        <f>IF($L357&gt;0,InterspecUsage[[#This Row],[Free-of-Max]]/InterspecUsage[[#This Row],[Usage-Delta-MB]],InterspecUsage[[#This Row],[Free-of-Max]])</f>
        <v>29762</v>
      </c>
    </row>
    <row r="358" spans="1:14" x14ac:dyDescent="0.25">
      <c r="A358" s="3">
        <v>44487</v>
      </c>
      <c r="B358" t="s">
        <v>30</v>
      </c>
      <c r="C358">
        <v>0</v>
      </c>
      <c r="D358">
        <v>32767</v>
      </c>
      <c r="E358">
        <v>32747</v>
      </c>
      <c r="F358">
        <v>20</v>
      </c>
      <c r="G358">
        <v>100</v>
      </c>
      <c r="H358">
        <v>32768</v>
      </c>
      <c r="I358">
        <v>0</v>
      </c>
      <c r="J358" t="s">
        <v>1</v>
      </c>
      <c r="K358" t="s">
        <v>13</v>
      </c>
      <c r="L358" s="8">
        <f>InterspecUsage[[#This Row],[Used-MB]]-F348</f>
        <v>-1</v>
      </c>
      <c r="M358">
        <f>InterspecUsage[[#This Row],[Max]]-InterspecUsage[[#This Row],[Used-MB]]</f>
        <v>32748</v>
      </c>
      <c r="N358" s="5">
        <f>IF($L358&gt;0,InterspecUsage[[#This Row],[Free-of-Max]]/InterspecUsage[[#This Row],[Usage-Delta-MB]],InterspecUsage[[#This Row],[Free-of-Max]])</f>
        <v>32748</v>
      </c>
    </row>
    <row r="359" spans="1:14" x14ac:dyDescent="0.25">
      <c r="A359" s="3">
        <v>44487</v>
      </c>
      <c r="B359" t="s">
        <v>28</v>
      </c>
      <c r="C359">
        <v>24</v>
      </c>
      <c r="D359">
        <v>16400</v>
      </c>
      <c r="E359">
        <v>12494</v>
      </c>
      <c r="F359">
        <v>3906</v>
      </c>
      <c r="G359">
        <v>76</v>
      </c>
      <c r="H359">
        <v>32768</v>
      </c>
      <c r="I359">
        <v>12</v>
      </c>
      <c r="J359" t="s">
        <v>1</v>
      </c>
      <c r="K359" t="s">
        <v>10</v>
      </c>
      <c r="L359" s="8">
        <f>InterspecUsage[[#This Row],[Used-MB]]-F349</f>
        <v>-37</v>
      </c>
      <c r="M359">
        <f>InterspecUsage[[#This Row],[Max]]-InterspecUsage[[#This Row],[Used-MB]]</f>
        <v>28862</v>
      </c>
      <c r="N359" s="5">
        <f>IF($L359&gt;0,InterspecUsage[[#This Row],[Free-of-Max]]/InterspecUsage[[#This Row],[Usage-Delta-MB]],InterspecUsage[[#This Row],[Free-of-Max]])</f>
        <v>28862</v>
      </c>
    </row>
    <row r="360" spans="1:14" x14ac:dyDescent="0.25">
      <c r="A360" s="3">
        <v>44487</v>
      </c>
      <c r="B360" t="s">
        <v>25</v>
      </c>
      <c r="C360">
        <v>77</v>
      </c>
      <c r="D360">
        <v>11800</v>
      </c>
      <c r="E360">
        <v>2719</v>
      </c>
      <c r="F360">
        <v>9081</v>
      </c>
      <c r="G360">
        <v>23</v>
      </c>
      <c r="H360">
        <v>32768</v>
      </c>
      <c r="I360">
        <v>28</v>
      </c>
      <c r="J360" t="s">
        <v>1</v>
      </c>
      <c r="K360" t="s">
        <v>2</v>
      </c>
      <c r="L360" s="8">
        <f>InterspecUsage[[#This Row],[Used-MB]]-F350</f>
        <v>198</v>
      </c>
      <c r="M360">
        <f>InterspecUsage[[#This Row],[Max]]-InterspecUsage[[#This Row],[Used-MB]]</f>
        <v>23687</v>
      </c>
      <c r="N360" s="5">
        <f>IF($L360&gt;0,InterspecUsage[[#This Row],[Free-of-Max]]/InterspecUsage[[#This Row],[Usage-Delta-MB]],InterspecUsage[[#This Row],[Free-of-Max]])</f>
        <v>119.63131313131314</v>
      </c>
    </row>
    <row r="361" spans="1:14" x14ac:dyDescent="0.25">
      <c r="A361" s="3">
        <v>44487</v>
      </c>
      <c r="B361" t="s">
        <v>29</v>
      </c>
      <c r="C361">
        <v>0</v>
      </c>
      <c r="D361">
        <v>500</v>
      </c>
      <c r="E361">
        <v>499</v>
      </c>
      <c r="F361">
        <v>1</v>
      </c>
      <c r="G361">
        <v>100</v>
      </c>
      <c r="H361">
        <v>500</v>
      </c>
      <c r="I361">
        <v>0</v>
      </c>
      <c r="J361" t="s">
        <v>1</v>
      </c>
      <c r="K361" t="s">
        <v>2</v>
      </c>
      <c r="L361" s="8">
        <f>InterspecUsage[[#This Row],[Used-MB]]-F351</f>
        <v>0</v>
      </c>
      <c r="M361">
        <f>InterspecUsage[[#This Row],[Max]]-InterspecUsage[[#This Row],[Used-MB]]</f>
        <v>499</v>
      </c>
      <c r="N361" s="5">
        <f>IF($L361&gt;0,InterspecUsage[[#This Row],[Free-of-Max]]/InterspecUsage[[#This Row],[Usage-Delta-MB]],InterspecUsage[[#This Row],[Free-of-Max]])</f>
        <v>499</v>
      </c>
    </row>
    <row r="362" spans="1:14" x14ac:dyDescent="0.25">
      <c r="A362" s="3">
        <v>44494</v>
      </c>
      <c r="B362" t="s">
        <v>26</v>
      </c>
      <c r="C362">
        <v>93</v>
      </c>
      <c r="D362">
        <v>18288</v>
      </c>
      <c r="E362">
        <v>1306</v>
      </c>
      <c r="F362">
        <v>16982</v>
      </c>
      <c r="G362">
        <v>7</v>
      </c>
      <c r="H362">
        <v>40960</v>
      </c>
      <c r="I362">
        <v>41</v>
      </c>
      <c r="J362" t="s">
        <v>1</v>
      </c>
      <c r="K362" t="s">
        <v>2</v>
      </c>
      <c r="L362" s="8">
        <f>InterspecUsage[[#This Row],[Used-MB]]-F352</f>
        <v>0</v>
      </c>
      <c r="M362">
        <f>InterspecUsage[[#This Row],[Max]]-InterspecUsage[[#This Row],[Used-MB]]</f>
        <v>23978</v>
      </c>
      <c r="N362" s="5">
        <f>IF($L362&gt;0,InterspecUsage[[#This Row],[Free-of-Max]]/InterspecUsage[[#This Row],[Usage-Delta-MB]],InterspecUsage[[#This Row],[Free-of-Max]])</f>
        <v>23978</v>
      </c>
    </row>
    <row r="363" spans="1:14" x14ac:dyDescent="0.25">
      <c r="A363" s="3">
        <v>44494</v>
      </c>
      <c r="B363" t="s">
        <v>24</v>
      </c>
      <c r="C363">
        <v>99</v>
      </c>
      <c r="D363">
        <v>18000</v>
      </c>
      <c r="E363">
        <v>177</v>
      </c>
      <c r="F363">
        <v>17824</v>
      </c>
      <c r="G363">
        <v>1</v>
      </c>
      <c r="H363">
        <v>32768</v>
      </c>
      <c r="I363">
        <v>54</v>
      </c>
      <c r="J363" t="s">
        <v>1</v>
      </c>
      <c r="K363" t="s">
        <v>2</v>
      </c>
      <c r="L363" s="8">
        <f>InterspecUsage[[#This Row],[Used-MB]]-F353</f>
        <v>1</v>
      </c>
      <c r="M363">
        <f>InterspecUsage[[#This Row],[Max]]-InterspecUsage[[#This Row],[Used-MB]]</f>
        <v>14944</v>
      </c>
      <c r="N363" s="5">
        <f>IF($L363&gt;0,InterspecUsage[[#This Row],[Free-of-Max]]/InterspecUsage[[#This Row],[Usage-Delta-MB]],InterspecUsage[[#This Row],[Free-of-Max]])</f>
        <v>14944</v>
      </c>
    </row>
    <row r="364" spans="1:14" x14ac:dyDescent="0.25">
      <c r="A364" s="3">
        <v>44494</v>
      </c>
      <c r="B364" t="s">
        <v>35</v>
      </c>
      <c r="C364">
        <v>95</v>
      </c>
      <c r="D364">
        <v>22400</v>
      </c>
      <c r="E364">
        <v>1214</v>
      </c>
      <c r="F364">
        <v>21186</v>
      </c>
      <c r="G364">
        <v>5</v>
      </c>
      <c r="H364">
        <v>32768</v>
      </c>
      <c r="I364">
        <v>65</v>
      </c>
      <c r="J364" t="s">
        <v>1</v>
      </c>
      <c r="K364" t="s">
        <v>2</v>
      </c>
      <c r="L364" s="8">
        <f>InterspecUsage[[#This Row],[Used-MB]]-F354</f>
        <v>64</v>
      </c>
      <c r="M364">
        <f>InterspecUsage[[#This Row],[Max]]-InterspecUsage[[#This Row],[Used-MB]]</f>
        <v>11582</v>
      </c>
      <c r="N364" s="5">
        <f>IF($L364&gt;0,InterspecUsage[[#This Row],[Free-of-Max]]/InterspecUsage[[#This Row],[Usage-Delta-MB]],InterspecUsage[[#This Row],[Free-of-Max]])</f>
        <v>180.96875</v>
      </c>
    </row>
    <row r="365" spans="1:14" x14ac:dyDescent="0.25">
      <c r="A365" s="3">
        <v>44494</v>
      </c>
      <c r="B365" t="s">
        <v>27</v>
      </c>
      <c r="C365">
        <v>82</v>
      </c>
      <c r="D365">
        <v>131072</v>
      </c>
      <c r="E365">
        <v>23384</v>
      </c>
      <c r="F365">
        <v>107688</v>
      </c>
      <c r="G365">
        <v>18</v>
      </c>
      <c r="H365">
        <v>131072</v>
      </c>
      <c r="I365">
        <v>82</v>
      </c>
      <c r="J365" t="s">
        <v>1</v>
      </c>
      <c r="K365" t="s">
        <v>2</v>
      </c>
      <c r="L365" s="8">
        <f>InterspecUsage[[#This Row],[Used-MB]]-F355</f>
        <v>146</v>
      </c>
      <c r="M365">
        <f>InterspecUsage[[#This Row],[Max]]-InterspecUsage[[#This Row],[Used-MB]]</f>
        <v>23384</v>
      </c>
      <c r="N365" s="5">
        <f>IF($L365&gt;0,InterspecUsage[[#This Row],[Free-of-Max]]/InterspecUsage[[#This Row],[Usage-Delta-MB]],InterspecUsage[[#This Row],[Free-of-Max]])</f>
        <v>160.16438356164383</v>
      </c>
    </row>
    <row r="366" spans="1:14" x14ac:dyDescent="0.25">
      <c r="A366" s="3">
        <v>44494</v>
      </c>
      <c r="B366" t="s">
        <v>7</v>
      </c>
      <c r="C366">
        <v>95</v>
      </c>
      <c r="D366">
        <v>1020</v>
      </c>
      <c r="E366">
        <v>51</v>
      </c>
      <c r="F366">
        <v>969</v>
      </c>
      <c r="G366">
        <v>5</v>
      </c>
      <c r="H366">
        <v>32768</v>
      </c>
      <c r="I366">
        <v>3</v>
      </c>
      <c r="J366" t="s">
        <v>1</v>
      </c>
      <c r="K366" t="s">
        <v>2</v>
      </c>
      <c r="L366" s="8">
        <f>InterspecUsage[[#This Row],[Used-MB]]-F356</f>
        <v>0</v>
      </c>
      <c r="M366">
        <f>InterspecUsage[[#This Row],[Max]]-InterspecUsage[[#This Row],[Used-MB]]</f>
        <v>31799</v>
      </c>
      <c r="N366" s="5">
        <f>IF($L366&gt;0,InterspecUsage[[#This Row],[Free-of-Max]]/InterspecUsage[[#This Row],[Usage-Delta-MB]],InterspecUsage[[#This Row],[Free-of-Max]])</f>
        <v>31799</v>
      </c>
    </row>
    <row r="367" spans="1:14" x14ac:dyDescent="0.25">
      <c r="A367" s="3">
        <v>44494</v>
      </c>
      <c r="B367" t="s">
        <v>0</v>
      </c>
      <c r="C367">
        <v>98</v>
      </c>
      <c r="D367">
        <v>3070</v>
      </c>
      <c r="E367">
        <v>64</v>
      </c>
      <c r="F367">
        <v>3006</v>
      </c>
      <c r="G367">
        <v>2</v>
      </c>
      <c r="H367">
        <v>32768</v>
      </c>
      <c r="I367">
        <v>9</v>
      </c>
      <c r="J367" t="s">
        <v>1</v>
      </c>
      <c r="K367" t="s">
        <v>2</v>
      </c>
      <c r="L367" s="8">
        <f>InterspecUsage[[#This Row],[Used-MB]]-F357</f>
        <v>0</v>
      </c>
      <c r="M367">
        <f>InterspecUsage[[#This Row],[Max]]-InterspecUsage[[#This Row],[Used-MB]]</f>
        <v>29762</v>
      </c>
      <c r="N367" s="5">
        <f>IF($L367&gt;0,InterspecUsage[[#This Row],[Free-of-Max]]/InterspecUsage[[#This Row],[Usage-Delta-MB]],InterspecUsage[[#This Row],[Free-of-Max]])</f>
        <v>29762</v>
      </c>
    </row>
    <row r="368" spans="1:14" x14ac:dyDescent="0.25">
      <c r="A368" s="3">
        <v>44494</v>
      </c>
      <c r="B368" t="s">
        <v>30</v>
      </c>
      <c r="C368">
        <v>0</v>
      </c>
      <c r="D368">
        <v>32767</v>
      </c>
      <c r="E368">
        <v>32746</v>
      </c>
      <c r="F368">
        <v>21</v>
      </c>
      <c r="G368">
        <v>100</v>
      </c>
      <c r="H368">
        <v>32768</v>
      </c>
      <c r="I368">
        <v>0</v>
      </c>
      <c r="J368" t="s">
        <v>1</v>
      </c>
      <c r="K368" t="s">
        <v>13</v>
      </c>
      <c r="L368" s="8">
        <f>InterspecUsage[[#This Row],[Used-MB]]-F358</f>
        <v>1</v>
      </c>
      <c r="M368">
        <f>InterspecUsage[[#This Row],[Max]]-InterspecUsage[[#This Row],[Used-MB]]</f>
        <v>32747</v>
      </c>
      <c r="N368" s="5">
        <f>IF($L368&gt;0,InterspecUsage[[#This Row],[Free-of-Max]]/InterspecUsage[[#This Row],[Usage-Delta-MB]],InterspecUsage[[#This Row],[Free-of-Max]])</f>
        <v>32747</v>
      </c>
    </row>
    <row r="369" spans="1:14" x14ac:dyDescent="0.25">
      <c r="A369" s="3">
        <v>44494</v>
      </c>
      <c r="B369" t="s">
        <v>28</v>
      </c>
      <c r="C369">
        <v>24</v>
      </c>
      <c r="D369">
        <v>16400</v>
      </c>
      <c r="E369">
        <v>12487</v>
      </c>
      <c r="F369">
        <v>3913</v>
      </c>
      <c r="G369">
        <v>76</v>
      </c>
      <c r="H369">
        <v>32768</v>
      </c>
      <c r="I369">
        <v>12</v>
      </c>
      <c r="J369" t="s">
        <v>1</v>
      </c>
      <c r="K369" t="s">
        <v>10</v>
      </c>
      <c r="L369" s="8">
        <f>InterspecUsage[[#This Row],[Used-MB]]-F359</f>
        <v>7</v>
      </c>
      <c r="M369">
        <f>InterspecUsage[[#This Row],[Max]]-InterspecUsage[[#This Row],[Used-MB]]</f>
        <v>28855</v>
      </c>
      <c r="N369" s="5">
        <f>IF($L369&gt;0,InterspecUsage[[#This Row],[Free-of-Max]]/InterspecUsage[[#This Row],[Usage-Delta-MB]],InterspecUsage[[#This Row],[Free-of-Max]])</f>
        <v>4122.1428571428569</v>
      </c>
    </row>
    <row r="370" spans="1:14" x14ac:dyDescent="0.25">
      <c r="A370" s="3">
        <v>44494</v>
      </c>
      <c r="B370" t="s">
        <v>25</v>
      </c>
      <c r="C370">
        <v>77</v>
      </c>
      <c r="D370">
        <v>11800</v>
      </c>
      <c r="E370">
        <v>2693</v>
      </c>
      <c r="F370">
        <v>9107</v>
      </c>
      <c r="G370">
        <v>23</v>
      </c>
      <c r="H370">
        <v>32768</v>
      </c>
      <c r="I370">
        <v>28</v>
      </c>
      <c r="J370" t="s">
        <v>1</v>
      </c>
      <c r="K370" t="s">
        <v>2</v>
      </c>
      <c r="L370" s="8">
        <f>InterspecUsage[[#This Row],[Used-MB]]-F360</f>
        <v>26</v>
      </c>
      <c r="M370">
        <f>InterspecUsage[[#This Row],[Max]]-InterspecUsage[[#This Row],[Used-MB]]</f>
        <v>23661</v>
      </c>
      <c r="N370" s="5">
        <f>IF($L370&gt;0,InterspecUsage[[#This Row],[Free-of-Max]]/InterspecUsage[[#This Row],[Usage-Delta-MB]],InterspecUsage[[#This Row],[Free-of-Max]])</f>
        <v>910.03846153846155</v>
      </c>
    </row>
    <row r="371" spans="1:14" x14ac:dyDescent="0.25">
      <c r="A371" s="3">
        <v>44494</v>
      </c>
      <c r="B371" t="s">
        <v>29</v>
      </c>
      <c r="C371">
        <v>0</v>
      </c>
      <c r="D371">
        <v>500</v>
      </c>
      <c r="E371">
        <v>499</v>
      </c>
      <c r="F371">
        <v>1</v>
      </c>
      <c r="G371">
        <v>100</v>
      </c>
      <c r="H371">
        <v>500</v>
      </c>
      <c r="I371">
        <v>0</v>
      </c>
      <c r="J371" t="s">
        <v>1</v>
      </c>
      <c r="K371" t="s">
        <v>2</v>
      </c>
      <c r="L371" s="8">
        <f>InterspecUsage[[#This Row],[Used-MB]]-F361</f>
        <v>0</v>
      </c>
      <c r="M371">
        <f>InterspecUsage[[#This Row],[Max]]-InterspecUsage[[#This Row],[Used-MB]]</f>
        <v>499</v>
      </c>
      <c r="N371" s="5">
        <f>IF($L371&gt;0,InterspecUsage[[#This Row],[Free-of-Max]]/InterspecUsage[[#This Row],[Usage-Delta-MB]],InterspecUsage[[#This Row],[Free-of-Max]])</f>
        <v>499</v>
      </c>
    </row>
    <row r="372" spans="1:14" x14ac:dyDescent="0.25">
      <c r="A372" s="3">
        <v>44501</v>
      </c>
      <c r="B372" t="s">
        <v>26</v>
      </c>
      <c r="C372">
        <v>93</v>
      </c>
      <c r="D372">
        <v>18288</v>
      </c>
      <c r="E372">
        <v>1242</v>
      </c>
      <c r="F372">
        <v>17046</v>
      </c>
      <c r="G372">
        <v>7</v>
      </c>
      <c r="H372">
        <v>40960</v>
      </c>
      <c r="I372">
        <v>42</v>
      </c>
      <c r="J372" t="s">
        <v>1</v>
      </c>
      <c r="K372" t="s">
        <v>2</v>
      </c>
      <c r="L372" s="8">
        <f>InterspecUsage[[#This Row],[Used-MB]]-F362</f>
        <v>64</v>
      </c>
      <c r="M372">
        <f>InterspecUsage[[#This Row],[Max]]-InterspecUsage[[#This Row],[Used-MB]]</f>
        <v>23914</v>
      </c>
      <c r="N372" s="5">
        <f>IF($L372&gt;0,InterspecUsage[[#This Row],[Free-of-Max]]/InterspecUsage[[#This Row],[Usage-Delta-MB]],InterspecUsage[[#This Row],[Free-of-Max]])</f>
        <v>373.65625</v>
      </c>
    </row>
    <row r="373" spans="1:14" x14ac:dyDescent="0.25">
      <c r="A373" s="3">
        <v>44501</v>
      </c>
      <c r="B373" t="s">
        <v>24</v>
      </c>
      <c r="C373">
        <v>99</v>
      </c>
      <c r="D373">
        <v>18000</v>
      </c>
      <c r="E373">
        <v>177</v>
      </c>
      <c r="F373">
        <v>17824</v>
      </c>
      <c r="G373">
        <v>1</v>
      </c>
      <c r="H373">
        <v>32768</v>
      </c>
      <c r="I373">
        <v>54</v>
      </c>
      <c r="J373" t="s">
        <v>1</v>
      </c>
      <c r="K373" t="s">
        <v>2</v>
      </c>
      <c r="L373" s="8">
        <f>InterspecUsage[[#This Row],[Used-MB]]-F363</f>
        <v>0</v>
      </c>
      <c r="M373">
        <f>InterspecUsage[[#This Row],[Max]]-InterspecUsage[[#This Row],[Used-MB]]</f>
        <v>14944</v>
      </c>
      <c r="N373" s="5">
        <f>IF($L373&gt;0,InterspecUsage[[#This Row],[Free-of-Max]]/InterspecUsage[[#This Row],[Usage-Delta-MB]],InterspecUsage[[#This Row],[Free-of-Max]])</f>
        <v>14944</v>
      </c>
    </row>
    <row r="374" spans="1:14" x14ac:dyDescent="0.25">
      <c r="A374" s="3">
        <v>44501</v>
      </c>
      <c r="B374" t="s">
        <v>35</v>
      </c>
      <c r="C374">
        <v>95</v>
      </c>
      <c r="D374">
        <v>22400</v>
      </c>
      <c r="E374">
        <v>1214</v>
      </c>
      <c r="F374">
        <v>21186</v>
      </c>
      <c r="G374">
        <v>5</v>
      </c>
      <c r="H374">
        <v>32768</v>
      </c>
      <c r="I374">
        <v>65</v>
      </c>
      <c r="J374" t="s">
        <v>1</v>
      </c>
      <c r="K374" t="s">
        <v>2</v>
      </c>
      <c r="L374" s="8">
        <f>InterspecUsage[[#This Row],[Used-MB]]-F364</f>
        <v>0</v>
      </c>
      <c r="M374">
        <f>InterspecUsage[[#This Row],[Max]]-InterspecUsage[[#This Row],[Used-MB]]</f>
        <v>11582</v>
      </c>
      <c r="N374" s="5">
        <f>IF($L374&gt;0,InterspecUsage[[#This Row],[Free-of-Max]]/InterspecUsage[[#This Row],[Usage-Delta-MB]],InterspecUsage[[#This Row],[Free-of-Max]])</f>
        <v>11582</v>
      </c>
    </row>
    <row r="375" spans="1:14" x14ac:dyDescent="0.25">
      <c r="A375" s="3">
        <v>44501</v>
      </c>
      <c r="B375" t="s">
        <v>27</v>
      </c>
      <c r="C375">
        <v>82</v>
      </c>
      <c r="D375">
        <v>131072</v>
      </c>
      <c r="E375">
        <v>23183</v>
      </c>
      <c r="F375">
        <v>107889</v>
      </c>
      <c r="G375">
        <v>18</v>
      </c>
      <c r="H375">
        <v>131072</v>
      </c>
      <c r="I375">
        <v>82</v>
      </c>
      <c r="J375" t="s">
        <v>1</v>
      </c>
      <c r="K375" t="s">
        <v>2</v>
      </c>
      <c r="L375" s="8">
        <f>InterspecUsage[[#This Row],[Used-MB]]-F365</f>
        <v>201</v>
      </c>
      <c r="M375">
        <f>InterspecUsage[[#This Row],[Max]]-InterspecUsage[[#This Row],[Used-MB]]</f>
        <v>23183</v>
      </c>
      <c r="N375" s="5">
        <f>IF($L375&gt;0,InterspecUsage[[#This Row],[Free-of-Max]]/InterspecUsage[[#This Row],[Usage-Delta-MB]],InterspecUsage[[#This Row],[Free-of-Max]])</f>
        <v>115.33830845771145</v>
      </c>
    </row>
    <row r="376" spans="1:14" x14ac:dyDescent="0.25">
      <c r="A376" s="3">
        <v>44501</v>
      </c>
      <c r="B376" t="s">
        <v>7</v>
      </c>
      <c r="C376">
        <v>96</v>
      </c>
      <c r="D376">
        <v>1020</v>
      </c>
      <c r="E376">
        <v>43</v>
      </c>
      <c r="F376">
        <v>978</v>
      </c>
      <c r="G376">
        <v>4</v>
      </c>
      <c r="H376">
        <v>32768</v>
      </c>
      <c r="I376">
        <v>3</v>
      </c>
      <c r="J376" t="s">
        <v>1</v>
      </c>
      <c r="K376" t="s">
        <v>2</v>
      </c>
      <c r="L376" s="8">
        <f>InterspecUsage[[#This Row],[Used-MB]]-F366</f>
        <v>9</v>
      </c>
      <c r="M376">
        <f>InterspecUsage[[#This Row],[Max]]-InterspecUsage[[#This Row],[Used-MB]]</f>
        <v>31790</v>
      </c>
      <c r="N376" s="5">
        <f>IF($L376&gt;0,InterspecUsage[[#This Row],[Free-of-Max]]/InterspecUsage[[#This Row],[Usage-Delta-MB]],InterspecUsage[[#This Row],[Free-of-Max]])</f>
        <v>3532.2222222222222</v>
      </c>
    </row>
    <row r="377" spans="1:14" x14ac:dyDescent="0.25">
      <c r="A377" s="3">
        <v>44501</v>
      </c>
      <c r="B377" t="s">
        <v>0</v>
      </c>
      <c r="C377">
        <v>98</v>
      </c>
      <c r="D377">
        <v>3070</v>
      </c>
      <c r="E377">
        <v>64</v>
      </c>
      <c r="F377">
        <v>3006</v>
      </c>
      <c r="G377">
        <v>2</v>
      </c>
      <c r="H377">
        <v>32768</v>
      </c>
      <c r="I377">
        <v>9</v>
      </c>
      <c r="J377" t="s">
        <v>1</v>
      </c>
      <c r="K377" t="s">
        <v>2</v>
      </c>
      <c r="L377" s="8">
        <f>InterspecUsage[[#This Row],[Used-MB]]-F367</f>
        <v>0</v>
      </c>
      <c r="M377">
        <f>InterspecUsage[[#This Row],[Max]]-InterspecUsage[[#This Row],[Used-MB]]</f>
        <v>29762</v>
      </c>
      <c r="N377" s="5">
        <f>IF($L377&gt;0,InterspecUsage[[#This Row],[Free-of-Max]]/InterspecUsage[[#This Row],[Usage-Delta-MB]],InterspecUsage[[#This Row],[Free-of-Max]])</f>
        <v>29762</v>
      </c>
    </row>
    <row r="378" spans="1:14" x14ac:dyDescent="0.25">
      <c r="A378" s="3">
        <v>44501</v>
      </c>
      <c r="B378" t="s">
        <v>30</v>
      </c>
      <c r="C378">
        <v>0</v>
      </c>
      <c r="D378">
        <v>32767</v>
      </c>
      <c r="E378">
        <v>32750</v>
      </c>
      <c r="F378">
        <v>17</v>
      </c>
      <c r="G378">
        <v>100</v>
      </c>
      <c r="H378">
        <v>32768</v>
      </c>
      <c r="I378">
        <v>0</v>
      </c>
      <c r="J378" t="s">
        <v>1</v>
      </c>
      <c r="K378" t="s">
        <v>13</v>
      </c>
      <c r="L378" s="8">
        <f>InterspecUsage[[#This Row],[Used-MB]]-F368</f>
        <v>-4</v>
      </c>
      <c r="M378">
        <f>InterspecUsage[[#This Row],[Max]]-InterspecUsage[[#This Row],[Used-MB]]</f>
        <v>32751</v>
      </c>
      <c r="N378" s="5">
        <f>IF($L378&gt;0,InterspecUsage[[#This Row],[Free-of-Max]]/InterspecUsage[[#This Row],[Usage-Delta-MB]],InterspecUsage[[#This Row],[Free-of-Max]])</f>
        <v>32751</v>
      </c>
    </row>
    <row r="379" spans="1:14" x14ac:dyDescent="0.25">
      <c r="A379" s="3">
        <v>44501</v>
      </c>
      <c r="B379" t="s">
        <v>28</v>
      </c>
      <c r="C379">
        <v>24</v>
      </c>
      <c r="D379">
        <v>16400</v>
      </c>
      <c r="E379">
        <v>12389</v>
      </c>
      <c r="F379">
        <v>4011</v>
      </c>
      <c r="G379">
        <v>76</v>
      </c>
      <c r="H379">
        <v>32768</v>
      </c>
      <c r="I379">
        <v>12</v>
      </c>
      <c r="J379" t="s">
        <v>1</v>
      </c>
      <c r="K379" t="s">
        <v>10</v>
      </c>
      <c r="L379" s="8">
        <f>InterspecUsage[[#This Row],[Used-MB]]-F369</f>
        <v>98</v>
      </c>
      <c r="M379">
        <f>InterspecUsage[[#This Row],[Max]]-InterspecUsage[[#This Row],[Used-MB]]</f>
        <v>28757</v>
      </c>
      <c r="N379" s="5">
        <f>IF($L379&gt;0,InterspecUsage[[#This Row],[Free-of-Max]]/InterspecUsage[[#This Row],[Usage-Delta-MB]],InterspecUsage[[#This Row],[Free-of-Max]])</f>
        <v>293.4387755102041</v>
      </c>
    </row>
    <row r="380" spans="1:14" x14ac:dyDescent="0.25">
      <c r="A380" s="3">
        <v>44501</v>
      </c>
      <c r="B380" t="s">
        <v>25</v>
      </c>
      <c r="C380">
        <v>77</v>
      </c>
      <c r="D380">
        <v>11800</v>
      </c>
      <c r="E380">
        <v>2692</v>
      </c>
      <c r="F380">
        <v>9108</v>
      </c>
      <c r="G380">
        <v>23</v>
      </c>
      <c r="H380">
        <v>32768</v>
      </c>
      <c r="I380">
        <v>28</v>
      </c>
      <c r="J380" t="s">
        <v>1</v>
      </c>
      <c r="K380" t="s">
        <v>2</v>
      </c>
      <c r="L380" s="8">
        <f>InterspecUsage[[#This Row],[Used-MB]]-F370</f>
        <v>1</v>
      </c>
      <c r="M380">
        <f>InterspecUsage[[#This Row],[Max]]-InterspecUsage[[#This Row],[Used-MB]]</f>
        <v>23660</v>
      </c>
      <c r="N380" s="5">
        <f>IF($L380&gt;0,InterspecUsage[[#This Row],[Free-of-Max]]/InterspecUsage[[#This Row],[Usage-Delta-MB]],InterspecUsage[[#This Row],[Free-of-Max]])</f>
        <v>23660</v>
      </c>
    </row>
    <row r="381" spans="1:14" x14ac:dyDescent="0.25">
      <c r="A381" s="3">
        <v>44501</v>
      </c>
      <c r="B381" t="s">
        <v>29</v>
      </c>
      <c r="C381">
        <v>0</v>
      </c>
      <c r="D381">
        <v>500</v>
      </c>
      <c r="E381">
        <v>499</v>
      </c>
      <c r="F381">
        <v>1</v>
      </c>
      <c r="G381">
        <v>100</v>
      </c>
      <c r="H381">
        <v>500</v>
      </c>
      <c r="I381">
        <v>0</v>
      </c>
      <c r="J381" t="s">
        <v>1</v>
      </c>
      <c r="K381" t="s">
        <v>2</v>
      </c>
      <c r="L381" s="8">
        <f>InterspecUsage[[#This Row],[Used-MB]]-F371</f>
        <v>0</v>
      </c>
      <c r="M381">
        <f>InterspecUsage[[#This Row],[Max]]-InterspecUsage[[#This Row],[Used-MB]]</f>
        <v>499</v>
      </c>
      <c r="N381" s="5">
        <f>IF($L381&gt;0,InterspecUsage[[#This Row],[Free-of-Max]]/InterspecUsage[[#This Row],[Usage-Delta-MB]],InterspecUsage[[#This Row],[Free-of-Max]])</f>
        <v>499</v>
      </c>
    </row>
    <row r="382" spans="1:14" x14ac:dyDescent="0.25">
      <c r="A382" s="3">
        <v>44508</v>
      </c>
      <c r="B382" t="s">
        <v>26</v>
      </c>
      <c r="C382">
        <v>93</v>
      </c>
      <c r="D382">
        <v>18288</v>
      </c>
      <c r="E382">
        <v>1242</v>
      </c>
      <c r="F382">
        <v>17046</v>
      </c>
      <c r="G382">
        <v>7</v>
      </c>
      <c r="H382">
        <v>40960</v>
      </c>
      <c r="I382">
        <v>42</v>
      </c>
      <c r="J382" t="s">
        <v>1</v>
      </c>
      <c r="K382" t="s">
        <v>2</v>
      </c>
      <c r="L382" s="8">
        <f>InterspecUsage[[#This Row],[Used-MB]]-F372</f>
        <v>0</v>
      </c>
      <c r="M382">
        <f>InterspecUsage[[#This Row],[Max]]-InterspecUsage[[#This Row],[Used-MB]]</f>
        <v>23914</v>
      </c>
      <c r="N382" s="5">
        <f>IF($L382&gt;0,InterspecUsage[[#This Row],[Free-of-Max]]/InterspecUsage[[#This Row],[Usage-Delta-MB]],InterspecUsage[[#This Row],[Free-of-Max]])</f>
        <v>23914</v>
      </c>
    </row>
    <row r="383" spans="1:14" x14ac:dyDescent="0.25">
      <c r="A383" s="3">
        <v>44508</v>
      </c>
      <c r="B383" t="s">
        <v>24</v>
      </c>
      <c r="C383">
        <v>99</v>
      </c>
      <c r="D383">
        <v>18000</v>
      </c>
      <c r="E383">
        <v>175</v>
      </c>
      <c r="F383">
        <v>17826</v>
      </c>
      <c r="G383">
        <v>1</v>
      </c>
      <c r="H383">
        <v>32768</v>
      </c>
      <c r="I383">
        <v>54</v>
      </c>
      <c r="J383" t="s">
        <v>1</v>
      </c>
      <c r="K383" t="s">
        <v>2</v>
      </c>
      <c r="L383" s="8">
        <f>InterspecUsage[[#This Row],[Used-MB]]-F373</f>
        <v>2</v>
      </c>
      <c r="M383">
        <f>InterspecUsage[[#This Row],[Max]]-InterspecUsage[[#This Row],[Used-MB]]</f>
        <v>14942</v>
      </c>
      <c r="N383" s="5">
        <f>IF($L383&gt;0,InterspecUsage[[#This Row],[Free-of-Max]]/InterspecUsage[[#This Row],[Usage-Delta-MB]],InterspecUsage[[#This Row],[Free-of-Max]])</f>
        <v>7471</v>
      </c>
    </row>
    <row r="384" spans="1:14" x14ac:dyDescent="0.25">
      <c r="A384" s="3">
        <v>44508</v>
      </c>
      <c r="B384" t="s">
        <v>35</v>
      </c>
      <c r="C384">
        <v>95</v>
      </c>
      <c r="D384">
        <v>22400</v>
      </c>
      <c r="E384">
        <v>1150</v>
      </c>
      <c r="F384">
        <v>21250</v>
      </c>
      <c r="G384">
        <v>5</v>
      </c>
      <c r="H384">
        <v>32768</v>
      </c>
      <c r="I384">
        <v>65</v>
      </c>
      <c r="J384" t="s">
        <v>1</v>
      </c>
      <c r="K384" t="s">
        <v>2</v>
      </c>
      <c r="L384" s="8">
        <f>InterspecUsage[[#This Row],[Used-MB]]-F374</f>
        <v>64</v>
      </c>
      <c r="M384">
        <f>InterspecUsage[[#This Row],[Max]]-InterspecUsage[[#This Row],[Used-MB]]</f>
        <v>11518</v>
      </c>
      <c r="N384" s="5">
        <f>IF($L384&gt;0,InterspecUsage[[#This Row],[Free-of-Max]]/InterspecUsage[[#This Row],[Usage-Delta-MB]],InterspecUsage[[#This Row],[Free-of-Max]])</f>
        <v>179.96875</v>
      </c>
    </row>
    <row r="385" spans="1:14" x14ac:dyDescent="0.25">
      <c r="A385" s="3">
        <v>44508</v>
      </c>
      <c r="B385" t="s">
        <v>27</v>
      </c>
      <c r="C385">
        <v>82</v>
      </c>
      <c r="D385">
        <v>131072</v>
      </c>
      <c r="E385">
        <v>23119</v>
      </c>
      <c r="F385">
        <v>107953</v>
      </c>
      <c r="G385">
        <v>18</v>
      </c>
      <c r="H385">
        <v>131072</v>
      </c>
      <c r="I385">
        <v>82</v>
      </c>
      <c r="J385" t="s">
        <v>1</v>
      </c>
      <c r="K385" t="s">
        <v>2</v>
      </c>
      <c r="L385" s="8">
        <f>InterspecUsage[[#This Row],[Used-MB]]-F375</f>
        <v>64</v>
      </c>
      <c r="M385">
        <f>InterspecUsage[[#This Row],[Max]]-InterspecUsage[[#This Row],[Used-MB]]</f>
        <v>23119</v>
      </c>
      <c r="N385" s="5">
        <f>IF($L385&gt;0,InterspecUsage[[#This Row],[Free-of-Max]]/InterspecUsage[[#This Row],[Usage-Delta-MB]],InterspecUsage[[#This Row],[Free-of-Max]])</f>
        <v>361.234375</v>
      </c>
    </row>
    <row r="386" spans="1:14" x14ac:dyDescent="0.25">
      <c r="A386" s="3">
        <v>44508</v>
      </c>
      <c r="B386" t="s">
        <v>7</v>
      </c>
      <c r="C386">
        <v>95</v>
      </c>
      <c r="D386">
        <v>1040</v>
      </c>
      <c r="E386">
        <v>55</v>
      </c>
      <c r="F386">
        <v>985</v>
      </c>
      <c r="G386">
        <v>5</v>
      </c>
      <c r="H386">
        <v>32768</v>
      </c>
      <c r="I386">
        <v>3</v>
      </c>
      <c r="J386" t="s">
        <v>1</v>
      </c>
      <c r="K386" t="s">
        <v>2</v>
      </c>
      <c r="L386" s="8">
        <f>InterspecUsage[[#This Row],[Used-MB]]-F376</f>
        <v>7</v>
      </c>
      <c r="M386">
        <f>InterspecUsage[[#This Row],[Max]]-InterspecUsage[[#This Row],[Used-MB]]</f>
        <v>31783</v>
      </c>
      <c r="N386" s="5">
        <f>IF($L386&gt;0,InterspecUsage[[#This Row],[Free-of-Max]]/InterspecUsage[[#This Row],[Usage-Delta-MB]],InterspecUsage[[#This Row],[Free-of-Max]])</f>
        <v>4540.4285714285716</v>
      </c>
    </row>
    <row r="387" spans="1:14" x14ac:dyDescent="0.25">
      <c r="A387" s="3">
        <v>44508</v>
      </c>
      <c r="B387" t="s">
        <v>0</v>
      </c>
      <c r="C387">
        <v>98</v>
      </c>
      <c r="D387">
        <v>3070</v>
      </c>
      <c r="E387">
        <v>64</v>
      </c>
      <c r="F387">
        <v>3006</v>
      </c>
      <c r="G387">
        <v>2</v>
      </c>
      <c r="H387">
        <v>32768</v>
      </c>
      <c r="I387">
        <v>9</v>
      </c>
      <c r="J387" t="s">
        <v>1</v>
      </c>
      <c r="K387" t="s">
        <v>2</v>
      </c>
      <c r="L387" s="8">
        <f>InterspecUsage[[#This Row],[Used-MB]]-F377</f>
        <v>0</v>
      </c>
      <c r="M387">
        <f>InterspecUsage[[#This Row],[Max]]-InterspecUsage[[#This Row],[Used-MB]]</f>
        <v>29762</v>
      </c>
      <c r="N387" s="5">
        <f>IF($L387&gt;0,InterspecUsage[[#This Row],[Free-of-Max]]/InterspecUsage[[#This Row],[Usage-Delta-MB]],InterspecUsage[[#This Row],[Free-of-Max]])</f>
        <v>29762</v>
      </c>
    </row>
    <row r="388" spans="1:14" x14ac:dyDescent="0.25">
      <c r="A388" s="3">
        <v>44508</v>
      </c>
      <c r="B388" t="s">
        <v>30</v>
      </c>
      <c r="C388">
        <v>0</v>
      </c>
      <c r="D388">
        <v>32767</v>
      </c>
      <c r="E388">
        <v>32746</v>
      </c>
      <c r="F388">
        <v>21</v>
      </c>
      <c r="G388">
        <v>100</v>
      </c>
      <c r="H388">
        <v>32768</v>
      </c>
      <c r="I388">
        <v>0</v>
      </c>
      <c r="J388" t="s">
        <v>1</v>
      </c>
      <c r="K388" t="s">
        <v>13</v>
      </c>
      <c r="L388" s="8">
        <f>InterspecUsage[[#This Row],[Used-MB]]-F378</f>
        <v>4</v>
      </c>
      <c r="M388">
        <f>InterspecUsage[[#This Row],[Max]]-InterspecUsage[[#This Row],[Used-MB]]</f>
        <v>32747</v>
      </c>
      <c r="N388" s="5">
        <f>IF($L388&gt;0,InterspecUsage[[#This Row],[Free-of-Max]]/InterspecUsage[[#This Row],[Usage-Delta-MB]],InterspecUsage[[#This Row],[Free-of-Max]])</f>
        <v>8186.75</v>
      </c>
    </row>
    <row r="389" spans="1:14" x14ac:dyDescent="0.25">
      <c r="A389" s="3">
        <v>44508</v>
      </c>
      <c r="B389" t="s">
        <v>28</v>
      </c>
      <c r="C389">
        <v>24</v>
      </c>
      <c r="D389">
        <v>16400</v>
      </c>
      <c r="E389">
        <v>12462</v>
      </c>
      <c r="F389">
        <v>3938</v>
      </c>
      <c r="G389">
        <v>76</v>
      </c>
      <c r="H389">
        <v>32768</v>
      </c>
      <c r="I389">
        <v>12</v>
      </c>
      <c r="J389" t="s">
        <v>1</v>
      </c>
      <c r="K389" t="s">
        <v>10</v>
      </c>
      <c r="L389" s="8">
        <f>InterspecUsage[[#This Row],[Used-MB]]-F379</f>
        <v>-73</v>
      </c>
      <c r="M389">
        <f>InterspecUsage[[#This Row],[Max]]-InterspecUsage[[#This Row],[Used-MB]]</f>
        <v>28830</v>
      </c>
      <c r="N389" s="5">
        <f>IF($L389&gt;0,InterspecUsage[[#This Row],[Free-of-Max]]/InterspecUsage[[#This Row],[Usage-Delta-MB]],InterspecUsage[[#This Row],[Free-of-Max]])</f>
        <v>28830</v>
      </c>
    </row>
    <row r="390" spans="1:14" x14ac:dyDescent="0.25">
      <c r="A390" s="3">
        <v>44508</v>
      </c>
      <c r="B390" t="s">
        <v>25</v>
      </c>
      <c r="C390">
        <v>77</v>
      </c>
      <c r="D390">
        <v>11800</v>
      </c>
      <c r="E390">
        <v>2692</v>
      </c>
      <c r="F390">
        <v>9108</v>
      </c>
      <c r="G390">
        <v>23</v>
      </c>
      <c r="H390">
        <v>32768</v>
      </c>
      <c r="I390">
        <v>28</v>
      </c>
      <c r="J390" t="s">
        <v>1</v>
      </c>
      <c r="K390" t="s">
        <v>2</v>
      </c>
      <c r="L390" s="8">
        <f>InterspecUsage[[#This Row],[Used-MB]]-F380</f>
        <v>0</v>
      </c>
      <c r="M390">
        <f>InterspecUsage[[#This Row],[Max]]-InterspecUsage[[#This Row],[Used-MB]]</f>
        <v>23660</v>
      </c>
      <c r="N390" s="5">
        <f>IF($L390&gt;0,InterspecUsage[[#This Row],[Free-of-Max]]/InterspecUsage[[#This Row],[Usage-Delta-MB]],InterspecUsage[[#This Row],[Free-of-Max]])</f>
        <v>23660</v>
      </c>
    </row>
    <row r="391" spans="1:14" x14ac:dyDescent="0.25">
      <c r="A391" s="3">
        <v>44508</v>
      </c>
      <c r="B391" t="s">
        <v>29</v>
      </c>
      <c r="C391">
        <v>0</v>
      </c>
      <c r="D391">
        <v>500</v>
      </c>
      <c r="E391">
        <v>499</v>
      </c>
      <c r="F391">
        <v>1</v>
      </c>
      <c r="G391">
        <v>100</v>
      </c>
      <c r="H391">
        <v>500</v>
      </c>
      <c r="I391">
        <v>0</v>
      </c>
      <c r="J391" t="s">
        <v>1</v>
      </c>
      <c r="K391" t="s">
        <v>2</v>
      </c>
      <c r="L391" s="8">
        <f>InterspecUsage[[#This Row],[Used-MB]]-F381</f>
        <v>0</v>
      </c>
      <c r="M391">
        <f>InterspecUsage[[#This Row],[Max]]-InterspecUsage[[#This Row],[Used-MB]]</f>
        <v>499</v>
      </c>
      <c r="N391" s="5">
        <f>IF($L391&gt;0,InterspecUsage[[#This Row],[Free-of-Max]]/InterspecUsage[[#This Row],[Usage-Delta-MB]],InterspecUsage[[#This Row],[Free-of-Max]])</f>
        <v>499</v>
      </c>
    </row>
    <row r="392" spans="1:14" x14ac:dyDescent="0.25">
      <c r="A392" s="3">
        <v>44515</v>
      </c>
      <c r="B392" t="s">
        <v>26</v>
      </c>
      <c r="C392">
        <v>94</v>
      </c>
      <c r="D392">
        <v>18288</v>
      </c>
      <c r="E392">
        <v>1178</v>
      </c>
      <c r="F392">
        <v>17110</v>
      </c>
      <c r="G392">
        <v>6</v>
      </c>
      <c r="H392">
        <v>40960</v>
      </c>
      <c r="I392">
        <v>42</v>
      </c>
      <c r="J392" t="s">
        <v>1</v>
      </c>
      <c r="K392" t="s">
        <v>2</v>
      </c>
      <c r="L392" s="8">
        <f>InterspecUsage[[#This Row],[Used-MB]]-F382</f>
        <v>64</v>
      </c>
      <c r="M392">
        <f>InterspecUsage[[#This Row],[Max]]-InterspecUsage[[#This Row],[Used-MB]]</f>
        <v>23850</v>
      </c>
      <c r="N392" s="5">
        <f>IF($L392&gt;0,InterspecUsage[[#This Row],[Free-of-Max]]/InterspecUsage[[#This Row],[Usage-Delta-MB]],InterspecUsage[[#This Row],[Free-of-Max]])</f>
        <v>372.65625</v>
      </c>
    </row>
    <row r="393" spans="1:14" x14ac:dyDescent="0.25">
      <c r="A393" s="3">
        <v>44515</v>
      </c>
      <c r="B393" t="s">
        <v>24</v>
      </c>
      <c r="C393">
        <v>99</v>
      </c>
      <c r="D393">
        <v>18000</v>
      </c>
      <c r="E393">
        <v>173</v>
      </c>
      <c r="F393">
        <v>17827</v>
      </c>
      <c r="G393">
        <v>1</v>
      </c>
      <c r="H393">
        <v>32768</v>
      </c>
      <c r="I393">
        <v>54</v>
      </c>
      <c r="J393" t="s">
        <v>1</v>
      </c>
      <c r="K393" t="s">
        <v>2</v>
      </c>
      <c r="L393" s="8">
        <f>InterspecUsage[[#This Row],[Used-MB]]-F383</f>
        <v>1</v>
      </c>
      <c r="M393">
        <f>InterspecUsage[[#This Row],[Max]]-InterspecUsage[[#This Row],[Used-MB]]</f>
        <v>14941</v>
      </c>
      <c r="N393" s="5">
        <f>IF($L393&gt;0,InterspecUsage[[#This Row],[Free-of-Max]]/InterspecUsage[[#This Row],[Usage-Delta-MB]],InterspecUsage[[#This Row],[Free-of-Max]])</f>
        <v>14941</v>
      </c>
    </row>
    <row r="394" spans="1:14" x14ac:dyDescent="0.25">
      <c r="A394" s="3">
        <v>44515</v>
      </c>
      <c r="B394" t="s">
        <v>35</v>
      </c>
      <c r="C394">
        <v>95</v>
      </c>
      <c r="D394">
        <v>22400</v>
      </c>
      <c r="E394">
        <v>1150</v>
      </c>
      <c r="F394">
        <v>21250</v>
      </c>
      <c r="G394">
        <v>5</v>
      </c>
      <c r="H394">
        <v>32768</v>
      </c>
      <c r="I394">
        <v>65</v>
      </c>
      <c r="J394" t="s">
        <v>1</v>
      </c>
      <c r="K394" t="s">
        <v>2</v>
      </c>
      <c r="L394" s="8">
        <f>InterspecUsage[[#This Row],[Used-MB]]-F384</f>
        <v>0</v>
      </c>
      <c r="M394">
        <f>InterspecUsage[[#This Row],[Max]]-InterspecUsage[[#This Row],[Used-MB]]</f>
        <v>11518</v>
      </c>
      <c r="N394" s="5">
        <f>IF($L394&gt;0,InterspecUsage[[#This Row],[Free-of-Max]]/InterspecUsage[[#This Row],[Usage-Delta-MB]],InterspecUsage[[#This Row],[Free-of-Max]])</f>
        <v>11518</v>
      </c>
    </row>
    <row r="395" spans="1:14" x14ac:dyDescent="0.25">
      <c r="A395" s="3">
        <v>44515</v>
      </c>
      <c r="B395" t="s">
        <v>27</v>
      </c>
      <c r="C395">
        <v>83</v>
      </c>
      <c r="D395">
        <v>131072</v>
      </c>
      <c r="E395">
        <v>22734</v>
      </c>
      <c r="F395">
        <v>108338</v>
      </c>
      <c r="G395">
        <v>17</v>
      </c>
      <c r="H395">
        <v>131072</v>
      </c>
      <c r="I395">
        <v>83</v>
      </c>
      <c r="J395" t="s">
        <v>1</v>
      </c>
      <c r="K395" t="s">
        <v>2</v>
      </c>
      <c r="L395" s="8">
        <f>InterspecUsage[[#This Row],[Used-MB]]-F385</f>
        <v>385</v>
      </c>
      <c r="M395">
        <f>InterspecUsage[[#This Row],[Max]]-InterspecUsage[[#This Row],[Used-MB]]</f>
        <v>22734</v>
      </c>
      <c r="N395" s="5">
        <f>IF($L395&gt;0,InterspecUsage[[#This Row],[Free-of-Max]]/InterspecUsage[[#This Row],[Usage-Delta-MB]],InterspecUsage[[#This Row],[Free-of-Max]])</f>
        <v>59.04935064935065</v>
      </c>
    </row>
    <row r="396" spans="1:14" x14ac:dyDescent="0.25">
      <c r="A396" s="3">
        <v>44515</v>
      </c>
      <c r="B396" t="s">
        <v>7</v>
      </c>
      <c r="C396">
        <v>95</v>
      </c>
      <c r="D396">
        <v>1040</v>
      </c>
      <c r="E396">
        <v>47</v>
      </c>
      <c r="F396">
        <v>993</v>
      </c>
      <c r="G396">
        <v>5</v>
      </c>
      <c r="H396">
        <v>32768</v>
      </c>
      <c r="I396">
        <v>3</v>
      </c>
      <c r="J396" t="s">
        <v>1</v>
      </c>
      <c r="K396" t="s">
        <v>2</v>
      </c>
      <c r="L396" s="8">
        <f>InterspecUsage[[#This Row],[Used-MB]]-F386</f>
        <v>8</v>
      </c>
      <c r="M396">
        <f>InterspecUsage[[#This Row],[Max]]-InterspecUsage[[#This Row],[Used-MB]]</f>
        <v>31775</v>
      </c>
      <c r="N396" s="5">
        <f>IF($L396&gt;0,InterspecUsage[[#This Row],[Free-of-Max]]/InterspecUsage[[#This Row],[Usage-Delta-MB]],InterspecUsage[[#This Row],[Free-of-Max]])</f>
        <v>3971.875</v>
      </c>
    </row>
    <row r="397" spans="1:14" x14ac:dyDescent="0.25">
      <c r="A397" s="3">
        <v>44515</v>
      </c>
      <c r="B397" t="s">
        <v>0</v>
      </c>
      <c r="C397">
        <v>100</v>
      </c>
      <c r="D397">
        <v>3070</v>
      </c>
      <c r="E397">
        <v>0</v>
      </c>
      <c r="F397">
        <v>3070</v>
      </c>
      <c r="G397">
        <v>0</v>
      </c>
      <c r="H397">
        <v>32768</v>
      </c>
      <c r="I397">
        <v>9</v>
      </c>
      <c r="J397" t="s">
        <v>1</v>
      </c>
      <c r="K397" t="s">
        <v>2</v>
      </c>
      <c r="L397" s="8">
        <f>InterspecUsage[[#This Row],[Used-MB]]-F387</f>
        <v>64</v>
      </c>
      <c r="M397">
        <f>InterspecUsage[[#This Row],[Max]]-InterspecUsage[[#This Row],[Used-MB]]</f>
        <v>29698</v>
      </c>
      <c r="N397" s="5">
        <f>IF($L397&gt;0,InterspecUsage[[#This Row],[Free-of-Max]]/InterspecUsage[[#This Row],[Usage-Delta-MB]],InterspecUsage[[#This Row],[Free-of-Max]])</f>
        <v>464.03125</v>
      </c>
    </row>
    <row r="398" spans="1:14" x14ac:dyDescent="0.25">
      <c r="A398" s="3">
        <v>44515</v>
      </c>
      <c r="B398" t="s">
        <v>30</v>
      </c>
      <c r="C398">
        <v>0</v>
      </c>
      <c r="D398">
        <v>32767</v>
      </c>
      <c r="E398">
        <v>32746</v>
      </c>
      <c r="F398">
        <v>21</v>
      </c>
      <c r="G398">
        <v>100</v>
      </c>
      <c r="H398">
        <v>32768</v>
      </c>
      <c r="I398">
        <v>0</v>
      </c>
      <c r="J398" t="s">
        <v>1</v>
      </c>
      <c r="K398" t="s">
        <v>13</v>
      </c>
      <c r="L398" s="8">
        <f>InterspecUsage[[#This Row],[Used-MB]]-F388</f>
        <v>0</v>
      </c>
      <c r="M398">
        <f>InterspecUsage[[#This Row],[Max]]-InterspecUsage[[#This Row],[Used-MB]]</f>
        <v>32747</v>
      </c>
      <c r="N398" s="5">
        <f>IF($L398&gt;0,InterspecUsage[[#This Row],[Free-of-Max]]/InterspecUsage[[#This Row],[Usage-Delta-MB]],InterspecUsage[[#This Row],[Free-of-Max]])</f>
        <v>32747</v>
      </c>
    </row>
    <row r="399" spans="1:14" x14ac:dyDescent="0.25">
      <c r="A399" s="3">
        <v>44515</v>
      </c>
      <c r="B399" t="s">
        <v>28</v>
      </c>
      <c r="C399">
        <v>24</v>
      </c>
      <c r="D399">
        <v>16400</v>
      </c>
      <c r="E399">
        <v>12415</v>
      </c>
      <c r="F399">
        <v>3985</v>
      </c>
      <c r="G399">
        <v>76</v>
      </c>
      <c r="H399">
        <v>32768</v>
      </c>
      <c r="I399">
        <v>12</v>
      </c>
      <c r="J399" t="s">
        <v>1</v>
      </c>
      <c r="K399" t="s">
        <v>10</v>
      </c>
      <c r="L399" s="8">
        <f>InterspecUsage[[#This Row],[Used-MB]]-F389</f>
        <v>47</v>
      </c>
      <c r="M399">
        <f>InterspecUsage[[#This Row],[Max]]-InterspecUsage[[#This Row],[Used-MB]]</f>
        <v>28783</v>
      </c>
      <c r="N399" s="5">
        <f>IF($L399&gt;0,InterspecUsage[[#This Row],[Free-of-Max]]/InterspecUsage[[#This Row],[Usage-Delta-MB]],InterspecUsage[[#This Row],[Free-of-Max]])</f>
        <v>612.40425531914889</v>
      </c>
    </row>
    <row r="400" spans="1:14" x14ac:dyDescent="0.25">
      <c r="A400" s="3">
        <v>44515</v>
      </c>
      <c r="B400" t="s">
        <v>25</v>
      </c>
      <c r="C400">
        <v>77</v>
      </c>
      <c r="D400">
        <v>11800</v>
      </c>
      <c r="E400">
        <v>2692</v>
      </c>
      <c r="F400">
        <v>9108</v>
      </c>
      <c r="G400">
        <v>23</v>
      </c>
      <c r="H400">
        <v>32768</v>
      </c>
      <c r="I400">
        <v>28</v>
      </c>
      <c r="J400" t="s">
        <v>1</v>
      </c>
      <c r="K400" t="s">
        <v>2</v>
      </c>
      <c r="L400" s="8">
        <f>InterspecUsage[[#This Row],[Used-MB]]-F390</f>
        <v>0</v>
      </c>
      <c r="M400">
        <f>InterspecUsage[[#This Row],[Max]]-InterspecUsage[[#This Row],[Used-MB]]</f>
        <v>23660</v>
      </c>
      <c r="N400" s="5">
        <f>IF($L400&gt;0,InterspecUsage[[#This Row],[Free-of-Max]]/InterspecUsage[[#This Row],[Usage-Delta-MB]],InterspecUsage[[#This Row],[Free-of-Max]])</f>
        <v>23660</v>
      </c>
    </row>
    <row r="401" spans="1:14" x14ac:dyDescent="0.25">
      <c r="A401" s="3">
        <v>44515</v>
      </c>
      <c r="B401" t="s">
        <v>29</v>
      </c>
      <c r="C401">
        <v>0</v>
      </c>
      <c r="D401">
        <v>500</v>
      </c>
      <c r="E401">
        <v>499</v>
      </c>
      <c r="F401">
        <v>1</v>
      </c>
      <c r="G401">
        <v>100</v>
      </c>
      <c r="H401">
        <v>500</v>
      </c>
      <c r="I401">
        <v>0</v>
      </c>
      <c r="J401" t="s">
        <v>1</v>
      </c>
      <c r="K401" t="s">
        <v>2</v>
      </c>
      <c r="L401" s="8">
        <f>InterspecUsage[[#This Row],[Used-MB]]-F391</f>
        <v>0</v>
      </c>
      <c r="M401">
        <f>InterspecUsage[[#This Row],[Max]]-InterspecUsage[[#This Row],[Used-MB]]</f>
        <v>499</v>
      </c>
      <c r="N401" s="5">
        <f>IF($L401&gt;0,InterspecUsage[[#This Row],[Free-of-Max]]/InterspecUsage[[#This Row],[Usage-Delta-MB]],InterspecUsage[[#This Row],[Free-of-Max]])</f>
        <v>499</v>
      </c>
    </row>
    <row r="402" spans="1:14" x14ac:dyDescent="0.25">
      <c r="A402" s="3">
        <v>44523</v>
      </c>
      <c r="B402" t="s">
        <v>26</v>
      </c>
      <c r="C402">
        <v>94</v>
      </c>
      <c r="D402">
        <v>18288</v>
      </c>
      <c r="E402">
        <v>1178</v>
      </c>
      <c r="F402">
        <v>17110</v>
      </c>
      <c r="G402">
        <v>6</v>
      </c>
      <c r="H402">
        <v>40960</v>
      </c>
      <c r="I402">
        <v>42</v>
      </c>
      <c r="J402" t="s">
        <v>1</v>
      </c>
      <c r="K402" t="s">
        <v>2</v>
      </c>
      <c r="L402" s="8">
        <f>InterspecUsage[[#This Row],[Used-MB]]-F392</f>
        <v>0</v>
      </c>
      <c r="M402">
        <f>InterspecUsage[[#This Row],[Max]]-InterspecUsage[[#This Row],[Used-MB]]</f>
        <v>23850</v>
      </c>
      <c r="N402" s="5">
        <f>IF($L402&gt;0,InterspecUsage[[#This Row],[Free-of-Max]]/InterspecUsage[[#This Row],[Usage-Delta-MB]],InterspecUsage[[#This Row],[Free-of-Max]])</f>
        <v>23850</v>
      </c>
    </row>
    <row r="403" spans="1:14" x14ac:dyDescent="0.25">
      <c r="A403" s="3">
        <v>44523</v>
      </c>
      <c r="B403" t="s">
        <v>24</v>
      </c>
      <c r="C403">
        <v>99</v>
      </c>
      <c r="D403">
        <v>18000</v>
      </c>
      <c r="E403">
        <v>172</v>
      </c>
      <c r="F403">
        <v>17828</v>
      </c>
      <c r="G403">
        <v>1</v>
      </c>
      <c r="H403">
        <v>32768</v>
      </c>
      <c r="I403">
        <v>54</v>
      </c>
      <c r="J403" t="s">
        <v>1</v>
      </c>
      <c r="K403" t="s">
        <v>2</v>
      </c>
      <c r="L403" s="8">
        <f>InterspecUsage[[#This Row],[Used-MB]]-F393</f>
        <v>1</v>
      </c>
      <c r="M403">
        <f>InterspecUsage[[#This Row],[Max]]-InterspecUsage[[#This Row],[Used-MB]]</f>
        <v>14940</v>
      </c>
      <c r="N403" s="5">
        <f>IF($L403&gt;0,InterspecUsage[[#This Row],[Free-of-Max]]/InterspecUsage[[#This Row],[Usage-Delta-MB]],InterspecUsage[[#This Row],[Free-of-Max]])</f>
        <v>14940</v>
      </c>
    </row>
    <row r="404" spans="1:14" x14ac:dyDescent="0.25">
      <c r="A404" s="3">
        <v>44523</v>
      </c>
      <c r="B404" t="s">
        <v>35</v>
      </c>
      <c r="C404">
        <v>95</v>
      </c>
      <c r="D404">
        <v>22400</v>
      </c>
      <c r="E404">
        <v>1086</v>
      </c>
      <c r="F404">
        <v>21314</v>
      </c>
      <c r="G404">
        <v>5</v>
      </c>
      <c r="H404">
        <v>32768</v>
      </c>
      <c r="I404">
        <v>65</v>
      </c>
      <c r="J404" t="s">
        <v>1</v>
      </c>
      <c r="K404" t="s">
        <v>2</v>
      </c>
      <c r="L404" s="8">
        <f>InterspecUsage[[#This Row],[Used-MB]]-F394</f>
        <v>64</v>
      </c>
      <c r="M404">
        <f>InterspecUsage[[#This Row],[Max]]-InterspecUsage[[#This Row],[Used-MB]]</f>
        <v>11454</v>
      </c>
      <c r="N404" s="5">
        <f>IF($L404&gt;0,InterspecUsage[[#This Row],[Free-of-Max]]/InterspecUsage[[#This Row],[Usage-Delta-MB]],InterspecUsage[[#This Row],[Free-of-Max]])</f>
        <v>178.96875</v>
      </c>
    </row>
    <row r="405" spans="1:14" x14ac:dyDescent="0.25">
      <c r="A405" s="3">
        <v>44523</v>
      </c>
      <c r="B405" t="s">
        <v>27</v>
      </c>
      <c r="C405">
        <v>83</v>
      </c>
      <c r="D405">
        <v>131072</v>
      </c>
      <c r="E405">
        <v>22605</v>
      </c>
      <c r="F405">
        <v>108467</v>
      </c>
      <c r="G405">
        <v>17</v>
      </c>
      <c r="H405">
        <v>131072</v>
      </c>
      <c r="I405">
        <v>83</v>
      </c>
      <c r="J405" t="s">
        <v>1</v>
      </c>
      <c r="K405" t="s">
        <v>2</v>
      </c>
      <c r="L405" s="8">
        <f>InterspecUsage[[#This Row],[Used-MB]]-F395</f>
        <v>129</v>
      </c>
      <c r="M405">
        <f>InterspecUsage[[#This Row],[Max]]-InterspecUsage[[#This Row],[Used-MB]]</f>
        <v>22605</v>
      </c>
      <c r="N405" s="5">
        <f>IF($L405&gt;0,InterspecUsage[[#This Row],[Free-of-Max]]/InterspecUsage[[#This Row],[Usage-Delta-MB]],InterspecUsage[[#This Row],[Free-of-Max]])</f>
        <v>175.23255813953489</v>
      </c>
    </row>
    <row r="406" spans="1:14" x14ac:dyDescent="0.25">
      <c r="A406" s="3">
        <v>44523</v>
      </c>
      <c r="B406" t="s">
        <v>7</v>
      </c>
      <c r="C406">
        <v>95</v>
      </c>
      <c r="D406">
        <v>1040</v>
      </c>
      <c r="E406">
        <v>48</v>
      </c>
      <c r="F406">
        <v>992</v>
      </c>
      <c r="G406">
        <v>5</v>
      </c>
      <c r="H406">
        <v>32768</v>
      </c>
      <c r="I406">
        <v>3</v>
      </c>
      <c r="J406" t="s">
        <v>1</v>
      </c>
      <c r="K406" t="s">
        <v>2</v>
      </c>
      <c r="L406" s="8">
        <f>InterspecUsage[[#This Row],[Used-MB]]-F396</f>
        <v>-1</v>
      </c>
      <c r="M406">
        <f>InterspecUsage[[#This Row],[Max]]-InterspecUsage[[#This Row],[Used-MB]]</f>
        <v>31776</v>
      </c>
      <c r="N406" s="5">
        <f>IF($L406&gt;0,InterspecUsage[[#This Row],[Free-of-Max]]/InterspecUsage[[#This Row],[Usage-Delta-MB]],InterspecUsage[[#This Row],[Free-of-Max]])</f>
        <v>31776</v>
      </c>
    </row>
    <row r="407" spans="1:14" x14ac:dyDescent="0.25">
      <c r="A407" s="3">
        <v>44523</v>
      </c>
      <c r="B407" t="s">
        <v>0</v>
      </c>
      <c r="C407">
        <v>100</v>
      </c>
      <c r="D407">
        <v>3070</v>
      </c>
      <c r="E407">
        <v>0</v>
      </c>
      <c r="F407">
        <v>3070</v>
      </c>
      <c r="G407">
        <v>0</v>
      </c>
      <c r="H407">
        <v>32768</v>
      </c>
      <c r="I407">
        <v>9</v>
      </c>
      <c r="J407" t="s">
        <v>1</v>
      </c>
      <c r="K407" t="s">
        <v>2</v>
      </c>
      <c r="L407" s="8">
        <f>InterspecUsage[[#This Row],[Used-MB]]-F397</f>
        <v>0</v>
      </c>
      <c r="M407">
        <f>InterspecUsage[[#This Row],[Max]]-InterspecUsage[[#This Row],[Used-MB]]</f>
        <v>29698</v>
      </c>
      <c r="N407" s="5">
        <f>IF($L407&gt;0,InterspecUsage[[#This Row],[Free-of-Max]]/InterspecUsage[[#This Row],[Usage-Delta-MB]],InterspecUsage[[#This Row],[Free-of-Max]])</f>
        <v>29698</v>
      </c>
    </row>
    <row r="408" spans="1:14" x14ac:dyDescent="0.25">
      <c r="A408" s="3">
        <v>44523</v>
      </c>
      <c r="B408" t="s">
        <v>30</v>
      </c>
      <c r="C408">
        <v>0</v>
      </c>
      <c r="D408">
        <v>32767</v>
      </c>
      <c r="E408">
        <v>32752</v>
      </c>
      <c r="F408">
        <v>15</v>
      </c>
      <c r="G408">
        <v>100</v>
      </c>
      <c r="H408">
        <v>32768</v>
      </c>
      <c r="I408">
        <v>0</v>
      </c>
      <c r="J408" t="s">
        <v>1</v>
      </c>
      <c r="K408" t="s">
        <v>13</v>
      </c>
      <c r="L408" s="8">
        <f>InterspecUsage[[#This Row],[Used-MB]]-F398</f>
        <v>-6</v>
      </c>
      <c r="M408">
        <f>InterspecUsage[[#This Row],[Max]]-InterspecUsage[[#This Row],[Used-MB]]</f>
        <v>32753</v>
      </c>
      <c r="N408" s="5">
        <f>IF($L408&gt;0,InterspecUsage[[#This Row],[Free-of-Max]]/InterspecUsage[[#This Row],[Usage-Delta-MB]],InterspecUsage[[#This Row],[Free-of-Max]])</f>
        <v>32753</v>
      </c>
    </row>
    <row r="409" spans="1:14" x14ac:dyDescent="0.25">
      <c r="A409" s="3">
        <v>44523</v>
      </c>
      <c r="B409" t="s">
        <v>28</v>
      </c>
      <c r="C409">
        <v>24</v>
      </c>
      <c r="D409">
        <v>16400</v>
      </c>
      <c r="E409">
        <v>12474</v>
      </c>
      <c r="F409">
        <v>3926</v>
      </c>
      <c r="G409">
        <v>76</v>
      </c>
      <c r="H409">
        <v>32768</v>
      </c>
      <c r="I409">
        <v>12</v>
      </c>
      <c r="J409" t="s">
        <v>1</v>
      </c>
      <c r="K409" t="s">
        <v>10</v>
      </c>
      <c r="L409" s="8">
        <f>InterspecUsage[[#This Row],[Used-MB]]-F399</f>
        <v>-59</v>
      </c>
      <c r="M409">
        <f>InterspecUsage[[#This Row],[Max]]-InterspecUsage[[#This Row],[Used-MB]]</f>
        <v>28842</v>
      </c>
      <c r="N409" s="5">
        <f>IF($L409&gt;0,InterspecUsage[[#This Row],[Free-of-Max]]/InterspecUsage[[#This Row],[Usage-Delta-MB]],InterspecUsage[[#This Row],[Free-of-Max]])</f>
        <v>28842</v>
      </c>
    </row>
    <row r="410" spans="1:14" x14ac:dyDescent="0.25">
      <c r="A410" s="3">
        <v>44523</v>
      </c>
      <c r="B410" t="s">
        <v>25</v>
      </c>
      <c r="C410">
        <v>81</v>
      </c>
      <c r="D410">
        <v>11800</v>
      </c>
      <c r="E410">
        <v>2253</v>
      </c>
      <c r="F410">
        <v>9547</v>
      </c>
      <c r="G410">
        <v>19</v>
      </c>
      <c r="H410">
        <v>32768</v>
      </c>
      <c r="I410">
        <v>29</v>
      </c>
      <c r="J410" t="s">
        <v>1</v>
      </c>
      <c r="K410" t="s">
        <v>2</v>
      </c>
      <c r="L410" s="8">
        <f>InterspecUsage[[#This Row],[Used-MB]]-F400</f>
        <v>439</v>
      </c>
      <c r="M410">
        <f>InterspecUsage[[#This Row],[Max]]-InterspecUsage[[#This Row],[Used-MB]]</f>
        <v>23221</v>
      </c>
      <c r="N410" s="5">
        <f>IF($L410&gt;0,InterspecUsage[[#This Row],[Free-of-Max]]/InterspecUsage[[#This Row],[Usage-Delta-MB]],InterspecUsage[[#This Row],[Free-of-Max]])</f>
        <v>52.89521640091116</v>
      </c>
    </row>
    <row r="411" spans="1:14" x14ac:dyDescent="0.25">
      <c r="A411" s="3">
        <v>44523</v>
      </c>
      <c r="B411" t="s">
        <v>29</v>
      </c>
      <c r="C411">
        <v>0</v>
      </c>
      <c r="D411">
        <v>500</v>
      </c>
      <c r="E411">
        <v>499</v>
      </c>
      <c r="F411">
        <v>1</v>
      </c>
      <c r="G411">
        <v>100</v>
      </c>
      <c r="H411">
        <v>500</v>
      </c>
      <c r="I411">
        <v>0</v>
      </c>
      <c r="J411" t="s">
        <v>1</v>
      </c>
      <c r="K411" t="s">
        <v>2</v>
      </c>
      <c r="L411" s="8">
        <f>InterspecUsage[[#This Row],[Used-MB]]-F401</f>
        <v>0</v>
      </c>
      <c r="M411">
        <f>InterspecUsage[[#This Row],[Max]]-InterspecUsage[[#This Row],[Used-MB]]</f>
        <v>499</v>
      </c>
      <c r="N411" s="5">
        <f>IF($L411&gt;0,InterspecUsage[[#This Row],[Free-of-Max]]/InterspecUsage[[#This Row],[Usage-Delta-MB]],InterspecUsage[[#This Row],[Free-of-Max]])</f>
        <v>499</v>
      </c>
    </row>
    <row r="412" spans="1:14" x14ac:dyDescent="0.25">
      <c r="A412" s="3">
        <v>44529</v>
      </c>
      <c r="B412" t="s">
        <v>26</v>
      </c>
      <c r="C412">
        <v>94</v>
      </c>
      <c r="D412">
        <v>18288</v>
      </c>
      <c r="E412">
        <v>1178</v>
      </c>
      <c r="F412">
        <v>17110</v>
      </c>
      <c r="G412">
        <v>6</v>
      </c>
      <c r="H412">
        <v>40960</v>
      </c>
      <c r="I412">
        <v>42</v>
      </c>
      <c r="J412" t="s">
        <v>1</v>
      </c>
      <c r="K412" t="s">
        <v>2</v>
      </c>
      <c r="L412" s="8">
        <f>InterspecUsage[[#This Row],[Used-MB]]-F402</f>
        <v>0</v>
      </c>
      <c r="M412">
        <f>InterspecUsage[[#This Row],[Max]]-InterspecUsage[[#This Row],[Used-MB]]</f>
        <v>23850</v>
      </c>
      <c r="N412" s="5">
        <f>IF($L412&gt;0,InterspecUsage[[#This Row],[Free-of-Max]]/InterspecUsage[[#This Row],[Usage-Delta-MB]],InterspecUsage[[#This Row],[Free-of-Max]])</f>
        <v>23850</v>
      </c>
    </row>
    <row r="413" spans="1:14" x14ac:dyDescent="0.25">
      <c r="A413" s="3">
        <v>44529</v>
      </c>
      <c r="B413" t="s">
        <v>24</v>
      </c>
      <c r="C413">
        <v>99</v>
      </c>
      <c r="D413">
        <v>18000</v>
      </c>
      <c r="E413">
        <v>172</v>
      </c>
      <c r="F413">
        <v>17828</v>
      </c>
      <c r="G413">
        <v>1</v>
      </c>
      <c r="H413">
        <v>32768</v>
      </c>
      <c r="I413">
        <v>54</v>
      </c>
      <c r="J413" t="s">
        <v>1</v>
      </c>
      <c r="K413" t="s">
        <v>2</v>
      </c>
      <c r="L413" s="8">
        <f>InterspecUsage[[#This Row],[Used-MB]]-F403</f>
        <v>0</v>
      </c>
      <c r="M413">
        <f>InterspecUsage[[#This Row],[Max]]-InterspecUsage[[#This Row],[Used-MB]]</f>
        <v>14940</v>
      </c>
      <c r="N413" s="5">
        <f>IF($L413&gt;0,InterspecUsage[[#This Row],[Free-of-Max]]/InterspecUsage[[#This Row],[Usage-Delta-MB]],InterspecUsage[[#This Row],[Free-of-Max]])</f>
        <v>14940</v>
      </c>
    </row>
    <row r="414" spans="1:14" x14ac:dyDescent="0.25">
      <c r="A414" s="3">
        <v>44529</v>
      </c>
      <c r="B414" t="s">
        <v>35</v>
      </c>
      <c r="C414">
        <v>95</v>
      </c>
      <c r="D414">
        <v>22400</v>
      </c>
      <c r="E414">
        <v>1086</v>
      </c>
      <c r="F414">
        <v>21314</v>
      </c>
      <c r="G414">
        <v>5</v>
      </c>
      <c r="H414">
        <v>32768</v>
      </c>
      <c r="I414">
        <v>65</v>
      </c>
      <c r="J414" t="s">
        <v>1</v>
      </c>
      <c r="K414" t="s">
        <v>2</v>
      </c>
      <c r="L414" s="8">
        <f>InterspecUsage[[#This Row],[Used-MB]]-F404</f>
        <v>0</v>
      </c>
      <c r="M414">
        <f>InterspecUsage[[#This Row],[Max]]-InterspecUsage[[#This Row],[Used-MB]]</f>
        <v>11454</v>
      </c>
      <c r="N414" s="5">
        <f>IF($L414&gt;0,InterspecUsage[[#This Row],[Free-of-Max]]/InterspecUsage[[#This Row],[Usage-Delta-MB]],InterspecUsage[[#This Row],[Free-of-Max]])</f>
        <v>11454</v>
      </c>
    </row>
    <row r="415" spans="1:14" x14ac:dyDescent="0.25">
      <c r="A415" s="3">
        <v>44529</v>
      </c>
      <c r="B415" t="s">
        <v>27</v>
      </c>
      <c r="C415">
        <v>83</v>
      </c>
      <c r="D415">
        <v>131072</v>
      </c>
      <c r="E415">
        <v>22412</v>
      </c>
      <c r="F415">
        <v>108660</v>
      </c>
      <c r="G415">
        <v>17</v>
      </c>
      <c r="H415">
        <v>131072</v>
      </c>
      <c r="I415">
        <v>83</v>
      </c>
      <c r="J415" t="s">
        <v>1</v>
      </c>
      <c r="K415" t="s">
        <v>2</v>
      </c>
      <c r="L415" s="8">
        <f>InterspecUsage[[#This Row],[Used-MB]]-F405</f>
        <v>193</v>
      </c>
      <c r="M415">
        <f>InterspecUsage[[#This Row],[Max]]-InterspecUsage[[#This Row],[Used-MB]]</f>
        <v>22412</v>
      </c>
      <c r="N415" s="5">
        <f>IF($L415&gt;0,InterspecUsage[[#This Row],[Free-of-Max]]/InterspecUsage[[#This Row],[Usage-Delta-MB]],InterspecUsage[[#This Row],[Free-of-Max]])</f>
        <v>116.12435233160622</v>
      </c>
    </row>
    <row r="416" spans="1:14" x14ac:dyDescent="0.25">
      <c r="A416" s="3">
        <v>44529</v>
      </c>
      <c r="B416" t="s">
        <v>7</v>
      </c>
      <c r="C416">
        <v>95</v>
      </c>
      <c r="D416">
        <v>1050</v>
      </c>
      <c r="E416">
        <v>50</v>
      </c>
      <c r="F416">
        <v>1000</v>
      </c>
      <c r="G416">
        <v>5</v>
      </c>
      <c r="H416">
        <v>32768</v>
      </c>
      <c r="I416">
        <v>3</v>
      </c>
      <c r="J416" t="s">
        <v>1</v>
      </c>
      <c r="K416" t="s">
        <v>2</v>
      </c>
      <c r="L416" s="8">
        <f>InterspecUsage[[#This Row],[Used-MB]]-F406</f>
        <v>8</v>
      </c>
      <c r="M416">
        <f>InterspecUsage[[#This Row],[Max]]-InterspecUsage[[#This Row],[Used-MB]]</f>
        <v>31768</v>
      </c>
      <c r="N416" s="5">
        <f>IF($L416&gt;0,InterspecUsage[[#This Row],[Free-of-Max]]/InterspecUsage[[#This Row],[Usage-Delta-MB]],InterspecUsage[[#This Row],[Free-of-Max]])</f>
        <v>3971</v>
      </c>
    </row>
    <row r="417" spans="1:14" x14ac:dyDescent="0.25">
      <c r="A417" s="3">
        <v>44529</v>
      </c>
      <c r="B417" t="s">
        <v>0</v>
      </c>
      <c r="C417">
        <v>100</v>
      </c>
      <c r="D417">
        <v>3070</v>
      </c>
      <c r="E417">
        <v>0</v>
      </c>
      <c r="F417">
        <v>3070</v>
      </c>
      <c r="G417">
        <v>0</v>
      </c>
      <c r="H417">
        <v>32768</v>
      </c>
      <c r="I417">
        <v>9</v>
      </c>
      <c r="J417" t="s">
        <v>1</v>
      </c>
      <c r="K417" t="s">
        <v>2</v>
      </c>
      <c r="L417" s="8">
        <f>InterspecUsage[[#This Row],[Used-MB]]-F407</f>
        <v>0</v>
      </c>
      <c r="M417">
        <f>InterspecUsage[[#This Row],[Max]]-InterspecUsage[[#This Row],[Used-MB]]</f>
        <v>29698</v>
      </c>
      <c r="N417" s="5">
        <f>IF($L417&gt;0,InterspecUsage[[#This Row],[Free-of-Max]]/InterspecUsage[[#This Row],[Usage-Delta-MB]],InterspecUsage[[#This Row],[Free-of-Max]])</f>
        <v>29698</v>
      </c>
    </row>
    <row r="418" spans="1:14" x14ac:dyDescent="0.25">
      <c r="A418" s="3">
        <v>44529</v>
      </c>
      <c r="B418" t="s">
        <v>30</v>
      </c>
      <c r="C418">
        <v>0</v>
      </c>
      <c r="D418">
        <v>32767</v>
      </c>
      <c r="E418">
        <v>32749</v>
      </c>
      <c r="F418">
        <v>18</v>
      </c>
      <c r="G418">
        <v>100</v>
      </c>
      <c r="H418">
        <v>32768</v>
      </c>
      <c r="I418">
        <v>0</v>
      </c>
      <c r="J418" t="s">
        <v>1</v>
      </c>
      <c r="K418" t="s">
        <v>13</v>
      </c>
      <c r="L418" s="8">
        <f>InterspecUsage[[#This Row],[Used-MB]]-F408</f>
        <v>3</v>
      </c>
      <c r="M418">
        <f>InterspecUsage[[#This Row],[Max]]-InterspecUsage[[#This Row],[Used-MB]]</f>
        <v>32750</v>
      </c>
      <c r="N418" s="5">
        <f>IF($L418&gt;0,InterspecUsage[[#This Row],[Free-of-Max]]/InterspecUsage[[#This Row],[Usage-Delta-MB]],InterspecUsage[[#This Row],[Free-of-Max]])</f>
        <v>10916.666666666666</v>
      </c>
    </row>
    <row r="419" spans="1:14" x14ac:dyDescent="0.25">
      <c r="A419" s="3">
        <v>44529</v>
      </c>
      <c r="B419" t="s">
        <v>28</v>
      </c>
      <c r="C419">
        <v>24</v>
      </c>
      <c r="D419">
        <v>16400</v>
      </c>
      <c r="E419">
        <v>12491</v>
      </c>
      <c r="F419">
        <v>3909</v>
      </c>
      <c r="G419">
        <v>76</v>
      </c>
      <c r="H419">
        <v>32768</v>
      </c>
      <c r="I419">
        <v>12</v>
      </c>
      <c r="J419" t="s">
        <v>1</v>
      </c>
      <c r="K419" t="s">
        <v>10</v>
      </c>
      <c r="L419" s="8">
        <f>InterspecUsage[[#This Row],[Used-MB]]-F409</f>
        <v>-17</v>
      </c>
      <c r="M419">
        <f>InterspecUsage[[#This Row],[Max]]-InterspecUsage[[#This Row],[Used-MB]]</f>
        <v>28859</v>
      </c>
      <c r="N419" s="5">
        <f>IF($L419&gt;0,InterspecUsage[[#This Row],[Free-of-Max]]/InterspecUsage[[#This Row],[Usage-Delta-MB]],InterspecUsage[[#This Row],[Free-of-Max]])</f>
        <v>28859</v>
      </c>
    </row>
    <row r="420" spans="1:14" x14ac:dyDescent="0.25">
      <c r="A420" s="3">
        <v>44529</v>
      </c>
      <c r="B420" t="s">
        <v>25</v>
      </c>
      <c r="C420">
        <v>82</v>
      </c>
      <c r="D420">
        <v>11800</v>
      </c>
      <c r="E420">
        <v>2181</v>
      </c>
      <c r="F420">
        <v>9619</v>
      </c>
      <c r="G420">
        <v>18</v>
      </c>
      <c r="H420">
        <v>32768</v>
      </c>
      <c r="I420">
        <v>29</v>
      </c>
      <c r="J420" t="s">
        <v>1</v>
      </c>
      <c r="K420" t="s">
        <v>2</v>
      </c>
      <c r="L420" s="8">
        <f>InterspecUsage[[#This Row],[Used-MB]]-F410</f>
        <v>72</v>
      </c>
      <c r="M420">
        <f>InterspecUsage[[#This Row],[Max]]-InterspecUsage[[#This Row],[Used-MB]]</f>
        <v>23149</v>
      </c>
      <c r="N420" s="5">
        <f>IF($L420&gt;0,InterspecUsage[[#This Row],[Free-of-Max]]/InterspecUsage[[#This Row],[Usage-Delta-MB]],InterspecUsage[[#This Row],[Free-of-Max]])</f>
        <v>321.51388888888891</v>
      </c>
    </row>
    <row r="421" spans="1:14" x14ac:dyDescent="0.25">
      <c r="A421" s="3">
        <v>44529</v>
      </c>
      <c r="B421" t="s">
        <v>29</v>
      </c>
      <c r="C421">
        <v>0</v>
      </c>
      <c r="D421">
        <v>500</v>
      </c>
      <c r="E421">
        <v>499</v>
      </c>
      <c r="F421">
        <v>1</v>
      </c>
      <c r="G421">
        <v>100</v>
      </c>
      <c r="H421">
        <v>500</v>
      </c>
      <c r="I421">
        <v>0</v>
      </c>
      <c r="J421" t="s">
        <v>1</v>
      </c>
      <c r="K421" t="s">
        <v>2</v>
      </c>
      <c r="L421" s="8">
        <f>InterspecUsage[[#This Row],[Used-MB]]-F411</f>
        <v>0</v>
      </c>
      <c r="M421">
        <f>InterspecUsage[[#This Row],[Max]]-InterspecUsage[[#This Row],[Used-MB]]</f>
        <v>499</v>
      </c>
      <c r="N421" s="5">
        <f>IF($L421&gt;0,InterspecUsage[[#This Row],[Free-of-Max]]/InterspecUsage[[#This Row],[Usage-Delta-MB]],InterspecUsage[[#This Row],[Free-of-Max]])</f>
        <v>499</v>
      </c>
    </row>
    <row r="422" spans="1:14" x14ac:dyDescent="0.25">
      <c r="A422" s="3">
        <v>44536</v>
      </c>
      <c r="B422" t="s">
        <v>26</v>
      </c>
      <c r="C422">
        <v>94</v>
      </c>
      <c r="D422">
        <v>18288</v>
      </c>
      <c r="E422">
        <v>1178</v>
      </c>
      <c r="F422">
        <v>17110</v>
      </c>
      <c r="G422">
        <v>6</v>
      </c>
      <c r="H422">
        <v>40960</v>
      </c>
      <c r="I422">
        <v>42</v>
      </c>
      <c r="J422" t="s">
        <v>1</v>
      </c>
      <c r="K422" t="s">
        <v>2</v>
      </c>
      <c r="L422" s="8">
        <f>InterspecUsage[[#This Row],[Used-MB]]-F412</f>
        <v>0</v>
      </c>
      <c r="M422">
        <f>InterspecUsage[[#This Row],[Max]]-InterspecUsage[[#This Row],[Used-MB]]</f>
        <v>23850</v>
      </c>
      <c r="N422" s="5">
        <f>IF($L422&gt;0,InterspecUsage[[#This Row],[Free-of-Max]]/InterspecUsage[[#This Row],[Usage-Delta-MB]],InterspecUsage[[#This Row],[Free-of-Max]])</f>
        <v>23850</v>
      </c>
    </row>
    <row r="423" spans="1:14" x14ac:dyDescent="0.25">
      <c r="A423" s="3">
        <v>44536</v>
      </c>
      <c r="B423" t="s">
        <v>24</v>
      </c>
      <c r="C423">
        <v>99</v>
      </c>
      <c r="D423">
        <v>18000</v>
      </c>
      <c r="E423">
        <v>97</v>
      </c>
      <c r="F423">
        <v>17903</v>
      </c>
      <c r="G423">
        <v>1</v>
      </c>
      <c r="H423">
        <v>32768</v>
      </c>
      <c r="I423">
        <v>55</v>
      </c>
      <c r="J423" t="s">
        <v>1</v>
      </c>
      <c r="K423" t="s">
        <v>2</v>
      </c>
      <c r="L423" s="8">
        <f>InterspecUsage[[#This Row],[Used-MB]]-F413</f>
        <v>75</v>
      </c>
      <c r="M423">
        <f>InterspecUsage[[#This Row],[Max]]-InterspecUsage[[#This Row],[Used-MB]]</f>
        <v>14865</v>
      </c>
      <c r="N423" s="5">
        <f>IF($L423&gt;0,InterspecUsage[[#This Row],[Free-of-Max]]/InterspecUsage[[#This Row],[Usage-Delta-MB]],InterspecUsage[[#This Row],[Free-of-Max]])</f>
        <v>198.2</v>
      </c>
    </row>
    <row r="424" spans="1:14" x14ac:dyDescent="0.25">
      <c r="A424" s="3">
        <v>44536</v>
      </c>
      <c r="B424" t="s">
        <v>35</v>
      </c>
      <c r="C424">
        <v>95</v>
      </c>
      <c r="D424">
        <v>22600</v>
      </c>
      <c r="E424">
        <v>1222</v>
      </c>
      <c r="F424">
        <v>21378</v>
      </c>
      <c r="G424">
        <v>5</v>
      </c>
      <c r="H424">
        <v>32768</v>
      </c>
      <c r="I424">
        <v>65</v>
      </c>
      <c r="J424" t="s">
        <v>1</v>
      </c>
      <c r="K424" t="s">
        <v>2</v>
      </c>
      <c r="L424" s="8">
        <f>InterspecUsage[[#This Row],[Used-MB]]-F414</f>
        <v>64</v>
      </c>
      <c r="M424">
        <f>InterspecUsage[[#This Row],[Max]]-InterspecUsage[[#This Row],[Used-MB]]</f>
        <v>11390</v>
      </c>
      <c r="N424" s="5">
        <f>IF($L424&gt;0,InterspecUsage[[#This Row],[Free-of-Max]]/InterspecUsage[[#This Row],[Usage-Delta-MB]],InterspecUsage[[#This Row],[Free-of-Max]])</f>
        <v>177.96875</v>
      </c>
    </row>
    <row r="425" spans="1:14" x14ac:dyDescent="0.25">
      <c r="A425" s="3">
        <v>44536</v>
      </c>
      <c r="B425" t="s">
        <v>27</v>
      </c>
      <c r="C425">
        <v>83</v>
      </c>
      <c r="D425">
        <v>131072</v>
      </c>
      <c r="E425">
        <v>22282</v>
      </c>
      <c r="F425">
        <v>108790</v>
      </c>
      <c r="G425">
        <v>17</v>
      </c>
      <c r="H425">
        <v>131072</v>
      </c>
      <c r="I425">
        <v>83</v>
      </c>
      <c r="J425" t="s">
        <v>1</v>
      </c>
      <c r="K425" t="s">
        <v>2</v>
      </c>
      <c r="L425" s="8">
        <f>InterspecUsage[[#This Row],[Used-MB]]-F415</f>
        <v>130</v>
      </c>
      <c r="M425">
        <f>InterspecUsage[[#This Row],[Max]]-InterspecUsage[[#This Row],[Used-MB]]</f>
        <v>22282</v>
      </c>
      <c r="N425" s="5">
        <f>IF($L425&gt;0,InterspecUsage[[#This Row],[Free-of-Max]]/InterspecUsage[[#This Row],[Usage-Delta-MB]],InterspecUsage[[#This Row],[Free-of-Max]])</f>
        <v>171.4</v>
      </c>
    </row>
    <row r="426" spans="1:14" x14ac:dyDescent="0.25">
      <c r="A426" s="3">
        <v>44536</v>
      </c>
      <c r="B426" t="s">
        <v>7</v>
      </c>
      <c r="C426">
        <v>95</v>
      </c>
      <c r="D426">
        <v>1060</v>
      </c>
      <c r="E426">
        <v>51</v>
      </c>
      <c r="F426">
        <v>1009</v>
      </c>
      <c r="G426">
        <v>5</v>
      </c>
      <c r="H426">
        <v>32768</v>
      </c>
      <c r="I426">
        <v>3</v>
      </c>
      <c r="J426" t="s">
        <v>1</v>
      </c>
      <c r="K426" t="s">
        <v>2</v>
      </c>
      <c r="L426" s="8">
        <f>InterspecUsage[[#This Row],[Used-MB]]-F416</f>
        <v>9</v>
      </c>
      <c r="M426">
        <f>InterspecUsage[[#This Row],[Max]]-InterspecUsage[[#This Row],[Used-MB]]</f>
        <v>31759</v>
      </c>
      <c r="N426" s="5">
        <f>IF($L426&gt;0,InterspecUsage[[#This Row],[Free-of-Max]]/InterspecUsage[[#This Row],[Usage-Delta-MB]],InterspecUsage[[#This Row],[Free-of-Max]])</f>
        <v>3528.7777777777778</v>
      </c>
    </row>
    <row r="427" spans="1:14" x14ac:dyDescent="0.25">
      <c r="A427" s="3">
        <v>44536</v>
      </c>
      <c r="B427" t="s">
        <v>0</v>
      </c>
      <c r="C427">
        <v>100</v>
      </c>
      <c r="D427">
        <v>3070</v>
      </c>
      <c r="E427">
        <v>0</v>
      </c>
      <c r="F427">
        <v>3070</v>
      </c>
      <c r="G427">
        <v>0</v>
      </c>
      <c r="H427">
        <v>32768</v>
      </c>
      <c r="I427">
        <v>9</v>
      </c>
      <c r="J427" t="s">
        <v>1</v>
      </c>
      <c r="K427" t="s">
        <v>2</v>
      </c>
      <c r="L427" s="8">
        <f>InterspecUsage[[#This Row],[Used-MB]]-F417</f>
        <v>0</v>
      </c>
      <c r="M427">
        <f>InterspecUsage[[#This Row],[Max]]-InterspecUsage[[#This Row],[Used-MB]]</f>
        <v>29698</v>
      </c>
      <c r="N427" s="5">
        <f>IF($L427&gt;0,InterspecUsage[[#This Row],[Free-of-Max]]/InterspecUsage[[#This Row],[Usage-Delta-MB]],InterspecUsage[[#This Row],[Free-of-Max]])</f>
        <v>29698</v>
      </c>
    </row>
    <row r="428" spans="1:14" x14ac:dyDescent="0.25">
      <c r="A428" s="3">
        <v>44536</v>
      </c>
      <c r="B428" t="s">
        <v>30</v>
      </c>
      <c r="C428">
        <v>0</v>
      </c>
      <c r="D428">
        <v>32767</v>
      </c>
      <c r="E428">
        <v>32754</v>
      </c>
      <c r="F428">
        <v>13</v>
      </c>
      <c r="G428">
        <v>100</v>
      </c>
      <c r="H428">
        <v>32768</v>
      </c>
      <c r="I428">
        <v>0</v>
      </c>
      <c r="J428" t="s">
        <v>1</v>
      </c>
      <c r="K428" t="s">
        <v>13</v>
      </c>
      <c r="L428" s="8">
        <f>InterspecUsage[[#This Row],[Used-MB]]-F418</f>
        <v>-5</v>
      </c>
      <c r="M428">
        <f>InterspecUsage[[#This Row],[Max]]-InterspecUsage[[#This Row],[Used-MB]]</f>
        <v>32755</v>
      </c>
      <c r="N428" s="5">
        <f>IF($L428&gt;0,InterspecUsage[[#This Row],[Free-of-Max]]/InterspecUsage[[#This Row],[Usage-Delta-MB]],InterspecUsage[[#This Row],[Free-of-Max]])</f>
        <v>32755</v>
      </c>
    </row>
    <row r="429" spans="1:14" x14ac:dyDescent="0.25">
      <c r="A429" s="3">
        <v>44536</v>
      </c>
      <c r="B429" t="s">
        <v>28</v>
      </c>
      <c r="C429">
        <v>25</v>
      </c>
      <c r="D429">
        <v>16400</v>
      </c>
      <c r="E429">
        <v>12367</v>
      </c>
      <c r="F429">
        <v>4034</v>
      </c>
      <c r="G429">
        <v>75</v>
      </c>
      <c r="H429">
        <v>32768</v>
      </c>
      <c r="I429">
        <v>12</v>
      </c>
      <c r="J429" t="s">
        <v>1</v>
      </c>
      <c r="K429" t="s">
        <v>10</v>
      </c>
      <c r="L429" s="8">
        <f>InterspecUsage[[#This Row],[Used-MB]]-F419</f>
        <v>125</v>
      </c>
      <c r="M429">
        <f>InterspecUsage[[#This Row],[Max]]-InterspecUsage[[#This Row],[Used-MB]]</f>
        <v>28734</v>
      </c>
      <c r="N429" s="5">
        <f>IF($L429&gt;0,InterspecUsage[[#This Row],[Free-of-Max]]/InterspecUsage[[#This Row],[Usage-Delta-MB]],InterspecUsage[[#This Row],[Free-of-Max]])</f>
        <v>229.87200000000001</v>
      </c>
    </row>
    <row r="430" spans="1:14" x14ac:dyDescent="0.25">
      <c r="A430" s="3">
        <v>44536</v>
      </c>
      <c r="B430" t="s">
        <v>25</v>
      </c>
      <c r="C430">
        <v>82</v>
      </c>
      <c r="D430">
        <v>11800</v>
      </c>
      <c r="E430">
        <v>2109</v>
      </c>
      <c r="F430">
        <v>9691</v>
      </c>
      <c r="G430">
        <v>18</v>
      </c>
      <c r="H430">
        <v>32768</v>
      </c>
      <c r="I430">
        <v>30</v>
      </c>
      <c r="J430" t="s">
        <v>1</v>
      </c>
      <c r="K430" t="s">
        <v>2</v>
      </c>
      <c r="L430" s="8">
        <f>InterspecUsage[[#This Row],[Used-MB]]-F420</f>
        <v>72</v>
      </c>
      <c r="M430">
        <f>InterspecUsage[[#This Row],[Max]]-InterspecUsage[[#This Row],[Used-MB]]</f>
        <v>23077</v>
      </c>
      <c r="N430" s="5">
        <f>IF($L430&gt;0,InterspecUsage[[#This Row],[Free-of-Max]]/InterspecUsage[[#This Row],[Usage-Delta-MB]],InterspecUsage[[#This Row],[Free-of-Max]])</f>
        <v>320.51388888888891</v>
      </c>
    </row>
    <row r="431" spans="1:14" x14ac:dyDescent="0.25">
      <c r="A431" s="3">
        <v>44536</v>
      </c>
      <c r="B431" t="s">
        <v>29</v>
      </c>
      <c r="C431">
        <v>0</v>
      </c>
      <c r="D431">
        <v>500</v>
      </c>
      <c r="E431">
        <v>499</v>
      </c>
      <c r="F431">
        <v>1</v>
      </c>
      <c r="G431">
        <v>100</v>
      </c>
      <c r="H431">
        <v>500</v>
      </c>
      <c r="I431">
        <v>0</v>
      </c>
      <c r="J431" t="s">
        <v>1</v>
      </c>
      <c r="K431" t="s">
        <v>2</v>
      </c>
      <c r="L431" s="8">
        <f>InterspecUsage[[#This Row],[Used-MB]]-F421</f>
        <v>0</v>
      </c>
      <c r="M431">
        <f>InterspecUsage[[#This Row],[Max]]-InterspecUsage[[#This Row],[Used-MB]]</f>
        <v>499</v>
      </c>
      <c r="N431" s="5">
        <f>IF($L431&gt;0,InterspecUsage[[#This Row],[Free-of-Max]]/InterspecUsage[[#This Row],[Usage-Delta-MB]],InterspecUsage[[#This Row],[Free-of-Max]])</f>
        <v>499</v>
      </c>
    </row>
    <row r="432" spans="1:14" x14ac:dyDescent="0.25">
      <c r="A432" s="3">
        <v>44543</v>
      </c>
      <c r="B432" t="s">
        <v>26</v>
      </c>
      <c r="C432">
        <v>94</v>
      </c>
      <c r="D432">
        <v>18288</v>
      </c>
      <c r="E432">
        <v>1113</v>
      </c>
      <c r="F432">
        <v>17175</v>
      </c>
      <c r="G432">
        <v>6</v>
      </c>
      <c r="H432">
        <v>40960</v>
      </c>
      <c r="I432">
        <v>42</v>
      </c>
      <c r="J432" t="s">
        <v>1</v>
      </c>
      <c r="K432" t="s">
        <v>2</v>
      </c>
      <c r="L432" s="8">
        <f>InterspecUsage[[#This Row],[Used-MB]]-F422</f>
        <v>65</v>
      </c>
      <c r="M432">
        <f>InterspecUsage[[#This Row],[Max]]-InterspecUsage[[#This Row],[Used-MB]]</f>
        <v>23785</v>
      </c>
      <c r="N432" s="5">
        <f>IF($L432&gt;0,InterspecUsage[[#This Row],[Free-of-Max]]/InterspecUsage[[#This Row],[Usage-Delta-MB]],InterspecUsage[[#This Row],[Free-of-Max]])</f>
        <v>365.92307692307691</v>
      </c>
    </row>
    <row r="433" spans="1:14" x14ac:dyDescent="0.25">
      <c r="A433" s="3">
        <v>44543</v>
      </c>
      <c r="B433" t="s">
        <v>24</v>
      </c>
      <c r="C433">
        <v>100</v>
      </c>
      <c r="D433">
        <v>18000</v>
      </c>
      <c r="E433">
        <v>88</v>
      </c>
      <c r="F433">
        <v>17912</v>
      </c>
      <c r="G433">
        <v>0</v>
      </c>
      <c r="H433">
        <v>32768</v>
      </c>
      <c r="I433">
        <v>55</v>
      </c>
      <c r="J433" t="s">
        <v>1</v>
      </c>
      <c r="K433" t="s">
        <v>2</v>
      </c>
      <c r="L433" s="8">
        <f>InterspecUsage[[#This Row],[Used-MB]]-F423</f>
        <v>9</v>
      </c>
      <c r="M433">
        <f>InterspecUsage[[#This Row],[Max]]-InterspecUsage[[#This Row],[Used-MB]]</f>
        <v>14856</v>
      </c>
      <c r="N433" s="5">
        <f>IF($L433&gt;0,InterspecUsage[[#This Row],[Free-of-Max]]/InterspecUsage[[#This Row],[Usage-Delta-MB]],InterspecUsage[[#This Row],[Free-of-Max]])</f>
        <v>1650.6666666666667</v>
      </c>
    </row>
    <row r="434" spans="1:14" x14ac:dyDescent="0.25">
      <c r="A434" s="3">
        <v>44543</v>
      </c>
      <c r="B434" t="s">
        <v>35</v>
      </c>
      <c r="C434">
        <v>95</v>
      </c>
      <c r="D434">
        <v>22600</v>
      </c>
      <c r="E434">
        <v>1222</v>
      </c>
      <c r="F434">
        <v>21378</v>
      </c>
      <c r="G434">
        <v>5</v>
      </c>
      <c r="H434">
        <v>32768</v>
      </c>
      <c r="I434">
        <v>65</v>
      </c>
      <c r="J434" t="s">
        <v>1</v>
      </c>
      <c r="K434" t="s">
        <v>2</v>
      </c>
      <c r="L434" s="8">
        <f>InterspecUsage[[#This Row],[Used-MB]]-F424</f>
        <v>0</v>
      </c>
      <c r="M434">
        <f>InterspecUsage[[#This Row],[Max]]-InterspecUsage[[#This Row],[Used-MB]]</f>
        <v>11390</v>
      </c>
      <c r="N434" s="5">
        <f>IF($L434&gt;0,InterspecUsage[[#This Row],[Free-of-Max]]/InterspecUsage[[#This Row],[Usage-Delta-MB]],InterspecUsage[[#This Row],[Free-of-Max]])</f>
        <v>11390</v>
      </c>
    </row>
    <row r="435" spans="1:14" x14ac:dyDescent="0.25">
      <c r="A435" s="3">
        <v>44543</v>
      </c>
      <c r="B435" t="s">
        <v>27</v>
      </c>
      <c r="C435">
        <v>83</v>
      </c>
      <c r="D435">
        <v>131072</v>
      </c>
      <c r="E435">
        <v>22145</v>
      </c>
      <c r="F435">
        <v>108927</v>
      </c>
      <c r="G435">
        <v>17</v>
      </c>
      <c r="H435">
        <v>131072</v>
      </c>
      <c r="I435">
        <v>83</v>
      </c>
      <c r="J435" t="s">
        <v>1</v>
      </c>
      <c r="K435" t="s">
        <v>2</v>
      </c>
      <c r="L435" s="8">
        <f>InterspecUsage[[#This Row],[Used-MB]]-F425</f>
        <v>137</v>
      </c>
      <c r="M435">
        <f>InterspecUsage[[#This Row],[Max]]-InterspecUsage[[#This Row],[Used-MB]]</f>
        <v>22145</v>
      </c>
      <c r="N435" s="5">
        <f>IF($L435&gt;0,InterspecUsage[[#This Row],[Free-of-Max]]/InterspecUsage[[#This Row],[Usage-Delta-MB]],InterspecUsage[[#This Row],[Free-of-Max]])</f>
        <v>161.64233576642334</v>
      </c>
    </row>
    <row r="436" spans="1:14" x14ac:dyDescent="0.25">
      <c r="A436" s="3">
        <v>44543</v>
      </c>
      <c r="B436" t="s">
        <v>7</v>
      </c>
      <c r="C436">
        <v>95</v>
      </c>
      <c r="D436">
        <v>1070</v>
      </c>
      <c r="E436">
        <v>51</v>
      </c>
      <c r="F436">
        <v>1019</v>
      </c>
      <c r="G436">
        <v>5</v>
      </c>
      <c r="H436">
        <v>32768</v>
      </c>
      <c r="I436">
        <v>3</v>
      </c>
      <c r="J436" t="s">
        <v>1</v>
      </c>
      <c r="K436" t="s">
        <v>2</v>
      </c>
      <c r="L436" s="8">
        <f>InterspecUsage[[#This Row],[Used-MB]]-F426</f>
        <v>10</v>
      </c>
      <c r="M436">
        <f>InterspecUsage[[#This Row],[Max]]-InterspecUsage[[#This Row],[Used-MB]]</f>
        <v>31749</v>
      </c>
      <c r="N436" s="5">
        <f>IF($L436&gt;0,InterspecUsage[[#This Row],[Free-of-Max]]/InterspecUsage[[#This Row],[Usage-Delta-MB]],InterspecUsage[[#This Row],[Free-of-Max]])</f>
        <v>3174.9</v>
      </c>
    </row>
    <row r="437" spans="1:14" x14ac:dyDescent="0.25">
      <c r="A437" s="3">
        <v>44543</v>
      </c>
      <c r="B437" t="s">
        <v>0</v>
      </c>
      <c r="C437">
        <v>100</v>
      </c>
      <c r="D437">
        <v>3070</v>
      </c>
      <c r="E437">
        <v>0</v>
      </c>
      <c r="F437">
        <v>3070</v>
      </c>
      <c r="G437">
        <v>0</v>
      </c>
      <c r="H437">
        <v>32768</v>
      </c>
      <c r="I437">
        <v>9</v>
      </c>
      <c r="J437" t="s">
        <v>1</v>
      </c>
      <c r="K437" t="s">
        <v>2</v>
      </c>
      <c r="L437" s="8">
        <f>InterspecUsage[[#This Row],[Used-MB]]-F427</f>
        <v>0</v>
      </c>
      <c r="M437">
        <f>InterspecUsage[[#This Row],[Max]]-InterspecUsage[[#This Row],[Used-MB]]</f>
        <v>29698</v>
      </c>
      <c r="N437" s="5">
        <f>IF($L437&gt;0,InterspecUsage[[#This Row],[Free-of-Max]]/InterspecUsage[[#This Row],[Usage-Delta-MB]],InterspecUsage[[#This Row],[Free-of-Max]])</f>
        <v>29698</v>
      </c>
    </row>
    <row r="438" spans="1:14" x14ac:dyDescent="0.25">
      <c r="A438" s="3">
        <v>44543</v>
      </c>
      <c r="B438" t="s">
        <v>30</v>
      </c>
      <c r="C438">
        <v>0</v>
      </c>
      <c r="D438">
        <v>32767</v>
      </c>
      <c r="E438">
        <v>32758</v>
      </c>
      <c r="F438">
        <v>9</v>
      </c>
      <c r="G438">
        <v>100</v>
      </c>
      <c r="H438">
        <v>32768</v>
      </c>
      <c r="I438">
        <v>0</v>
      </c>
      <c r="J438" t="s">
        <v>1</v>
      </c>
      <c r="K438" t="s">
        <v>13</v>
      </c>
      <c r="L438" s="8">
        <f>InterspecUsage[[#This Row],[Used-MB]]-F428</f>
        <v>-4</v>
      </c>
      <c r="M438">
        <f>InterspecUsage[[#This Row],[Max]]-InterspecUsage[[#This Row],[Used-MB]]</f>
        <v>32759</v>
      </c>
      <c r="N438" s="5">
        <f>IF($L438&gt;0,InterspecUsage[[#This Row],[Free-of-Max]]/InterspecUsage[[#This Row],[Usage-Delta-MB]],InterspecUsage[[#This Row],[Free-of-Max]])</f>
        <v>32759</v>
      </c>
    </row>
    <row r="439" spans="1:14" x14ac:dyDescent="0.25">
      <c r="A439" s="3">
        <v>44543</v>
      </c>
      <c r="B439" t="s">
        <v>28</v>
      </c>
      <c r="C439">
        <v>24</v>
      </c>
      <c r="D439">
        <v>16400</v>
      </c>
      <c r="E439">
        <v>12470</v>
      </c>
      <c r="F439">
        <v>3930</v>
      </c>
      <c r="G439">
        <v>76</v>
      </c>
      <c r="H439">
        <v>32768</v>
      </c>
      <c r="I439">
        <v>12</v>
      </c>
      <c r="J439" t="s">
        <v>1</v>
      </c>
      <c r="K439" t="s">
        <v>10</v>
      </c>
      <c r="L439" s="8">
        <f>InterspecUsage[[#This Row],[Used-MB]]-F429</f>
        <v>-104</v>
      </c>
      <c r="M439">
        <f>InterspecUsage[[#This Row],[Max]]-InterspecUsage[[#This Row],[Used-MB]]</f>
        <v>28838</v>
      </c>
      <c r="N439" s="5">
        <f>IF($L439&gt;0,InterspecUsage[[#This Row],[Free-of-Max]]/InterspecUsage[[#This Row],[Usage-Delta-MB]],InterspecUsage[[#This Row],[Free-of-Max]])</f>
        <v>28838</v>
      </c>
    </row>
    <row r="440" spans="1:14" x14ac:dyDescent="0.25">
      <c r="A440" s="3">
        <v>44543</v>
      </c>
      <c r="B440" t="s">
        <v>25</v>
      </c>
      <c r="C440">
        <v>83</v>
      </c>
      <c r="D440">
        <v>11800</v>
      </c>
      <c r="E440">
        <v>2037</v>
      </c>
      <c r="F440">
        <v>9763</v>
      </c>
      <c r="G440">
        <v>17</v>
      </c>
      <c r="H440">
        <v>32768</v>
      </c>
      <c r="I440">
        <v>30</v>
      </c>
      <c r="J440" t="s">
        <v>1</v>
      </c>
      <c r="K440" t="s">
        <v>2</v>
      </c>
      <c r="L440" s="8">
        <f>InterspecUsage[[#This Row],[Used-MB]]-F430</f>
        <v>72</v>
      </c>
      <c r="M440">
        <f>InterspecUsage[[#This Row],[Max]]-InterspecUsage[[#This Row],[Used-MB]]</f>
        <v>23005</v>
      </c>
      <c r="N440" s="5">
        <f>IF($L440&gt;0,InterspecUsage[[#This Row],[Free-of-Max]]/InterspecUsage[[#This Row],[Usage-Delta-MB]],InterspecUsage[[#This Row],[Free-of-Max]])</f>
        <v>319.51388888888891</v>
      </c>
    </row>
    <row r="441" spans="1:14" x14ac:dyDescent="0.25">
      <c r="A441" s="3">
        <v>44543</v>
      </c>
      <c r="B441" t="s">
        <v>29</v>
      </c>
      <c r="C441">
        <v>0</v>
      </c>
      <c r="D441">
        <v>500</v>
      </c>
      <c r="E441">
        <v>499</v>
      </c>
      <c r="F441">
        <v>1</v>
      </c>
      <c r="G441">
        <v>100</v>
      </c>
      <c r="H441">
        <v>500</v>
      </c>
      <c r="I441">
        <v>0</v>
      </c>
      <c r="J441" t="s">
        <v>1</v>
      </c>
      <c r="K441" t="s">
        <v>2</v>
      </c>
      <c r="L441" s="8">
        <f>InterspecUsage[[#This Row],[Used-MB]]-F431</f>
        <v>0</v>
      </c>
      <c r="M441">
        <f>InterspecUsage[[#This Row],[Max]]-InterspecUsage[[#This Row],[Used-MB]]</f>
        <v>499</v>
      </c>
      <c r="N441" s="5">
        <f>IF($L441&gt;0,InterspecUsage[[#This Row],[Free-of-Max]]/InterspecUsage[[#This Row],[Usage-Delta-MB]],InterspecUsage[[#This Row],[Free-of-Max]])</f>
        <v>499</v>
      </c>
    </row>
    <row r="442" spans="1:14" x14ac:dyDescent="0.25">
      <c r="A442" s="3">
        <v>44551</v>
      </c>
      <c r="B442" t="s">
        <v>26</v>
      </c>
      <c r="C442">
        <v>94</v>
      </c>
      <c r="D442">
        <v>18288</v>
      </c>
      <c r="E442">
        <v>1049</v>
      </c>
      <c r="F442">
        <v>17239</v>
      </c>
      <c r="G442">
        <v>6</v>
      </c>
      <c r="H442">
        <v>40960</v>
      </c>
      <c r="I442">
        <v>42</v>
      </c>
      <c r="J442" t="s">
        <v>1</v>
      </c>
      <c r="K442" t="s">
        <v>2</v>
      </c>
      <c r="L442" s="8">
        <f>InterspecUsage[[#This Row],[Used-MB]]-F432</f>
        <v>64</v>
      </c>
      <c r="M442">
        <f>InterspecUsage[[#This Row],[Max]]-InterspecUsage[[#This Row],[Used-MB]]</f>
        <v>23721</v>
      </c>
      <c r="N442" s="5">
        <f>IF($L442&gt;0,InterspecUsage[[#This Row],[Free-of-Max]]/InterspecUsage[[#This Row],[Usage-Delta-MB]],InterspecUsage[[#This Row],[Free-of-Max]])</f>
        <v>370.640625</v>
      </c>
    </row>
    <row r="443" spans="1:14" x14ac:dyDescent="0.25">
      <c r="A443" s="3">
        <v>44551</v>
      </c>
      <c r="B443" t="s">
        <v>24</v>
      </c>
      <c r="C443">
        <v>100</v>
      </c>
      <c r="D443">
        <v>18000</v>
      </c>
      <c r="E443">
        <v>88</v>
      </c>
      <c r="F443">
        <v>17912</v>
      </c>
      <c r="G443">
        <v>0</v>
      </c>
      <c r="H443">
        <v>32768</v>
      </c>
      <c r="I443">
        <v>55</v>
      </c>
      <c r="J443" t="s">
        <v>1</v>
      </c>
      <c r="K443" t="s">
        <v>2</v>
      </c>
      <c r="L443" s="8">
        <f>InterspecUsage[[#This Row],[Used-MB]]-F433</f>
        <v>0</v>
      </c>
      <c r="M443">
        <f>InterspecUsage[[#This Row],[Max]]-InterspecUsage[[#This Row],[Used-MB]]</f>
        <v>14856</v>
      </c>
      <c r="N443" s="5">
        <f>IF($L443&gt;0,InterspecUsage[[#This Row],[Free-of-Max]]/InterspecUsage[[#This Row],[Usage-Delta-MB]],InterspecUsage[[#This Row],[Free-of-Max]])</f>
        <v>14856</v>
      </c>
    </row>
    <row r="444" spans="1:14" x14ac:dyDescent="0.25">
      <c r="A444" s="3">
        <v>44551</v>
      </c>
      <c r="B444" t="s">
        <v>35</v>
      </c>
      <c r="C444">
        <v>95</v>
      </c>
      <c r="D444">
        <v>22600</v>
      </c>
      <c r="E444">
        <v>1158</v>
      </c>
      <c r="F444">
        <v>21442</v>
      </c>
      <c r="G444">
        <v>5</v>
      </c>
      <c r="H444">
        <v>32768</v>
      </c>
      <c r="I444">
        <v>65</v>
      </c>
      <c r="J444" t="s">
        <v>1</v>
      </c>
      <c r="K444" t="s">
        <v>2</v>
      </c>
      <c r="L444" s="8">
        <f>InterspecUsage[[#This Row],[Used-MB]]-F434</f>
        <v>64</v>
      </c>
      <c r="M444">
        <f>InterspecUsage[[#This Row],[Max]]-InterspecUsage[[#This Row],[Used-MB]]</f>
        <v>11326</v>
      </c>
      <c r="N444" s="5">
        <f>IF($L444&gt;0,InterspecUsage[[#This Row],[Free-of-Max]]/InterspecUsage[[#This Row],[Usage-Delta-MB]],InterspecUsage[[#This Row],[Free-of-Max]])</f>
        <v>176.96875</v>
      </c>
    </row>
    <row r="445" spans="1:14" x14ac:dyDescent="0.25">
      <c r="A445" s="3">
        <v>44551</v>
      </c>
      <c r="B445" t="s">
        <v>27</v>
      </c>
      <c r="C445">
        <v>83</v>
      </c>
      <c r="D445">
        <v>131072</v>
      </c>
      <c r="E445">
        <v>21822</v>
      </c>
      <c r="F445">
        <v>109250</v>
      </c>
      <c r="G445">
        <v>17</v>
      </c>
      <c r="H445">
        <v>131072</v>
      </c>
      <c r="I445">
        <v>83</v>
      </c>
      <c r="J445" t="s">
        <v>1</v>
      </c>
      <c r="K445" t="s">
        <v>2</v>
      </c>
      <c r="L445" s="8">
        <f>InterspecUsage[[#This Row],[Used-MB]]-F435</f>
        <v>323</v>
      </c>
      <c r="M445">
        <f>InterspecUsage[[#This Row],[Max]]-InterspecUsage[[#This Row],[Used-MB]]</f>
        <v>21822</v>
      </c>
      <c r="N445" s="5">
        <f>IF($L445&gt;0,InterspecUsage[[#This Row],[Free-of-Max]]/InterspecUsage[[#This Row],[Usage-Delta-MB]],InterspecUsage[[#This Row],[Free-of-Max]])</f>
        <v>67.56037151702786</v>
      </c>
    </row>
    <row r="446" spans="1:14" x14ac:dyDescent="0.25">
      <c r="A446" s="3">
        <v>44551</v>
      </c>
      <c r="B446" t="s">
        <v>7</v>
      </c>
      <c r="C446">
        <v>96</v>
      </c>
      <c r="D446">
        <v>1070</v>
      </c>
      <c r="E446">
        <v>43</v>
      </c>
      <c r="F446">
        <v>1027</v>
      </c>
      <c r="G446">
        <v>4</v>
      </c>
      <c r="H446">
        <v>32768</v>
      </c>
      <c r="I446">
        <v>3</v>
      </c>
      <c r="J446" t="s">
        <v>1</v>
      </c>
      <c r="K446" t="s">
        <v>2</v>
      </c>
      <c r="L446" s="8">
        <f>InterspecUsage[[#This Row],[Used-MB]]-F436</f>
        <v>8</v>
      </c>
      <c r="M446">
        <f>InterspecUsage[[#This Row],[Max]]-InterspecUsage[[#This Row],[Used-MB]]</f>
        <v>31741</v>
      </c>
      <c r="N446" s="5">
        <f>IF($L446&gt;0,InterspecUsage[[#This Row],[Free-of-Max]]/InterspecUsage[[#This Row],[Usage-Delta-MB]],InterspecUsage[[#This Row],[Free-of-Max]])</f>
        <v>3967.625</v>
      </c>
    </row>
    <row r="447" spans="1:14" x14ac:dyDescent="0.25">
      <c r="A447" s="3">
        <v>44551</v>
      </c>
      <c r="B447" t="s">
        <v>0</v>
      </c>
      <c r="C447">
        <v>100</v>
      </c>
      <c r="D447">
        <v>3140</v>
      </c>
      <c r="E447">
        <v>6</v>
      </c>
      <c r="F447">
        <v>3134</v>
      </c>
      <c r="G447">
        <v>0</v>
      </c>
      <c r="H447">
        <v>32768</v>
      </c>
      <c r="I447">
        <v>10</v>
      </c>
      <c r="J447" t="s">
        <v>1</v>
      </c>
      <c r="K447" t="s">
        <v>2</v>
      </c>
      <c r="L447" s="8">
        <f>InterspecUsage[[#This Row],[Used-MB]]-F437</f>
        <v>64</v>
      </c>
      <c r="M447">
        <f>InterspecUsage[[#This Row],[Max]]-InterspecUsage[[#This Row],[Used-MB]]</f>
        <v>29634</v>
      </c>
      <c r="N447" s="5">
        <f>IF($L447&gt;0,InterspecUsage[[#This Row],[Free-of-Max]]/InterspecUsage[[#This Row],[Usage-Delta-MB]],InterspecUsage[[#This Row],[Free-of-Max]])</f>
        <v>463.03125</v>
      </c>
    </row>
    <row r="448" spans="1:14" x14ac:dyDescent="0.25">
      <c r="A448" s="3">
        <v>44551</v>
      </c>
      <c r="B448" t="s">
        <v>30</v>
      </c>
      <c r="C448">
        <v>0</v>
      </c>
      <c r="D448">
        <v>32767</v>
      </c>
      <c r="E448">
        <v>32732</v>
      </c>
      <c r="F448">
        <v>35</v>
      </c>
      <c r="G448">
        <v>100</v>
      </c>
      <c r="H448">
        <v>32768</v>
      </c>
      <c r="I448">
        <v>0</v>
      </c>
      <c r="J448" t="s">
        <v>1</v>
      </c>
      <c r="K448" t="s">
        <v>13</v>
      </c>
      <c r="L448" s="8">
        <f>InterspecUsage[[#This Row],[Used-MB]]-F438</f>
        <v>26</v>
      </c>
      <c r="M448">
        <f>InterspecUsage[[#This Row],[Max]]-InterspecUsage[[#This Row],[Used-MB]]</f>
        <v>32733</v>
      </c>
      <c r="N448" s="5">
        <f>IF($L448&gt;0,InterspecUsage[[#This Row],[Free-of-Max]]/InterspecUsage[[#This Row],[Usage-Delta-MB]],InterspecUsage[[#This Row],[Free-of-Max]])</f>
        <v>1258.9615384615386</v>
      </c>
    </row>
    <row r="449" spans="1:14" x14ac:dyDescent="0.25">
      <c r="A449" s="3">
        <v>44551</v>
      </c>
      <c r="B449" t="s">
        <v>28</v>
      </c>
      <c r="C449">
        <v>26</v>
      </c>
      <c r="D449">
        <v>16400</v>
      </c>
      <c r="E449">
        <v>12216</v>
      </c>
      <c r="F449">
        <v>4184</v>
      </c>
      <c r="G449">
        <v>74</v>
      </c>
      <c r="H449">
        <v>32768</v>
      </c>
      <c r="I449">
        <v>13</v>
      </c>
      <c r="J449" t="s">
        <v>1</v>
      </c>
      <c r="K449" t="s">
        <v>10</v>
      </c>
      <c r="L449" s="8">
        <f>InterspecUsage[[#This Row],[Used-MB]]-F439</f>
        <v>254</v>
      </c>
      <c r="M449">
        <f>InterspecUsage[[#This Row],[Max]]-InterspecUsage[[#This Row],[Used-MB]]</f>
        <v>28584</v>
      </c>
      <c r="N449" s="5">
        <f>IF($L449&gt;0,InterspecUsage[[#This Row],[Free-of-Max]]/InterspecUsage[[#This Row],[Usage-Delta-MB]],InterspecUsage[[#This Row],[Free-of-Max]])</f>
        <v>112.53543307086615</v>
      </c>
    </row>
    <row r="450" spans="1:14" x14ac:dyDescent="0.25">
      <c r="A450" s="3">
        <v>44551</v>
      </c>
      <c r="B450" t="s">
        <v>25</v>
      </c>
      <c r="C450">
        <v>84</v>
      </c>
      <c r="D450">
        <v>11800</v>
      </c>
      <c r="E450">
        <v>1901</v>
      </c>
      <c r="F450">
        <v>9899</v>
      </c>
      <c r="G450">
        <v>16</v>
      </c>
      <c r="H450">
        <v>32768</v>
      </c>
      <c r="I450">
        <v>30</v>
      </c>
      <c r="J450" t="s">
        <v>1</v>
      </c>
      <c r="K450" t="s">
        <v>2</v>
      </c>
      <c r="L450" s="8">
        <f>InterspecUsage[[#This Row],[Used-MB]]-F440</f>
        <v>136</v>
      </c>
      <c r="M450">
        <f>InterspecUsage[[#This Row],[Max]]-InterspecUsage[[#This Row],[Used-MB]]</f>
        <v>22869</v>
      </c>
      <c r="N450" s="5">
        <f>IF($L450&gt;0,InterspecUsage[[#This Row],[Free-of-Max]]/InterspecUsage[[#This Row],[Usage-Delta-MB]],InterspecUsage[[#This Row],[Free-of-Max]])</f>
        <v>168.15441176470588</v>
      </c>
    </row>
    <row r="451" spans="1:14" x14ac:dyDescent="0.25">
      <c r="A451" s="3">
        <v>44551</v>
      </c>
      <c r="B451" t="s">
        <v>29</v>
      </c>
      <c r="C451">
        <v>0</v>
      </c>
      <c r="D451">
        <v>500</v>
      </c>
      <c r="E451">
        <v>499</v>
      </c>
      <c r="F451">
        <v>1</v>
      </c>
      <c r="G451">
        <v>100</v>
      </c>
      <c r="H451">
        <v>500</v>
      </c>
      <c r="I451">
        <v>0</v>
      </c>
      <c r="J451" t="s">
        <v>1</v>
      </c>
      <c r="K451" t="s">
        <v>2</v>
      </c>
      <c r="L451" s="8">
        <f>InterspecUsage[[#This Row],[Used-MB]]-F441</f>
        <v>0</v>
      </c>
      <c r="M451">
        <f>InterspecUsage[[#This Row],[Max]]-InterspecUsage[[#This Row],[Used-MB]]</f>
        <v>499</v>
      </c>
      <c r="N451" s="5">
        <f>IF($L451&gt;0,InterspecUsage[[#This Row],[Free-of-Max]]/InterspecUsage[[#This Row],[Usage-Delta-MB]],InterspecUsage[[#This Row],[Free-of-Max]])</f>
        <v>499</v>
      </c>
    </row>
    <row r="452" spans="1:14" x14ac:dyDescent="0.25">
      <c r="A452" s="3">
        <v>44565</v>
      </c>
      <c r="B452" t="s">
        <v>26</v>
      </c>
      <c r="C452">
        <v>95</v>
      </c>
      <c r="D452">
        <v>18288</v>
      </c>
      <c r="E452">
        <v>985</v>
      </c>
      <c r="F452">
        <v>17303</v>
      </c>
      <c r="G452">
        <v>5</v>
      </c>
      <c r="H452">
        <v>40960</v>
      </c>
      <c r="I452">
        <v>42</v>
      </c>
      <c r="J452" t="s">
        <v>1</v>
      </c>
      <c r="K452" t="s">
        <v>2</v>
      </c>
      <c r="L452" s="8">
        <f>InterspecUsage[[#This Row],[Used-MB]]-F442</f>
        <v>64</v>
      </c>
      <c r="M452">
        <f>InterspecUsage[[#This Row],[Max]]-InterspecUsage[[#This Row],[Used-MB]]</f>
        <v>23657</v>
      </c>
      <c r="N452" s="5">
        <f>IF($L452&gt;0,InterspecUsage[[#This Row],[Free-of-Max]]/InterspecUsage[[#This Row],[Usage-Delta-MB]],InterspecUsage[[#This Row],[Free-of-Max]])</f>
        <v>369.640625</v>
      </c>
    </row>
    <row r="453" spans="1:14" x14ac:dyDescent="0.25">
      <c r="A453" s="3">
        <v>44565</v>
      </c>
      <c r="B453" t="s">
        <v>24</v>
      </c>
      <c r="C453">
        <v>100</v>
      </c>
      <c r="D453">
        <v>18000</v>
      </c>
      <c r="E453">
        <v>80</v>
      </c>
      <c r="F453">
        <v>17920</v>
      </c>
      <c r="G453">
        <v>0</v>
      </c>
      <c r="H453">
        <v>32768</v>
      </c>
      <c r="I453">
        <v>55</v>
      </c>
      <c r="J453" t="s">
        <v>1</v>
      </c>
      <c r="K453" t="s">
        <v>2</v>
      </c>
      <c r="L453" s="8">
        <f>InterspecUsage[[#This Row],[Used-MB]]-F443</f>
        <v>8</v>
      </c>
      <c r="M453">
        <f>InterspecUsage[[#This Row],[Max]]-InterspecUsage[[#This Row],[Used-MB]]</f>
        <v>14848</v>
      </c>
      <c r="N453" s="5">
        <f>IF($L453&gt;0,InterspecUsage[[#This Row],[Free-of-Max]]/InterspecUsage[[#This Row],[Usage-Delta-MB]],InterspecUsage[[#This Row],[Free-of-Max]])</f>
        <v>1856</v>
      </c>
    </row>
    <row r="454" spans="1:14" x14ac:dyDescent="0.25">
      <c r="A454" s="3">
        <v>44565</v>
      </c>
      <c r="B454" t="s">
        <v>35</v>
      </c>
      <c r="C454">
        <v>95</v>
      </c>
      <c r="D454">
        <v>22600</v>
      </c>
      <c r="E454">
        <v>1094</v>
      </c>
      <c r="F454">
        <v>21506</v>
      </c>
      <c r="G454">
        <v>5</v>
      </c>
      <c r="H454">
        <v>32768</v>
      </c>
      <c r="I454">
        <v>66</v>
      </c>
      <c r="J454" t="s">
        <v>1</v>
      </c>
      <c r="K454" t="s">
        <v>2</v>
      </c>
      <c r="L454" s="8">
        <f>InterspecUsage[[#This Row],[Used-MB]]-F444</f>
        <v>64</v>
      </c>
      <c r="M454">
        <f>InterspecUsage[[#This Row],[Max]]-InterspecUsage[[#This Row],[Used-MB]]</f>
        <v>11262</v>
      </c>
      <c r="N454" s="5">
        <f>IF($L454&gt;0,InterspecUsage[[#This Row],[Free-of-Max]]/InterspecUsage[[#This Row],[Usage-Delta-MB]],InterspecUsage[[#This Row],[Free-of-Max]])</f>
        <v>175.96875</v>
      </c>
    </row>
    <row r="455" spans="1:14" x14ac:dyDescent="0.25">
      <c r="A455" s="3">
        <v>44565</v>
      </c>
      <c r="B455" t="s">
        <v>27</v>
      </c>
      <c r="C455">
        <v>84</v>
      </c>
      <c r="D455">
        <v>131072</v>
      </c>
      <c r="E455">
        <v>21365</v>
      </c>
      <c r="F455">
        <v>109707</v>
      </c>
      <c r="G455">
        <v>16</v>
      </c>
      <c r="H455">
        <v>131072</v>
      </c>
      <c r="I455">
        <v>84</v>
      </c>
      <c r="J455" t="s">
        <v>1</v>
      </c>
      <c r="K455" t="s">
        <v>2</v>
      </c>
      <c r="L455" s="8">
        <f>InterspecUsage[[#This Row],[Used-MB]]-F445</f>
        <v>457</v>
      </c>
      <c r="M455">
        <f>InterspecUsage[[#This Row],[Max]]-InterspecUsage[[#This Row],[Used-MB]]</f>
        <v>21365</v>
      </c>
      <c r="N455" s="5">
        <f>IF($L455&gt;0,InterspecUsage[[#This Row],[Free-of-Max]]/InterspecUsage[[#This Row],[Usage-Delta-MB]],InterspecUsage[[#This Row],[Free-of-Max]])</f>
        <v>46.750547045951862</v>
      </c>
    </row>
    <row r="456" spans="1:14" x14ac:dyDescent="0.25">
      <c r="A456" s="3">
        <v>44565</v>
      </c>
      <c r="B456" t="s">
        <v>7</v>
      </c>
      <c r="C456">
        <v>95</v>
      </c>
      <c r="D456">
        <v>1100</v>
      </c>
      <c r="E456">
        <v>58</v>
      </c>
      <c r="F456">
        <v>1042</v>
      </c>
      <c r="G456">
        <v>5</v>
      </c>
      <c r="H456">
        <v>32768</v>
      </c>
      <c r="I456">
        <v>3</v>
      </c>
      <c r="J456" t="s">
        <v>1</v>
      </c>
      <c r="K456" t="s">
        <v>2</v>
      </c>
      <c r="L456" s="8">
        <f>InterspecUsage[[#This Row],[Used-MB]]-F446</f>
        <v>15</v>
      </c>
      <c r="M456">
        <f>InterspecUsage[[#This Row],[Max]]-InterspecUsage[[#This Row],[Used-MB]]</f>
        <v>31726</v>
      </c>
      <c r="N456" s="5">
        <f>IF($L456&gt;0,InterspecUsage[[#This Row],[Free-of-Max]]/InterspecUsage[[#This Row],[Usage-Delta-MB]],InterspecUsage[[#This Row],[Free-of-Max]])</f>
        <v>2115.0666666666666</v>
      </c>
    </row>
    <row r="457" spans="1:14" x14ac:dyDescent="0.25">
      <c r="A457" s="3">
        <v>44565</v>
      </c>
      <c r="B457" t="s">
        <v>0</v>
      </c>
      <c r="C457">
        <v>100</v>
      </c>
      <c r="D457">
        <v>3140</v>
      </c>
      <c r="E457">
        <v>6</v>
      </c>
      <c r="F457">
        <v>3134</v>
      </c>
      <c r="G457">
        <v>0</v>
      </c>
      <c r="H457">
        <v>32768</v>
      </c>
      <c r="I457">
        <v>10</v>
      </c>
      <c r="J457" t="s">
        <v>1</v>
      </c>
      <c r="K457" t="s">
        <v>2</v>
      </c>
      <c r="L457" s="8">
        <f>InterspecUsage[[#This Row],[Used-MB]]-F447</f>
        <v>0</v>
      </c>
      <c r="M457">
        <f>InterspecUsage[[#This Row],[Max]]-InterspecUsage[[#This Row],[Used-MB]]</f>
        <v>29634</v>
      </c>
      <c r="N457" s="5">
        <f>IF($L457&gt;0,InterspecUsage[[#This Row],[Free-of-Max]]/InterspecUsage[[#This Row],[Usage-Delta-MB]],InterspecUsage[[#This Row],[Free-of-Max]])</f>
        <v>29634</v>
      </c>
    </row>
    <row r="458" spans="1:14" x14ac:dyDescent="0.25">
      <c r="A458" s="3">
        <v>44565</v>
      </c>
      <c r="B458" t="s">
        <v>30</v>
      </c>
      <c r="C458">
        <v>0</v>
      </c>
      <c r="D458">
        <v>32767</v>
      </c>
      <c r="E458">
        <v>32738</v>
      </c>
      <c r="F458">
        <v>29</v>
      </c>
      <c r="G458">
        <v>100</v>
      </c>
      <c r="H458">
        <v>32768</v>
      </c>
      <c r="I458">
        <v>0</v>
      </c>
      <c r="J458" t="s">
        <v>1</v>
      </c>
      <c r="K458" t="s">
        <v>13</v>
      </c>
      <c r="L458" s="8">
        <f>InterspecUsage[[#This Row],[Used-MB]]-F448</f>
        <v>-6</v>
      </c>
      <c r="M458">
        <f>InterspecUsage[[#This Row],[Max]]-InterspecUsage[[#This Row],[Used-MB]]</f>
        <v>32739</v>
      </c>
      <c r="N458" s="5">
        <f>IF($L458&gt;0,InterspecUsage[[#This Row],[Free-of-Max]]/InterspecUsage[[#This Row],[Usage-Delta-MB]],InterspecUsage[[#This Row],[Free-of-Max]])</f>
        <v>32739</v>
      </c>
    </row>
    <row r="459" spans="1:14" x14ac:dyDescent="0.25">
      <c r="A459" s="3">
        <v>44565</v>
      </c>
      <c r="B459" t="s">
        <v>28</v>
      </c>
      <c r="C459">
        <v>25</v>
      </c>
      <c r="D459">
        <v>16400</v>
      </c>
      <c r="E459">
        <v>12337</v>
      </c>
      <c r="F459">
        <v>4064</v>
      </c>
      <c r="G459">
        <v>75</v>
      </c>
      <c r="H459">
        <v>32768</v>
      </c>
      <c r="I459">
        <v>12</v>
      </c>
      <c r="J459" t="s">
        <v>1</v>
      </c>
      <c r="K459" t="s">
        <v>10</v>
      </c>
      <c r="L459" s="8">
        <f>InterspecUsage[[#This Row],[Used-MB]]-F449</f>
        <v>-120</v>
      </c>
      <c r="M459">
        <f>InterspecUsage[[#This Row],[Max]]-InterspecUsage[[#This Row],[Used-MB]]</f>
        <v>28704</v>
      </c>
      <c r="N459" s="5">
        <f>IF($L459&gt;0,InterspecUsage[[#This Row],[Free-of-Max]]/InterspecUsage[[#This Row],[Usage-Delta-MB]],InterspecUsage[[#This Row],[Free-of-Max]])</f>
        <v>28704</v>
      </c>
    </row>
    <row r="460" spans="1:14" x14ac:dyDescent="0.25">
      <c r="A460" s="3">
        <v>44565</v>
      </c>
      <c r="B460" t="s">
        <v>25</v>
      </c>
      <c r="C460">
        <v>84</v>
      </c>
      <c r="D460">
        <v>11800</v>
      </c>
      <c r="E460">
        <v>1901</v>
      </c>
      <c r="F460">
        <v>9899</v>
      </c>
      <c r="G460">
        <v>16</v>
      </c>
      <c r="H460">
        <v>32768</v>
      </c>
      <c r="I460">
        <v>30</v>
      </c>
      <c r="J460" t="s">
        <v>1</v>
      </c>
      <c r="K460" t="s">
        <v>2</v>
      </c>
      <c r="L460" s="8">
        <f>InterspecUsage[[#This Row],[Used-MB]]-F450</f>
        <v>0</v>
      </c>
      <c r="M460">
        <f>InterspecUsage[[#This Row],[Max]]-InterspecUsage[[#This Row],[Used-MB]]</f>
        <v>22869</v>
      </c>
      <c r="N460" s="5">
        <f>IF($L460&gt;0,InterspecUsage[[#This Row],[Free-of-Max]]/InterspecUsage[[#This Row],[Usage-Delta-MB]],InterspecUsage[[#This Row],[Free-of-Max]])</f>
        <v>22869</v>
      </c>
    </row>
    <row r="461" spans="1:14" x14ac:dyDescent="0.25">
      <c r="A461" s="3">
        <v>44565</v>
      </c>
      <c r="B461" t="s">
        <v>29</v>
      </c>
      <c r="C461">
        <v>0</v>
      </c>
      <c r="D461">
        <v>500</v>
      </c>
      <c r="E461">
        <v>499</v>
      </c>
      <c r="F461">
        <v>1</v>
      </c>
      <c r="G461">
        <v>100</v>
      </c>
      <c r="H461">
        <v>500</v>
      </c>
      <c r="I461">
        <v>0</v>
      </c>
      <c r="J461" t="s">
        <v>1</v>
      </c>
      <c r="K461" t="s">
        <v>2</v>
      </c>
      <c r="L461" s="8">
        <f>InterspecUsage[[#This Row],[Used-MB]]-F451</f>
        <v>0</v>
      </c>
      <c r="M461">
        <f>InterspecUsage[[#This Row],[Max]]-InterspecUsage[[#This Row],[Used-MB]]</f>
        <v>499</v>
      </c>
      <c r="N461" s="5">
        <f>IF($L461&gt;0,InterspecUsage[[#This Row],[Free-of-Max]]/InterspecUsage[[#This Row],[Usage-Delta-MB]],InterspecUsage[[#This Row],[Free-of-Max]])</f>
        <v>499</v>
      </c>
    </row>
    <row r="462" spans="1:14" x14ac:dyDescent="0.25">
      <c r="A462" s="3">
        <v>44571</v>
      </c>
      <c r="B462" t="s">
        <v>26</v>
      </c>
      <c r="C462">
        <v>95</v>
      </c>
      <c r="D462">
        <v>18288</v>
      </c>
      <c r="E462">
        <v>985</v>
      </c>
      <c r="F462">
        <v>17303</v>
      </c>
      <c r="G462">
        <v>5</v>
      </c>
      <c r="H462">
        <v>40960</v>
      </c>
      <c r="I462">
        <v>42</v>
      </c>
      <c r="J462" t="s">
        <v>1</v>
      </c>
      <c r="K462" t="s">
        <v>2</v>
      </c>
      <c r="L462" s="8">
        <f>InterspecUsage[[#This Row],[Used-MB]]-F452</f>
        <v>0</v>
      </c>
      <c r="M462">
        <f>InterspecUsage[[#This Row],[Max]]-InterspecUsage[[#This Row],[Used-MB]]</f>
        <v>23657</v>
      </c>
      <c r="N462" s="5">
        <f>IF($L462&gt;0,InterspecUsage[[#This Row],[Free-of-Max]]/InterspecUsage[[#This Row],[Usage-Delta-MB]],InterspecUsage[[#This Row],[Free-of-Max]])</f>
        <v>23657</v>
      </c>
    </row>
    <row r="463" spans="1:14" x14ac:dyDescent="0.25">
      <c r="A463" s="3">
        <v>44571</v>
      </c>
      <c r="B463" t="s">
        <v>24</v>
      </c>
      <c r="C463">
        <v>100</v>
      </c>
      <c r="D463">
        <v>18000</v>
      </c>
      <c r="E463">
        <v>79</v>
      </c>
      <c r="F463">
        <v>17921</v>
      </c>
      <c r="G463">
        <v>0</v>
      </c>
      <c r="H463">
        <v>32768</v>
      </c>
      <c r="I463">
        <v>55</v>
      </c>
      <c r="J463" t="s">
        <v>1</v>
      </c>
      <c r="K463" t="s">
        <v>2</v>
      </c>
      <c r="L463" s="8">
        <f>InterspecUsage[[#This Row],[Used-MB]]-F453</f>
        <v>1</v>
      </c>
      <c r="M463">
        <f>InterspecUsage[[#This Row],[Max]]-InterspecUsage[[#This Row],[Used-MB]]</f>
        <v>14847</v>
      </c>
      <c r="N463" s="5">
        <f>IF($L463&gt;0,InterspecUsage[[#This Row],[Free-of-Max]]/InterspecUsage[[#This Row],[Usage-Delta-MB]],InterspecUsage[[#This Row],[Free-of-Max]])</f>
        <v>14847</v>
      </c>
    </row>
    <row r="464" spans="1:14" x14ac:dyDescent="0.25">
      <c r="A464" s="3">
        <v>44571</v>
      </c>
      <c r="B464" t="s">
        <v>35</v>
      </c>
      <c r="C464">
        <v>95</v>
      </c>
      <c r="D464">
        <v>22600</v>
      </c>
      <c r="E464">
        <v>1094</v>
      </c>
      <c r="F464">
        <v>21506</v>
      </c>
      <c r="G464">
        <v>5</v>
      </c>
      <c r="H464">
        <v>32768</v>
      </c>
      <c r="I464">
        <v>66</v>
      </c>
      <c r="J464" t="s">
        <v>1</v>
      </c>
      <c r="K464" t="s">
        <v>2</v>
      </c>
      <c r="L464" s="8">
        <f>InterspecUsage[[#This Row],[Used-MB]]-F454</f>
        <v>0</v>
      </c>
      <c r="M464">
        <f>InterspecUsage[[#This Row],[Max]]-InterspecUsage[[#This Row],[Used-MB]]</f>
        <v>11262</v>
      </c>
      <c r="N464" s="5">
        <f>IF($L464&gt;0,InterspecUsage[[#This Row],[Free-of-Max]]/InterspecUsage[[#This Row],[Usage-Delta-MB]],InterspecUsage[[#This Row],[Free-of-Max]])</f>
        <v>11262</v>
      </c>
    </row>
    <row r="465" spans="1:14" x14ac:dyDescent="0.25">
      <c r="A465" s="3">
        <v>44571</v>
      </c>
      <c r="B465" t="s">
        <v>27</v>
      </c>
      <c r="C465">
        <v>84</v>
      </c>
      <c r="D465">
        <v>131072</v>
      </c>
      <c r="E465">
        <v>21165</v>
      </c>
      <c r="F465">
        <v>109907</v>
      </c>
      <c r="G465">
        <v>16</v>
      </c>
      <c r="H465">
        <v>131072</v>
      </c>
      <c r="I465">
        <v>84</v>
      </c>
      <c r="J465" t="s">
        <v>1</v>
      </c>
      <c r="K465" t="s">
        <v>2</v>
      </c>
      <c r="L465" s="8">
        <f>InterspecUsage[[#This Row],[Used-MB]]-F455</f>
        <v>200</v>
      </c>
      <c r="M465">
        <f>InterspecUsage[[#This Row],[Max]]-InterspecUsage[[#This Row],[Used-MB]]</f>
        <v>21165</v>
      </c>
      <c r="N465" s="5">
        <f>IF($L465&gt;0,InterspecUsage[[#This Row],[Free-of-Max]]/InterspecUsage[[#This Row],[Usage-Delta-MB]],InterspecUsage[[#This Row],[Free-of-Max]])</f>
        <v>105.825</v>
      </c>
    </row>
    <row r="466" spans="1:14" x14ac:dyDescent="0.25">
      <c r="A466" s="3">
        <v>44571</v>
      </c>
      <c r="B466" t="s">
        <v>7</v>
      </c>
      <c r="C466">
        <v>95</v>
      </c>
      <c r="D466">
        <v>1100</v>
      </c>
      <c r="E466">
        <v>58</v>
      </c>
      <c r="F466">
        <v>1042</v>
      </c>
      <c r="G466">
        <v>5</v>
      </c>
      <c r="H466">
        <v>32768</v>
      </c>
      <c r="I466">
        <v>3</v>
      </c>
      <c r="J466" t="s">
        <v>1</v>
      </c>
      <c r="K466" t="s">
        <v>2</v>
      </c>
      <c r="L466" s="8">
        <f>InterspecUsage[[#This Row],[Used-MB]]-F456</f>
        <v>0</v>
      </c>
      <c r="M466">
        <f>InterspecUsage[[#This Row],[Max]]-InterspecUsage[[#This Row],[Used-MB]]</f>
        <v>31726</v>
      </c>
      <c r="N466" s="5">
        <f>IF($L466&gt;0,InterspecUsage[[#This Row],[Free-of-Max]]/InterspecUsage[[#This Row],[Usage-Delta-MB]],InterspecUsage[[#This Row],[Free-of-Max]])</f>
        <v>31726</v>
      </c>
    </row>
    <row r="467" spans="1:14" x14ac:dyDescent="0.25">
      <c r="A467" s="3">
        <v>44571</v>
      </c>
      <c r="B467" t="s">
        <v>0</v>
      </c>
      <c r="C467">
        <v>100</v>
      </c>
      <c r="D467">
        <v>3140</v>
      </c>
      <c r="E467">
        <v>6</v>
      </c>
      <c r="F467">
        <v>3134</v>
      </c>
      <c r="G467">
        <v>0</v>
      </c>
      <c r="H467">
        <v>32768</v>
      </c>
      <c r="I467">
        <v>10</v>
      </c>
      <c r="J467" t="s">
        <v>1</v>
      </c>
      <c r="K467" t="s">
        <v>2</v>
      </c>
      <c r="L467" s="8">
        <f>InterspecUsage[[#This Row],[Used-MB]]-F457</f>
        <v>0</v>
      </c>
      <c r="M467">
        <f>InterspecUsage[[#This Row],[Max]]-InterspecUsage[[#This Row],[Used-MB]]</f>
        <v>29634</v>
      </c>
      <c r="N467" s="5">
        <f>IF($L467&gt;0,InterspecUsage[[#This Row],[Free-of-Max]]/InterspecUsage[[#This Row],[Usage-Delta-MB]],InterspecUsage[[#This Row],[Free-of-Max]])</f>
        <v>29634</v>
      </c>
    </row>
    <row r="468" spans="1:14" x14ac:dyDescent="0.25">
      <c r="A468" s="3">
        <v>44571</v>
      </c>
      <c r="B468" t="s">
        <v>30</v>
      </c>
      <c r="C468">
        <v>0</v>
      </c>
      <c r="D468">
        <v>32767</v>
      </c>
      <c r="E468">
        <v>32736</v>
      </c>
      <c r="F468">
        <v>31</v>
      </c>
      <c r="G468">
        <v>100</v>
      </c>
      <c r="H468">
        <v>32768</v>
      </c>
      <c r="I468">
        <v>0</v>
      </c>
      <c r="J468" t="s">
        <v>1</v>
      </c>
      <c r="K468" t="s">
        <v>13</v>
      </c>
      <c r="L468" s="8">
        <f>InterspecUsage[[#This Row],[Used-MB]]-F458</f>
        <v>2</v>
      </c>
      <c r="M468">
        <f>InterspecUsage[[#This Row],[Max]]-InterspecUsage[[#This Row],[Used-MB]]</f>
        <v>32737</v>
      </c>
      <c r="N468" s="5">
        <f>IF($L468&gt;0,InterspecUsage[[#This Row],[Free-of-Max]]/InterspecUsage[[#This Row],[Usage-Delta-MB]],InterspecUsage[[#This Row],[Free-of-Max]])</f>
        <v>16368.5</v>
      </c>
    </row>
    <row r="469" spans="1:14" x14ac:dyDescent="0.25">
      <c r="A469" s="3">
        <v>44571</v>
      </c>
      <c r="B469" t="s">
        <v>28</v>
      </c>
      <c r="C469">
        <v>26</v>
      </c>
      <c r="D469">
        <v>16400</v>
      </c>
      <c r="E469">
        <v>12173</v>
      </c>
      <c r="F469">
        <v>4227</v>
      </c>
      <c r="G469">
        <v>74</v>
      </c>
      <c r="H469">
        <v>32768</v>
      </c>
      <c r="I469">
        <v>13</v>
      </c>
      <c r="J469" t="s">
        <v>1</v>
      </c>
      <c r="K469" t="s">
        <v>10</v>
      </c>
      <c r="L469" s="8">
        <f>InterspecUsage[[#This Row],[Used-MB]]-F459</f>
        <v>163</v>
      </c>
      <c r="M469">
        <f>InterspecUsage[[#This Row],[Max]]-InterspecUsage[[#This Row],[Used-MB]]</f>
        <v>28541</v>
      </c>
      <c r="N469" s="5">
        <f>IF($L469&gt;0,InterspecUsage[[#This Row],[Free-of-Max]]/InterspecUsage[[#This Row],[Usage-Delta-MB]],InterspecUsage[[#This Row],[Free-of-Max]])</f>
        <v>175.09815950920245</v>
      </c>
    </row>
    <row r="470" spans="1:14" x14ac:dyDescent="0.25">
      <c r="A470" s="3">
        <v>44571</v>
      </c>
      <c r="B470" t="s">
        <v>25</v>
      </c>
      <c r="C470">
        <v>84</v>
      </c>
      <c r="D470">
        <v>11800</v>
      </c>
      <c r="E470">
        <v>1901</v>
      </c>
      <c r="F470">
        <v>9899</v>
      </c>
      <c r="G470">
        <v>16</v>
      </c>
      <c r="H470">
        <v>32768</v>
      </c>
      <c r="I470">
        <v>30</v>
      </c>
      <c r="J470" t="s">
        <v>1</v>
      </c>
      <c r="K470" t="s">
        <v>2</v>
      </c>
      <c r="L470" s="8">
        <f>InterspecUsage[[#This Row],[Used-MB]]-F460</f>
        <v>0</v>
      </c>
      <c r="M470">
        <f>InterspecUsage[[#This Row],[Max]]-InterspecUsage[[#This Row],[Used-MB]]</f>
        <v>22869</v>
      </c>
      <c r="N470" s="5">
        <f>IF($L470&gt;0,InterspecUsage[[#This Row],[Free-of-Max]]/InterspecUsage[[#This Row],[Usage-Delta-MB]],InterspecUsage[[#This Row],[Free-of-Max]])</f>
        <v>22869</v>
      </c>
    </row>
    <row r="471" spans="1:14" x14ac:dyDescent="0.25">
      <c r="A471" s="3">
        <v>44571</v>
      </c>
      <c r="B471" t="s">
        <v>29</v>
      </c>
      <c r="C471">
        <v>0</v>
      </c>
      <c r="D471">
        <v>500</v>
      </c>
      <c r="E471">
        <v>499</v>
      </c>
      <c r="F471">
        <v>1</v>
      </c>
      <c r="G471">
        <v>100</v>
      </c>
      <c r="H471">
        <v>500</v>
      </c>
      <c r="I471">
        <v>0</v>
      </c>
      <c r="J471" t="s">
        <v>1</v>
      </c>
      <c r="K471" t="s">
        <v>2</v>
      </c>
      <c r="L471" s="8">
        <f>InterspecUsage[[#This Row],[Used-MB]]-F461</f>
        <v>0</v>
      </c>
      <c r="M471">
        <f>InterspecUsage[[#This Row],[Max]]-InterspecUsage[[#This Row],[Used-MB]]</f>
        <v>499</v>
      </c>
      <c r="N471" s="5">
        <f>IF($L471&gt;0,InterspecUsage[[#This Row],[Free-of-Max]]/InterspecUsage[[#This Row],[Usage-Delta-MB]],InterspecUsage[[#This Row],[Free-of-Max]])</f>
        <v>499</v>
      </c>
    </row>
    <row r="472" spans="1:14" x14ac:dyDescent="0.25">
      <c r="A472" s="3">
        <v>44578</v>
      </c>
      <c r="B472" t="s">
        <v>26</v>
      </c>
      <c r="C472">
        <v>95</v>
      </c>
      <c r="D472">
        <v>18288</v>
      </c>
      <c r="E472">
        <v>985</v>
      </c>
      <c r="F472">
        <v>17303</v>
      </c>
      <c r="G472">
        <v>5</v>
      </c>
      <c r="H472">
        <v>40960</v>
      </c>
      <c r="I472">
        <v>42</v>
      </c>
      <c r="J472" t="s">
        <v>1</v>
      </c>
      <c r="K472" t="s">
        <v>2</v>
      </c>
      <c r="L472" s="8">
        <f>InterspecUsage[[#This Row],[Used-MB]]-F462</f>
        <v>0</v>
      </c>
      <c r="M472">
        <f>InterspecUsage[[#This Row],[Max]]-InterspecUsage[[#This Row],[Used-MB]]</f>
        <v>23657</v>
      </c>
      <c r="N472" s="5">
        <f>IF($L472&gt;0,InterspecUsage[[#This Row],[Free-of-Max]]/InterspecUsage[[#This Row],[Usage-Delta-MB]],InterspecUsage[[#This Row],[Free-of-Max]])</f>
        <v>23657</v>
      </c>
    </row>
    <row r="473" spans="1:14" x14ac:dyDescent="0.25">
      <c r="A473" s="3">
        <v>44578</v>
      </c>
      <c r="B473" t="s">
        <v>24</v>
      </c>
      <c r="C473">
        <v>100</v>
      </c>
      <c r="D473">
        <v>18000</v>
      </c>
      <c r="E473">
        <v>14</v>
      </c>
      <c r="F473">
        <v>17986</v>
      </c>
      <c r="G473">
        <v>0</v>
      </c>
      <c r="H473">
        <v>32768</v>
      </c>
      <c r="I473">
        <v>55</v>
      </c>
      <c r="J473" t="s">
        <v>1</v>
      </c>
      <c r="K473" t="s">
        <v>2</v>
      </c>
      <c r="L473" s="8">
        <f>InterspecUsage[[#This Row],[Used-MB]]-F463</f>
        <v>65</v>
      </c>
      <c r="M473">
        <f>InterspecUsage[[#This Row],[Max]]-InterspecUsage[[#This Row],[Used-MB]]</f>
        <v>14782</v>
      </c>
      <c r="N473" s="5">
        <f>IF($L473&gt;0,InterspecUsage[[#This Row],[Free-of-Max]]/InterspecUsage[[#This Row],[Usage-Delta-MB]],InterspecUsage[[#This Row],[Free-of-Max]])</f>
        <v>227.41538461538462</v>
      </c>
    </row>
    <row r="474" spans="1:14" x14ac:dyDescent="0.25">
      <c r="A474" s="3">
        <v>44578</v>
      </c>
      <c r="B474" t="s">
        <v>35</v>
      </c>
      <c r="C474">
        <v>95</v>
      </c>
      <c r="D474">
        <v>22600</v>
      </c>
      <c r="E474">
        <v>1029</v>
      </c>
      <c r="F474">
        <v>21571</v>
      </c>
      <c r="G474">
        <v>5</v>
      </c>
      <c r="H474">
        <v>32768</v>
      </c>
      <c r="I474">
        <v>66</v>
      </c>
      <c r="J474" t="s">
        <v>1</v>
      </c>
      <c r="K474" t="s">
        <v>2</v>
      </c>
      <c r="L474" s="8">
        <f>InterspecUsage[[#This Row],[Used-MB]]-F464</f>
        <v>65</v>
      </c>
      <c r="M474">
        <f>InterspecUsage[[#This Row],[Max]]-InterspecUsage[[#This Row],[Used-MB]]</f>
        <v>11197</v>
      </c>
      <c r="N474" s="5">
        <f>IF($L474&gt;0,InterspecUsage[[#This Row],[Free-of-Max]]/InterspecUsage[[#This Row],[Usage-Delta-MB]],InterspecUsage[[#This Row],[Free-of-Max]])</f>
        <v>172.26153846153846</v>
      </c>
    </row>
    <row r="475" spans="1:14" x14ac:dyDescent="0.25">
      <c r="A475" s="3">
        <v>44578</v>
      </c>
      <c r="B475" t="s">
        <v>27</v>
      </c>
      <c r="C475">
        <v>84</v>
      </c>
      <c r="D475">
        <v>131072</v>
      </c>
      <c r="E475">
        <v>20972</v>
      </c>
      <c r="F475">
        <v>110100</v>
      </c>
      <c r="G475">
        <v>16</v>
      </c>
      <c r="H475">
        <v>131072</v>
      </c>
      <c r="I475">
        <v>84</v>
      </c>
      <c r="J475" t="s">
        <v>1</v>
      </c>
      <c r="K475" t="s">
        <v>2</v>
      </c>
      <c r="L475" s="8">
        <f>InterspecUsage[[#This Row],[Used-MB]]-F465</f>
        <v>193</v>
      </c>
      <c r="M475">
        <f>InterspecUsage[[#This Row],[Max]]-InterspecUsage[[#This Row],[Used-MB]]</f>
        <v>20972</v>
      </c>
      <c r="N475" s="5">
        <f>IF($L475&gt;0,InterspecUsage[[#This Row],[Free-of-Max]]/InterspecUsage[[#This Row],[Usage-Delta-MB]],InterspecUsage[[#This Row],[Free-of-Max]])</f>
        <v>108.66321243523316</v>
      </c>
    </row>
    <row r="476" spans="1:14" x14ac:dyDescent="0.25">
      <c r="A476" s="3">
        <v>44578</v>
      </c>
      <c r="B476" t="s">
        <v>7</v>
      </c>
      <c r="C476">
        <v>95</v>
      </c>
      <c r="D476">
        <v>1100</v>
      </c>
      <c r="E476">
        <v>52</v>
      </c>
      <c r="F476">
        <v>1048</v>
      </c>
      <c r="G476">
        <v>5</v>
      </c>
      <c r="H476">
        <v>32768</v>
      </c>
      <c r="I476">
        <v>3</v>
      </c>
      <c r="J476" t="s">
        <v>1</v>
      </c>
      <c r="K476" t="s">
        <v>2</v>
      </c>
      <c r="L476" s="8">
        <f>InterspecUsage[[#This Row],[Used-MB]]-F466</f>
        <v>6</v>
      </c>
      <c r="M476">
        <f>InterspecUsage[[#This Row],[Max]]-InterspecUsage[[#This Row],[Used-MB]]</f>
        <v>31720</v>
      </c>
      <c r="N476" s="5">
        <f>IF($L476&gt;0,InterspecUsage[[#This Row],[Free-of-Max]]/InterspecUsage[[#This Row],[Usage-Delta-MB]],InterspecUsage[[#This Row],[Free-of-Max]])</f>
        <v>5286.666666666667</v>
      </c>
    </row>
    <row r="477" spans="1:14" x14ac:dyDescent="0.25">
      <c r="A477" s="3">
        <v>44578</v>
      </c>
      <c r="B477" t="s">
        <v>0</v>
      </c>
      <c r="C477">
        <v>100</v>
      </c>
      <c r="D477">
        <v>3140</v>
      </c>
      <c r="E477">
        <v>6</v>
      </c>
      <c r="F477">
        <v>3134</v>
      </c>
      <c r="G477">
        <v>0</v>
      </c>
      <c r="H477">
        <v>32768</v>
      </c>
      <c r="I477">
        <v>10</v>
      </c>
      <c r="J477" t="s">
        <v>1</v>
      </c>
      <c r="K477" t="s">
        <v>2</v>
      </c>
      <c r="L477" s="8">
        <f>InterspecUsage[[#This Row],[Used-MB]]-F467</f>
        <v>0</v>
      </c>
      <c r="M477">
        <f>InterspecUsage[[#This Row],[Max]]-InterspecUsage[[#This Row],[Used-MB]]</f>
        <v>29634</v>
      </c>
      <c r="N477" s="5">
        <f>IF($L477&gt;0,InterspecUsage[[#This Row],[Free-of-Max]]/InterspecUsage[[#This Row],[Usage-Delta-MB]],InterspecUsage[[#This Row],[Free-of-Max]])</f>
        <v>29634</v>
      </c>
    </row>
    <row r="478" spans="1:14" x14ac:dyDescent="0.25">
      <c r="A478" s="3">
        <v>44578</v>
      </c>
      <c r="B478" t="s">
        <v>30</v>
      </c>
      <c r="C478">
        <v>0</v>
      </c>
      <c r="D478">
        <v>32767</v>
      </c>
      <c r="E478">
        <v>32753</v>
      </c>
      <c r="F478">
        <v>14</v>
      </c>
      <c r="G478">
        <v>100</v>
      </c>
      <c r="H478">
        <v>32768</v>
      </c>
      <c r="I478">
        <v>0</v>
      </c>
      <c r="J478" t="s">
        <v>1</v>
      </c>
      <c r="K478" t="s">
        <v>13</v>
      </c>
      <c r="L478" s="8">
        <f>InterspecUsage[[#This Row],[Used-MB]]-F468</f>
        <v>-17</v>
      </c>
      <c r="M478">
        <f>InterspecUsage[[#This Row],[Max]]-InterspecUsage[[#This Row],[Used-MB]]</f>
        <v>32754</v>
      </c>
      <c r="N478" s="5">
        <f>IF($L478&gt;0,InterspecUsage[[#This Row],[Free-of-Max]]/InterspecUsage[[#This Row],[Usage-Delta-MB]],InterspecUsage[[#This Row],[Free-of-Max]])</f>
        <v>32754</v>
      </c>
    </row>
    <row r="479" spans="1:14" x14ac:dyDescent="0.25">
      <c r="A479" s="3">
        <v>44578</v>
      </c>
      <c r="B479" t="s">
        <v>28</v>
      </c>
      <c r="C479">
        <v>24</v>
      </c>
      <c r="D479">
        <v>16400</v>
      </c>
      <c r="E479">
        <v>12448</v>
      </c>
      <c r="F479">
        <v>3952</v>
      </c>
      <c r="G479">
        <v>76</v>
      </c>
      <c r="H479">
        <v>32768</v>
      </c>
      <c r="I479">
        <v>12</v>
      </c>
      <c r="J479" t="s">
        <v>1</v>
      </c>
      <c r="K479" t="s">
        <v>10</v>
      </c>
      <c r="L479" s="8">
        <f>InterspecUsage[[#This Row],[Used-MB]]-F469</f>
        <v>-275</v>
      </c>
      <c r="M479">
        <f>InterspecUsage[[#This Row],[Max]]-InterspecUsage[[#This Row],[Used-MB]]</f>
        <v>28816</v>
      </c>
      <c r="N479" s="5">
        <f>IF($L479&gt;0,InterspecUsage[[#This Row],[Free-of-Max]]/InterspecUsage[[#This Row],[Usage-Delta-MB]],InterspecUsage[[#This Row],[Free-of-Max]])</f>
        <v>28816</v>
      </c>
    </row>
    <row r="480" spans="1:14" x14ac:dyDescent="0.25">
      <c r="A480" s="3">
        <v>44578</v>
      </c>
      <c r="B480" t="s">
        <v>25</v>
      </c>
      <c r="C480">
        <v>84</v>
      </c>
      <c r="D480">
        <v>11800</v>
      </c>
      <c r="E480">
        <v>1900</v>
      </c>
      <c r="F480">
        <v>9900</v>
      </c>
      <c r="G480">
        <v>16</v>
      </c>
      <c r="H480">
        <v>32768</v>
      </c>
      <c r="I480">
        <v>30</v>
      </c>
      <c r="J480" t="s">
        <v>1</v>
      </c>
      <c r="K480" t="s">
        <v>2</v>
      </c>
      <c r="L480" s="8">
        <f>InterspecUsage[[#This Row],[Used-MB]]-F470</f>
        <v>1</v>
      </c>
      <c r="M480">
        <f>InterspecUsage[[#This Row],[Max]]-InterspecUsage[[#This Row],[Used-MB]]</f>
        <v>22868</v>
      </c>
      <c r="N480" s="5">
        <f>IF($L480&gt;0,InterspecUsage[[#This Row],[Free-of-Max]]/InterspecUsage[[#This Row],[Usage-Delta-MB]],InterspecUsage[[#This Row],[Free-of-Max]])</f>
        <v>22868</v>
      </c>
    </row>
    <row r="481" spans="1:14" x14ac:dyDescent="0.25">
      <c r="A481" s="3">
        <v>44578</v>
      </c>
      <c r="B481" t="s">
        <v>29</v>
      </c>
      <c r="C481">
        <v>0</v>
      </c>
      <c r="D481">
        <v>500</v>
      </c>
      <c r="E481">
        <v>499</v>
      </c>
      <c r="F481">
        <v>1</v>
      </c>
      <c r="G481">
        <v>100</v>
      </c>
      <c r="H481">
        <v>500</v>
      </c>
      <c r="I481">
        <v>0</v>
      </c>
      <c r="J481" t="s">
        <v>1</v>
      </c>
      <c r="K481" t="s">
        <v>2</v>
      </c>
      <c r="L481" s="8">
        <f>InterspecUsage[[#This Row],[Used-MB]]-F471</f>
        <v>0</v>
      </c>
      <c r="M481">
        <f>InterspecUsage[[#This Row],[Max]]-InterspecUsage[[#This Row],[Used-MB]]</f>
        <v>499</v>
      </c>
      <c r="N481" s="5">
        <f>IF($L481&gt;0,InterspecUsage[[#This Row],[Free-of-Max]]/InterspecUsage[[#This Row],[Usage-Delta-MB]],InterspecUsage[[#This Row],[Free-of-Max]])</f>
        <v>499</v>
      </c>
    </row>
    <row r="482" spans="1:14" x14ac:dyDescent="0.25">
      <c r="A482" s="3">
        <v>44585</v>
      </c>
      <c r="B482" t="s">
        <v>26</v>
      </c>
      <c r="C482">
        <v>95</v>
      </c>
      <c r="D482">
        <v>18288</v>
      </c>
      <c r="E482">
        <v>985</v>
      </c>
      <c r="F482">
        <v>17303</v>
      </c>
      <c r="G482">
        <v>5</v>
      </c>
      <c r="H482">
        <v>40960</v>
      </c>
      <c r="I482">
        <v>42</v>
      </c>
      <c r="J482" t="s">
        <v>1</v>
      </c>
      <c r="K482" t="s">
        <v>2</v>
      </c>
      <c r="L482" s="8">
        <f>InterspecUsage[[#This Row],[Used-MB]]-F472</f>
        <v>0</v>
      </c>
      <c r="M482">
        <f>InterspecUsage[[#This Row],[Max]]-InterspecUsage[[#This Row],[Used-MB]]</f>
        <v>23657</v>
      </c>
      <c r="N482" s="5">
        <f>IF($L482&gt;0,InterspecUsage[[#This Row],[Free-of-Max]]/InterspecUsage[[#This Row],[Usage-Delta-MB]],InterspecUsage[[#This Row],[Free-of-Max]])</f>
        <v>23657</v>
      </c>
    </row>
    <row r="483" spans="1:14" x14ac:dyDescent="0.25">
      <c r="A483" s="3">
        <v>44585</v>
      </c>
      <c r="B483" t="s">
        <v>24</v>
      </c>
      <c r="C483">
        <v>100</v>
      </c>
      <c r="D483">
        <v>18000</v>
      </c>
      <c r="E483">
        <v>14</v>
      </c>
      <c r="F483">
        <v>17986</v>
      </c>
      <c r="G483">
        <v>0</v>
      </c>
      <c r="H483">
        <v>32768</v>
      </c>
      <c r="I483">
        <v>55</v>
      </c>
      <c r="J483" t="s">
        <v>1</v>
      </c>
      <c r="K483" t="s">
        <v>2</v>
      </c>
      <c r="L483" s="8">
        <f>InterspecUsage[[#This Row],[Used-MB]]-F473</f>
        <v>0</v>
      </c>
      <c r="M483">
        <f>InterspecUsage[[#This Row],[Max]]-InterspecUsage[[#This Row],[Used-MB]]</f>
        <v>14782</v>
      </c>
      <c r="N483" s="5">
        <f>IF($L483&gt;0,InterspecUsage[[#This Row],[Free-of-Max]]/InterspecUsage[[#This Row],[Usage-Delta-MB]],InterspecUsage[[#This Row],[Free-of-Max]])</f>
        <v>14782</v>
      </c>
    </row>
    <row r="484" spans="1:14" x14ac:dyDescent="0.25">
      <c r="A484" s="3">
        <v>44585</v>
      </c>
      <c r="B484" t="s">
        <v>35</v>
      </c>
      <c r="C484">
        <v>95</v>
      </c>
      <c r="D484">
        <v>22800</v>
      </c>
      <c r="E484">
        <v>1165</v>
      </c>
      <c r="F484">
        <v>21635</v>
      </c>
      <c r="G484">
        <v>5</v>
      </c>
      <c r="H484">
        <v>32768</v>
      </c>
      <c r="I484">
        <v>66</v>
      </c>
      <c r="J484" t="s">
        <v>1</v>
      </c>
      <c r="K484" t="s">
        <v>2</v>
      </c>
      <c r="L484" s="8">
        <f>InterspecUsage[[#This Row],[Used-MB]]-F474</f>
        <v>64</v>
      </c>
      <c r="M484">
        <f>InterspecUsage[[#This Row],[Max]]-InterspecUsage[[#This Row],[Used-MB]]</f>
        <v>11133</v>
      </c>
      <c r="N484" s="5">
        <f>IF($L484&gt;0,InterspecUsage[[#This Row],[Free-of-Max]]/InterspecUsage[[#This Row],[Usage-Delta-MB]],InterspecUsage[[#This Row],[Free-of-Max]])</f>
        <v>173.953125</v>
      </c>
    </row>
    <row r="485" spans="1:14" x14ac:dyDescent="0.25">
      <c r="A485" s="3">
        <v>44585</v>
      </c>
      <c r="B485" t="s">
        <v>27</v>
      </c>
      <c r="C485">
        <v>84</v>
      </c>
      <c r="D485">
        <v>131072</v>
      </c>
      <c r="E485">
        <v>20779</v>
      </c>
      <c r="F485">
        <v>110293</v>
      </c>
      <c r="G485">
        <v>16</v>
      </c>
      <c r="H485">
        <v>131072</v>
      </c>
      <c r="I485">
        <v>84</v>
      </c>
      <c r="J485" t="s">
        <v>1</v>
      </c>
      <c r="K485" t="s">
        <v>2</v>
      </c>
      <c r="L485" s="8">
        <f>InterspecUsage[[#This Row],[Used-MB]]-F475</f>
        <v>193</v>
      </c>
      <c r="M485">
        <f>InterspecUsage[[#This Row],[Max]]-InterspecUsage[[#This Row],[Used-MB]]</f>
        <v>20779</v>
      </c>
      <c r="N485" s="5">
        <f>IF($L485&gt;0,InterspecUsage[[#This Row],[Free-of-Max]]/InterspecUsage[[#This Row],[Usage-Delta-MB]],InterspecUsage[[#This Row],[Free-of-Max]])</f>
        <v>107.66321243523316</v>
      </c>
    </row>
    <row r="486" spans="1:14" x14ac:dyDescent="0.25">
      <c r="A486" s="3">
        <v>44585</v>
      </c>
      <c r="B486" t="s">
        <v>7</v>
      </c>
      <c r="C486">
        <v>95</v>
      </c>
      <c r="D486">
        <v>1100</v>
      </c>
      <c r="E486">
        <v>52</v>
      </c>
      <c r="F486">
        <v>1048</v>
      </c>
      <c r="G486">
        <v>5</v>
      </c>
      <c r="H486">
        <v>32768</v>
      </c>
      <c r="I486">
        <v>3</v>
      </c>
      <c r="J486" t="s">
        <v>1</v>
      </c>
      <c r="K486" t="s">
        <v>2</v>
      </c>
      <c r="L486" s="8">
        <f>InterspecUsage[[#This Row],[Used-MB]]-F476</f>
        <v>0</v>
      </c>
      <c r="M486">
        <f>InterspecUsage[[#This Row],[Max]]-InterspecUsage[[#This Row],[Used-MB]]</f>
        <v>31720</v>
      </c>
      <c r="N486" s="5">
        <f>IF($L486&gt;0,InterspecUsage[[#This Row],[Free-of-Max]]/InterspecUsage[[#This Row],[Usage-Delta-MB]],InterspecUsage[[#This Row],[Free-of-Max]])</f>
        <v>31720</v>
      </c>
    </row>
    <row r="487" spans="1:14" x14ac:dyDescent="0.25">
      <c r="A487" s="3">
        <v>44585</v>
      </c>
      <c r="B487" t="s">
        <v>0</v>
      </c>
      <c r="C487">
        <v>100</v>
      </c>
      <c r="D487">
        <v>3140</v>
      </c>
      <c r="E487">
        <v>6</v>
      </c>
      <c r="F487">
        <v>3134</v>
      </c>
      <c r="G487">
        <v>0</v>
      </c>
      <c r="H487">
        <v>32768</v>
      </c>
      <c r="I487">
        <v>10</v>
      </c>
      <c r="J487" t="s">
        <v>1</v>
      </c>
      <c r="K487" t="s">
        <v>2</v>
      </c>
      <c r="L487" s="8">
        <f>InterspecUsage[[#This Row],[Used-MB]]-F477</f>
        <v>0</v>
      </c>
      <c r="M487">
        <f>InterspecUsage[[#This Row],[Max]]-InterspecUsage[[#This Row],[Used-MB]]</f>
        <v>29634</v>
      </c>
      <c r="N487" s="5">
        <f>IF($L487&gt;0,InterspecUsage[[#This Row],[Free-of-Max]]/InterspecUsage[[#This Row],[Usage-Delta-MB]],InterspecUsage[[#This Row],[Free-of-Max]])</f>
        <v>29634</v>
      </c>
    </row>
    <row r="488" spans="1:14" x14ac:dyDescent="0.25">
      <c r="A488" s="3">
        <v>44585</v>
      </c>
      <c r="B488" t="s">
        <v>30</v>
      </c>
      <c r="C488">
        <v>0</v>
      </c>
      <c r="D488">
        <v>32767</v>
      </c>
      <c r="E488">
        <v>32751</v>
      </c>
      <c r="F488">
        <v>16</v>
      </c>
      <c r="G488">
        <v>100</v>
      </c>
      <c r="H488">
        <v>32768</v>
      </c>
      <c r="I488">
        <v>0</v>
      </c>
      <c r="J488" t="s">
        <v>1</v>
      </c>
      <c r="K488" t="s">
        <v>13</v>
      </c>
      <c r="L488" s="8">
        <f>InterspecUsage[[#This Row],[Used-MB]]-F478</f>
        <v>2</v>
      </c>
      <c r="M488">
        <f>InterspecUsage[[#This Row],[Max]]-InterspecUsage[[#This Row],[Used-MB]]</f>
        <v>32752</v>
      </c>
      <c r="N488" s="5">
        <f>IF($L488&gt;0,InterspecUsage[[#This Row],[Free-of-Max]]/InterspecUsage[[#This Row],[Usage-Delta-MB]],InterspecUsage[[#This Row],[Free-of-Max]])</f>
        <v>16376</v>
      </c>
    </row>
    <row r="489" spans="1:14" x14ac:dyDescent="0.25">
      <c r="A489" s="3">
        <v>44585</v>
      </c>
      <c r="B489" t="s">
        <v>28</v>
      </c>
      <c r="C489">
        <v>24</v>
      </c>
      <c r="D489">
        <v>16400</v>
      </c>
      <c r="E489">
        <v>12449</v>
      </c>
      <c r="F489">
        <v>3951</v>
      </c>
      <c r="G489">
        <v>76</v>
      </c>
      <c r="H489">
        <v>32768</v>
      </c>
      <c r="I489">
        <v>12</v>
      </c>
      <c r="J489" t="s">
        <v>1</v>
      </c>
      <c r="K489" t="s">
        <v>10</v>
      </c>
      <c r="L489" s="8">
        <f>InterspecUsage[[#This Row],[Used-MB]]-F479</f>
        <v>-1</v>
      </c>
      <c r="M489">
        <f>InterspecUsage[[#This Row],[Max]]-InterspecUsage[[#This Row],[Used-MB]]</f>
        <v>28817</v>
      </c>
      <c r="N489" s="5">
        <f>IF($L489&gt;0,InterspecUsage[[#This Row],[Free-of-Max]]/InterspecUsage[[#This Row],[Usage-Delta-MB]],InterspecUsage[[#This Row],[Free-of-Max]])</f>
        <v>28817</v>
      </c>
    </row>
    <row r="490" spans="1:14" x14ac:dyDescent="0.25">
      <c r="A490" s="3">
        <v>44585</v>
      </c>
      <c r="B490" t="s">
        <v>25</v>
      </c>
      <c r="C490">
        <v>85</v>
      </c>
      <c r="D490">
        <v>11800</v>
      </c>
      <c r="E490">
        <v>1828</v>
      </c>
      <c r="F490">
        <v>9972</v>
      </c>
      <c r="G490">
        <v>15</v>
      </c>
      <c r="H490">
        <v>32768</v>
      </c>
      <c r="I490">
        <v>30</v>
      </c>
      <c r="J490" t="s">
        <v>1</v>
      </c>
      <c r="K490" t="s">
        <v>2</v>
      </c>
      <c r="L490" s="8">
        <f>InterspecUsage[[#This Row],[Used-MB]]-F480</f>
        <v>72</v>
      </c>
      <c r="M490">
        <f>InterspecUsage[[#This Row],[Max]]-InterspecUsage[[#This Row],[Used-MB]]</f>
        <v>22796</v>
      </c>
      <c r="N490" s="5">
        <f>IF($L490&gt;0,InterspecUsage[[#This Row],[Free-of-Max]]/InterspecUsage[[#This Row],[Usage-Delta-MB]],InterspecUsage[[#This Row],[Free-of-Max]])</f>
        <v>316.61111111111109</v>
      </c>
    </row>
    <row r="491" spans="1:14" x14ac:dyDescent="0.25">
      <c r="A491" s="3">
        <v>44585</v>
      </c>
      <c r="B491" t="s">
        <v>29</v>
      </c>
      <c r="C491">
        <v>0</v>
      </c>
      <c r="D491">
        <v>500</v>
      </c>
      <c r="E491">
        <v>499</v>
      </c>
      <c r="F491">
        <v>1</v>
      </c>
      <c r="G491">
        <v>100</v>
      </c>
      <c r="H491">
        <v>500</v>
      </c>
      <c r="I491">
        <v>0</v>
      </c>
      <c r="J491" t="s">
        <v>1</v>
      </c>
      <c r="K491" t="s">
        <v>2</v>
      </c>
      <c r="L491" s="8">
        <f>InterspecUsage[[#This Row],[Used-MB]]-F481</f>
        <v>0</v>
      </c>
      <c r="M491">
        <f>InterspecUsage[[#This Row],[Max]]-InterspecUsage[[#This Row],[Used-MB]]</f>
        <v>499</v>
      </c>
      <c r="N491" s="5">
        <f>IF($L491&gt;0,InterspecUsage[[#This Row],[Free-of-Max]]/InterspecUsage[[#This Row],[Usage-Delta-MB]],InterspecUsage[[#This Row],[Free-of-Max]])</f>
        <v>499</v>
      </c>
    </row>
    <row r="492" spans="1:14" x14ac:dyDescent="0.25">
      <c r="A492" s="3">
        <v>44592</v>
      </c>
      <c r="B492" t="s">
        <v>26</v>
      </c>
      <c r="C492">
        <v>95</v>
      </c>
      <c r="D492">
        <v>18288</v>
      </c>
      <c r="E492">
        <v>920</v>
      </c>
      <c r="F492">
        <v>17368</v>
      </c>
      <c r="G492">
        <v>5</v>
      </c>
      <c r="H492">
        <v>40960</v>
      </c>
      <c r="I492">
        <v>42</v>
      </c>
      <c r="J492" t="s">
        <v>1</v>
      </c>
      <c r="K492" t="s">
        <v>2</v>
      </c>
      <c r="L492" s="8">
        <f>InterspecUsage[[#This Row],[Used-MB]]-F482</f>
        <v>65</v>
      </c>
      <c r="M492">
        <f>InterspecUsage[[#This Row],[Max]]-InterspecUsage[[#This Row],[Used-MB]]</f>
        <v>23592</v>
      </c>
      <c r="N492" s="5">
        <f>IF($L492&gt;0,InterspecUsage[[#This Row],[Free-of-Max]]/InterspecUsage[[#This Row],[Usage-Delta-MB]],InterspecUsage[[#This Row],[Free-of-Max]])</f>
        <v>362.95384615384614</v>
      </c>
    </row>
    <row r="493" spans="1:14" x14ac:dyDescent="0.25">
      <c r="A493" s="3">
        <v>44592</v>
      </c>
      <c r="B493" t="s">
        <v>24</v>
      </c>
      <c r="C493">
        <v>100</v>
      </c>
      <c r="D493">
        <v>18000</v>
      </c>
      <c r="E493">
        <v>6</v>
      </c>
      <c r="F493">
        <v>17994</v>
      </c>
      <c r="G493">
        <v>0</v>
      </c>
      <c r="H493">
        <v>32768</v>
      </c>
      <c r="I493">
        <v>55</v>
      </c>
      <c r="J493" t="s">
        <v>1</v>
      </c>
      <c r="K493" t="s">
        <v>2</v>
      </c>
      <c r="L493" s="8">
        <f>InterspecUsage[[#This Row],[Used-MB]]-F483</f>
        <v>8</v>
      </c>
      <c r="M493">
        <f>InterspecUsage[[#This Row],[Max]]-InterspecUsage[[#This Row],[Used-MB]]</f>
        <v>14774</v>
      </c>
      <c r="N493" s="5">
        <f>IF($L493&gt;0,InterspecUsage[[#This Row],[Free-of-Max]]/InterspecUsage[[#This Row],[Usage-Delta-MB]],InterspecUsage[[#This Row],[Free-of-Max]])</f>
        <v>1846.75</v>
      </c>
    </row>
    <row r="494" spans="1:14" x14ac:dyDescent="0.25">
      <c r="A494" s="3">
        <v>44592</v>
      </c>
      <c r="B494" t="s">
        <v>35</v>
      </c>
      <c r="C494">
        <v>95</v>
      </c>
      <c r="D494">
        <v>22800</v>
      </c>
      <c r="E494">
        <v>1165</v>
      </c>
      <c r="F494">
        <v>21635</v>
      </c>
      <c r="G494">
        <v>5</v>
      </c>
      <c r="H494">
        <v>32768</v>
      </c>
      <c r="I494">
        <v>66</v>
      </c>
      <c r="J494" t="s">
        <v>1</v>
      </c>
      <c r="K494" t="s">
        <v>2</v>
      </c>
      <c r="L494" s="8">
        <f>InterspecUsage[[#This Row],[Used-MB]]-F484</f>
        <v>0</v>
      </c>
      <c r="M494">
        <f>InterspecUsage[[#This Row],[Max]]-InterspecUsage[[#This Row],[Used-MB]]</f>
        <v>11133</v>
      </c>
      <c r="N494" s="5">
        <f>IF($L494&gt;0,InterspecUsage[[#This Row],[Free-of-Max]]/InterspecUsage[[#This Row],[Usage-Delta-MB]],InterspecUsage[[#This Row],[Free-of-Max]])</f>
        <v>11133</v>
      </c>
    </row>
    <row r="495" spans="1:14" x14ac:dyDescent="0.25">
      <c r="A495" s="3">
        <v>44592</v>
      </c>
      <c r="B495" t="s">
        <v>27</v>
      </c>
      <c r="C495">
        <v>84</v>
      </c>
      <c r="D495">
        <v>131072</v>
      </c>
      <c r="E495">
        <v>20587</v>
      </c>
      <c r="F495">
        <v>110485</v>
      </c>
      <c r="G495">
        <v>16</v>
      </c>
      <c r="H495">
        <v>131072</v>
      </c>
      <c r="I495">
        <v>84</v>
      </c>
      <c r="J495" t="s">
        <v>1</v>
      </c>
      <c r="K495" t="s">
        <v>2</v>
      </c>
      <c r="L495" s="8">
        <f>InterspecUsage[[#This Row],[Used-MB]]-F485</f>
        <v>192</v>
      </c>
      <c r="M495">
        <f>InterspecUsage[[#This Row],[Max]]-InterspecUsage[[#This Row],[Used-MB]]</f>
        <v>20587</v>
      </c>
      <c r="N495" s="5">
        <f>IF($L495&gt;0,InterspecUsage[[#This Row],[Free-of-Max]]/InterspecUsage[[#This Row],[Usage-Delta-MB]],InterspecUsage[[#This Row],[Free-of-Max]])</f>
        <v>107.22395833333333</v>
      </c>
    </row>
    <row r="496" spans="1:14" x14ac:dyDescent="0.25">
      <c r="A496" s="3">
        <v>44592</v>
      </c>
      <c r="B496" t="s">
        <v>7</v>
      </c>
      <c r="C496">
        <v>96</v>
      </c>
      <c r="D496">
        <v>1110</v>
      </c>
      <c r="E496">
        <v>46</v>
      </c>
      <c r="F496">
        <v>1064</v>
      </c>
      <c r="G496">
        <v>4</v>
      </c>
      <c r="H496">
        <v>32768</v>
      </c>
      <c r="I496">
        <v>3</v>
      </c>
      <c r="J496" t="s">
        <v>1</v>
      </c>
      <c r="K496" t="s">
        <v>2</v>
      </c>
      <c r="L496" s="8">
        <f>InterspecUsage[[#This Row],[Used-MB]]-F486</f>
        <v>16</v>
      </c>
      <c r="M496">
        <f>InterspecUsage[[#This Row],[Max]]-InterspecUsage[[#This Row],[Used-MB]]</f>
        <v>31704</v>
      </c>
      <c r="N496" s="5">
        <f>IF($L496&gt;0,InterspecUsage[[#This Row],[Free-of-Max]]/InterspecUsage[[#This Row],[Usage-Delta-MB]],InterspecUsage[[#This Row],[Free-of-Max]])</f>
        <v>1981.5</v>
      </c>
    </row>
    <row r="497" spans="1:14" x14ac:dyDescent="0.25">
      <c r="A497" s="3">
        <v>44592</v>
      </c>
      <c r="B497" t="s">
        <v>0</v>
      </c>
      <c r="C497">
        <v>100</v>
      </c>
      <c r="D497">
        <v>3140</v>
      </c>
      <c r="E497">
        <v>6</v>
      </c>
      <c r="F497">
        <v>3134</v>
      </c>
      <c r="G497">
        <v>0</v>
      </c>
      <c r="H497">
        <v>32768</v>
      </c>
      <c r="I497">
        <v>10</v>
      </c>
      <c r="J497" t="s">
        <v>1</v>
      </c>
      <c r="K497" t="s">
        <v>2</v>
      </c>
      <c r="L497" s="8">
        <f>InterspecUsage[[#This Row],[Used-MB]]-F487</f>
        <v>0</v>
      </c>
      <c r="M497">
        <f>InterspecUsage[[#This Row],[Max]]-InterspecUsage[[#This Row],[Used-MB]]</f>
        <v>29634</v>
      </c>
      <c r="N497" s="5">
        <f>IF($L497&gt;0,InterspecUsage[[#This Row],[Free-of-Max]]/InterspecUsage[[#This Row],[Usage-Delta-MB]],InterspecUsage[[#This Row],[Free-of-Max]])</f>
        <v>29634</v>
      </c>
    </row>
    <row r="498" spans="1:14" x14ac:dyDescent="0.25">
      <c r="A498" s="3">
        <v>44592</v>
      </c>
      <c r="B498" t="s">
        <v>30</v>
      </c>
      <c r="C498">
        <v>0</v>
      </c>
      <c r="D498">
        <v>32767</v>
      </c>
      <c r="E498">
        <v>32749</v>
      </c>
      <c r="F498">
        <v>18</v>
      </c>
      <c r="G498">
        <v>100</v>
      </c>
      <c r="H498">
        <v>32768</v>
      </c>
      <c r="I498">
        <v>0</v>
      </c>
      <c r="J498" t="s">
        <v>1</v>
      </c>
      <c r="K498" t="s">
        <v>13</v>
      </c>
      <c r="L498" s="8">
        <f>InterspecUsage[[#This Row],[Used-MB]]-F488</f>
        <v>2</v>
      </c>
      <c r="M498">
        <f>InterspecUsage[[#This Row],[Max]]-InterspecUsage[[#This Row],[Used-MB]]</f>
        <v>32750</v>
      </c>
      <c r="N498" s="5">
        <f>IF($L498&gt;0,InterspecUsage[[#This Row],[Free-of-Max]]/InterspecUsage[[#This Row],[Usage-Delta-MB]],InterspecUsage[[#This Row],[Free-of-Max]])</f>
        <v>16375</v>
      </c>
    </row>
    <row r="499" spans="1:14" x14ac:dyDescent="0.25">
      <c r="A499" s="3">
        <v>44592</v>
      </c>
      <c r="B499" t="s">
        <v>28</v>
      </c>
      <c r="C499">
        <v>24</v>
      </c>
      <c r="D499">
        <v>16400</v>
      </c>
      <c r="E499">
        <v>12437</v>
      </c>
      <c r="F499">
        <v>3963</v>
      </c>
      <c r="G499">
        <v>76</v>
      </c>
      <c r="H499">
        <v>32768</v>
      </c>
      <c r="I499">
        <v>12</v>
      </c>
      <c r="J499" t="s">
        <v>1</v>
      </c>
      <c r="K499" t="s">
        <v>10</v>
      </c>
      <c r="L499" s="8">
        <f>InterspecUsage[[#This Row],[Used-MB]]-F489</f>
        <v>12</v>
      </c>
      <c r="M499">
        <f>InterspecUsage[[#This Row],[Max]]-InterspecUsage[[#This Row],[Used-MB]]</f>
        <v>28805</v>
      </c>
      <c r="N499" s="5">
        <f>IF($L499&gt;0,InterspecUsage[[#This Row],[Free-of-Max]]/InterspecUsage[[#This Row],[Usage-Delta-MB]],InterspecUsage[[#This Row],[Free-of-Max]])</f>
        <v>2400.4166666666665</v>
      </c>
    </row>
    <row r="500" spans="1:14" x14ac:dyDescent="0.25">
      <c r="A500" s="3">
        <v>44592</v>
      </c>
      <c r="B500" t="s">
        <v>25</v>
      </c>
      <c r="C500">
        <v>84</v>
      </c>
      <c r="D500">
        <v>11800</v>
      </c>
      <c r="E500">
        <v>1836</v>
      </c>
      <c r="F500">
        <v>9964</v>
      </c>
      <c r="G500">
        <v>16</v>
      </c>
      <c r="H500">
        <v>32768</v>
      </c>
      <c r="I500">
        <v>30</v>
      </c>
      <c r="J500" t="s">
        <v>1</v>
      </c>
      <c r="K500" t="s">
        <v>2</v>
      </c>
      <c r="L500" s="8">
        <f>InterspecUsage[[#This Row],[Used-MB]]-F490</f>
        <v>-8</v>
      </c>
      <c r="M500">
        <f>InterspecUsage[[#This Row],[Max]]-InterspecUsage[[#This Row],[Used-MB]]</f>
        <v>22804</v>
      </c>
      <c r="N500" s="5">
        <f>IF($L500&gt;0,InterspecUsage[[#This Row],[Free-of-Max]]/InterspecUsage[[#This Row],[Usage-Delta-MB]],InterspecUsage[[#This Row],[Free-of-Max]])</f>
        <v>22804</v>
      </c>
    </row>
    <row r="501" spans="1:14" x14ac:dyDescent="0.25">
      <c r="A501" s="3">
        <v>44592</v>
      </c>
      <c r="B501" t="s">
        <v>29</v>
      </c>
      <c r="C501">
        <v>0</v>
      </c>
      <c r="D501">
        <v>500</v>
      </c>
      <c r="E501">
        <v>499</v>
      </c>
      <c r="F501">
        <v>1</v>
      </c>
      <c r="G501">
        <v>100</v>
      </c>
      <c r="H501">
        <v>500</v>
      </c>
      <c r="I501">
        <v>0</v>
      </c>
      <c r="J501" t="s">
        <v>1</v>
      </c>
      <c r="K501" t="s">
        <v>2</v>
      </c>
      <c r="L501" s="8">
        <f>InterspecUsage[[#This Row],[Used-MB]]-F491</f>
        <v>0</v>
      </c>
      <c r="M501">
        <f>InterspecUsage[[#This Row],[Max]]-InterspecUsage[[#This Row],[Used-MB]]</f>
        <v>499</v>
      </c>
      <c r="N501" s="5">
        <f>IF($L501&gt;0,InterspecUsage[[#This Row],[Free-of-Max]]/InterspecUsage[[#This Row],[Usage-Delta-MB]],InterspecUsage[[#This Row],[Free-of-Max]])</f>
        <v>499</v>
      </c>
    </row>
    <row r="502" spans="1:14" x14ac:dyDescent="0.25">
      <c r="A502" s="3">
        <v>44599</v>
      </c>
      <c r="B502" t="s">
        <v>26</v>
      </c>
      <c r="C502">
        <v>95</v>
      </c>
      <c r="D502">
        <v>18288</v>
      </c>
      <c r="E502">
        <v>920</v>
      </c>
      <c r="F502">
        <v>17368</v>
      </c>
      <c r="G502">
        <v>5</v>
      </c>
      <c r="H502">
        <v>40960</v>
      </c>
      <c r="I502">
        <v>42</v>
      </c>
      <c r="J502" t="s">
        <v>1</v>
      </c>
      <c r="K502" t="s">
        <v>2</v>
      </c>
      <c r="L502" s="8">
        <f>InterspecUsage[[#This Row],[Used-MB]]-F492</f>
        <v>0</v>
      </c>
      <c r="M502">
        <f>InterspecUsage[[#This Row],[Max]]-InterspecUsage[[#This Row],[Used-MB]]</f>
        <v>23592</v>
      </c>
      <c r="N502" s="5">
        <f>IF($L502&gt;0,InterspecUsage[[#This Row],[Free-of-Max]]/InterspecUsage[[#This Row],[Usage-Delta-MB]],InterspecUsage[[#This Row],[Free-of-Max]])</f>
        <v>23592</v>
      </c>
    </row>
    <row r="503" spans="1:14" x14ac:dyDescent="0.25">
      <c r="A503" s="3">
        <v>44599</v>
      </c>
      <c r="B503" t="s">
        <v>24</v>
      </c>
      <c r="C503">
        <v>77</v>
      </c>
      <c r="D503">
        <v>18000</v>
      </c>
      <c r="E503">
        <v>4128</v>
      </c>
      <c r="F503">
        <v>13872</v>
      </c>
      <c r="G503">
        <v>23</v>
      </c>
      <c r="H503">
        <v>32768</v>
      </c>
      <c r="I503">
        <v>42</v>
      </c>
      <c r="J503" t="s">
        <v>1</v>
      </c>
      <c r="K503" t="s">
        <v>2</v>
      </c>
      <c r="L503" s="8">
        <f>InterspecUsage[[#This Row],[Used-MB]]-F493</f>
        <v>-4122</v>
      </c>
      <c r="M503">
        <f>InterspecUsage[[#This Row],[Max]]-InterspecUsage[[#This Row],[Used-MB]]</f>
        <v>18896</v>
      </c>
      <c r="N503" s="5">
        <f>IF($L503&gt;0,InterspecUsage[[#This Row],[Free-of-Max]]/InterspecUsage[[#This Row],[Usage-Delta-MB]],InterspecUsage[[#This Row],[Free-of-Max]])</f>
        <v>18896</v>
      </c>
    </row>
    <row r="504" spans="1:14" x14ac:dyDescent="0.25">
      <c r="A504" s="3">
        <v>44599</v>
      </c>
      <c r="B504" t="s">
        <v>35</v>
      </c>
      <c r="C504">
        <v>95</v>
      </c>
      <c r="D504">
        <v>22800</v>
      </c>
      <c r="E504">
        <v>1101</v>
      </c>
      <c r="F504">
        <v>21699</v>
      </c>
      <c r="G504">
        <v>5</v>
      </c>
      <c r="H504">
        <v>32768</v>
      </c>
      <c r="I504">
        <v>66</v>
      </c>
      <c r="J504" t="s">
        <v>1</v>
      </c>
      <c r="K504" t="s">
        <v>2</v>
      </c>
      <c r="L504" s="8">
        <f>InterspecUsage[[#This Row],[Used-MB]]-F494</f>
        <v>64</v>
      </c>
      <c r="M504">
        <f>InterspecUsage[[#This Row],[Max]]-InterspecUsage[[#This Row],[Used-MB]]</f>
        <v>11069</v>
      </c>
      <c r="N504" s="5">
        <f>IF($L504&gt;0,InterspecUsage[[#This Row],[Free-of-Max]]/InterspecUsage[[#This Row],[Usage-Delta-MB]],InterspecUsage[[#This Row],[Free-of-Max]])</f>
        <v>172.953125</v>
      </c>
    </row>
    <row r="505" spans="1:14" x14ac:dyDescent="0.25">
      <c r="A505" s="3">
        <v>44599</v>
      </c>
      <c r="B505" t="s">
        <v>27</v>
      </c>
      <c r="C505">
        <v>83</v>
      </c>
      <c r="D505">
        <v>131072</v>
      </c>
      <c r="E505">
        <v>22073</v>
      </c>
      <c r="F505">
        <v>108999</v>
      </c>
      <c r="G505">
        <v>17</v>
      </c>
      <c r="H505">
        <v>131072</v>
      </c>
      <c r="I505">
        <v>83</v>
      </c>
      <c r="J505" t="s">
        <v>1</v>
      </c>
      <c r="K505" t="s">
        <v>2</v>
      </c>
      <c r="L505" s="8">
        <f>InterspecUsage[[#This Row],[Used-MB]]-F495</f>
        <v>-1486</v>
      </c>
      <c r="M505">
        <f>InterspecUsage[[#This Row],[Max]]-InterspecUsage[[#This Row],[Used-MB]]</f>
        <v>22073</v>
      </c>
      <c r="N505" s="5">
        <f>IF($L505&gt;0,InterspecUsage[[#This Row],[Free-of-Max]]/InterspecUsage[[#This Row],[Usage-Delta-MB]],InterspecUsage[[#This Row],[Free-of-Max]])</f>
        <v>22073</v>
      </c>
    </row>
    <row r="506" spans="1:14" x14ac:dyDescent="0.25">
      <c r="A506" s="3">
        <v>44599</v>
      </c>
      <c r="B506" t="s">
        <v>7</v>
      </c>
      <c r="C506">
        <v>95</v>
      </c>
      <c r="D506">
        <v>1120</v>
      </c>
      <c r="E506">
        <v>55</v>
      </c>
      <c r="F506">
        <v>1065</v>
      </c>
      <c r="G506">
        <v>5</v>
      </c>
      <c r="H506">
        <v>32768</v>
      </c>
      <c r="I506">
        <v>3</v>
      </c>
      <c r="J506" t="s">
        <v>1</v>
      </c>
      <c r="K506" t="s">
        <v>2</v>
      </c>
      <c r="L506" s="8">
        <f>InterspecUsage[[#This Row],[Used-MB]]-F496</f>
        <v>1</v>
      </c>
      <c r="M506">
        <f>InterspecUsage[[#This Row],[Max]]-InterspecUsage[[#This Row],[Used-MB]]</f>
        <v>31703</v>
      </c>
      <c r="N506" s="5">
        <f>IF($L506&gt;0,InterspecUsage[[#This Row],[Free-of-Max]]/InterspecUsage[[#This Row],[Usage-Delta-MB]],InterspecUsage[[#This Row],[Free-of-Max]])</f>
        <v>31703</v>
      </c>
    </row>
    <row r="507" spans="1:14" x14ac:dyDescent="0.25">
      <c r="A507" s="3">
        <v>44599</v>
      </c>
      <c r="B507" t="s">
        <v>0</v>
      </c>
      <c r="C507">
        <v>100</v>
      </c>
      <c r="D507">
        <v>3210</v>
      </c>
      <c r="E507">
        <v>12</v>
      </c>
      <c r="F507">
        <v>3198</v>
      </c>
      <c r="G507">
        <v>0</v>
      </c>
      <c r="H507">
        <v>32768</v>
      </c>
      <c r="I507">
        <v>10</v>
      </c>
      <c r="J507" t="s">
        <v>1</v>
      </c>
      <c r="K507" t="s">
        <v>2</v>
      </c>
      <c r="L507" s="8">
        <f>InterspecUsage[[#This Row],[Used-MB]]-F497</f>
        <v>64</v>
      </c>
      <c r="M507">
        <f>InterspecUsage[[#This Row],[Max]]-InterspecUsage[[#This Row],[Used-MB]]</f>
        <v>29570</v>
      </c>
      <c r="N507" s="5">
        <f>IF($L507&gt;0,InterspecUsage[[#This Row],[Free-of-Max]]/InterspecUsage[[#This Row],[Usage-Delta-MB]],InterspecUsage[[#This Row],[Free-of-Max]])</f>
        <v>462.03125</v>
      </c>
    </row>
    <row r="508" spans="1:14" x14ac:dyDescent="0.25">
      <c r="A508" s="3">
        <v>44599</v>
      </c>
      <c r="B508" t="s">
        <v>30</v>
      </c>
      <c r="C508">
        <v>0</v>
      </c>
      <c r="D508">
        <v>32767</v>
      </c>
      <c r="E508">
        <v>32749</v>
      </c>
      <c r="F508">
        <v>18</v>
      </c>
      <c r="G508">
        <v>100</v>
      </c>
      <c r="H508">
        <v>32768</v>
      </c>
      <c r="I508">
        <v>0</v>
      </c>
      <c r="J508" t="s">
        <v>1</v>
      </c>
      <c r="K508" t="s">
        <v>13</v>
      </c>
      <c r="L508" s="8">
        <f>InterspecUsage[[#This Row],[Used-MB]]-F498</f>
        <v>0</v>
      </c>
      <c r="M508">
        <f>InterspecUsage[[#This Row],[Max]]-InterspecUsage[[#This Row],[Used-MB]]</f>
        <v>32750</v>
      </c>
      <c r="N508" s="5">
        <f>IF($L508&gt;0,InterspecUsage[[#This Row],[Free-of-Max]]/InterspecUsage[[#This Row],[Usage-Delta-MB]],InterspecUsage[[#This Row],[Free-of-Max]])</f>
        <v>32750</v>
      </c>
    </row>
    <row r="509" spans="1:14" x14ac:dyDescent="0.25">
      <c r="A509" s="3">
        <v>44599</v>
      </c>
      <c r="B509" t="s">
        <v>28</v>
      </c>
      <c r="C509">
        <v>24</v>
      </c>
      <c r="D509">
        <v>16400</v>
      </c>
      <c r="E509">
        <v>12435</v>
      </c>
      <c r="F509">
        <v>3965</v>
      </c>
      <c r="G509">
        <v>76</v>
      </c>
      <c r="H509">
        <v>32768</v>
      </c>
      <c r="I509">
        <v>12</v>
      </c>
      <c r="J509" t="s">
        <v>1</v>
      </c>
      <c r="K509" t="s">
        <v>10</v>
      </c>
      <c r="L509" s="8">
        <f>InterspecUsage[[#This Row],[Used-MB]]-F499</f>
        <v>2</v>
      </c>
      <c r="M509">
        <f>InterspecUsage[[#This Row],[Max]]-InterspecUsage[[#This Row],[Used-MB]]</f>
        <v>28803</v>
      </c>
      <c r="N509" s="5">
        <f>IF($L509&gt;0,InterspecUsage[[#This Row],[Free-of-Max]]/InterspecUsage[[#This Row],[Usage-Delta-MB]],InterspecUsage[[#This Row],[Free-of-Max]])</f>
        <v>14401.5</v>
      </c>
    </row>
    <row r="510" spans="1:14" x14ac:dyDescent="0.25">
      <c r="A510" s="3">
        <v>44599</v>
      </c>
      <c r="B510" t="s">
        <v>25</v>
      </c>
      <c r="C510">
        <v>84</v>
      </c>
      <c r="D510">
        <v>11800</v>
      </c>
      <c r="E510">
        <v>1836</v>
      </c>
      <c r="F510">
        <v>9964</v>
      </c>
      <c r="G510">
        <v>16</v>
      </c>
      <c r="H510">
        <v>32768</v>
      </c>
      <c r="I510">
        <v>30</v>
      </c>
      <c r="J510" t="s">
        <v>1</v>
      </c>
      <c r="K510" t="s">
        <v>2</v>
      </c>
      <c r="L510" s="8">
        <f>InterspecUsage[[#This Row],[Used-MB]]-F500</f>
        <v>0</v>
      </c>
      <c r="M510">
        <f>InterspecUsage[[#This Row],[Max]]-InterspecUsage[[#This Row],[Used-MB]]</f>
        <v>22804</v>
      </c>
      <c r="N510" s="5">
        <f>IF($L510&gt;0,InterspecUsage[[#This Row],[Free-of-Max]]/InterspecUsage[[#This Row],[Usage-Delta-MB]],InterspecUsage[[#This Row],[Free-of-Max]])</f>
        <v>22804</v>
      </c>
    </row>
    <row r="511" spans="1:14" x14ac:dyDescent="0.25">
      <c r="A511" s="3">
        <v>44599</v>
      </c>
      <c r="B511" t="s">
        <v>29</v>
      </c>
      <c r="C511">
        <v>0</v>
      </c>
      <c r="D511">
        <v>500</v>
      </c>
      <c r="E511">
        <v>499</v>
      </c>
      <c r="F511">
        <v>1</v>
      </c>
      <c r="G511">
        <v>100</v>
      </c>
      <c r="H511">
        <v>500</v>
      </c>
      <c r="I511">
        <v>0</v>
      </c>
      <c r="J511" t="s">
        <v>1</v>
      </c>
      <c r="K511" t="s">
        <v>2</v>
      </c>
      <c r="L511" s="8">
        <f>InterspecUsage[[#This Row],[Used-MB]]-F501</f>
        <v>0</v>
      </c>
      <c r="M511">
        <f>InterspecUsage[[#This Row],[Max]]-InterspecUsage[[#This Row],[Used-MB]]</f>
        <v>499</v>
      </c>
      <c r="N511" s="5">
        <f>IF($L511&gt;0,InterspecUsage[[#This Row],[Free-of-Max]]/InterspecUsage[[#This Row],[Usage-Delta-MB]],InterspecUsage[[#This Row],[Free-of-Max]])</f>
        <v>499</v>
      </c>
    </row>
    <row r="512" spans="1:14" x14ac:dyDescent="0.25">
      <c r="A512" s="3">
        <v>44606</v>
      </c>
      <c r="B512" t="s">
        <v>26</v>
      </c>
      <c r="C512">
        <v>93</v>
      </c>
      <c r="D512">
        <v>18788</v>
      </c>
      <c r="E512">
        <v>1356</v>
      </c>
      <c r="F512">
        <v>17432</v>
      </c>
      <c r="G512">
        <v>7</v>
      </c>
      <c r="H512">
        <v>40960</v>
      </c>
      <c r="I512">
        <v>43</v>
      </c>
      <c r="J512" t="s">
        <v>1</v>
      </c>
      <c r="K512" t="s">
        <v>2</v>
      </c>
      <c r="L512" s="8">
        <f>InterspecUsage[[#This Row],[Used-MB]]-F502</f>
        <v>64</v>
      </c>
      <c r="M512">
        <f>InterspecUsage[[#This Row],[Max]]-InterspecUsage[[#This Row],[Used-MB]]</f>
        <v>23528</v>
      </c>
      <c r="N512" s="5">
        <f>IF($L512&gt;0,InterspecUsage[[#This Row],[Free-of-Max]]/InterspecUsage[[#This Row],[Usage-Delta-MB]],InterspecUsage[[#This Row],[Free-of-Max]])</f>
        <v>367.625</v>
      </c>
    </row>
    <row r="513" spans="1:14" x14ac:dyDescent="0.25">
      <c r="A513" s="3">
        <v>44606</v>
      </c>
      <c r="B513" t="s">
        <v>24</v>
      </c>
      <c r="C513">
        <v>77</v>
      </c>
      <c r="D513">
        <v>18000</v>
      </c>
      <c r="E513">
        <v>4128</v>
      </c>
      <c r="F513">
        <v>13872</v>
      </c>
      <c r="G513">
        <v>23</v>
      </c>
      <c r="H513">
        <v>32768</v>
      </c>
      <c r="I513">
        <v>42</v>
      </c>
      <c r="J513" t="s">
        <v>1</v>
      </c>
      <c r="K513" t="s">
        <v>2</v>
      </c>
      <c r="L513" s="8">
        <f>InterspecUsage[[#This Row],[Used-MB]]-F503</f>
        <v>0</v>
      </c>
      <c r="M513">
        <f>InterspecUsage[[#This Row],[Max]]-InterspecUsage[[#This Row],[Used-MB]]</f>
        <v>18896</v>
      </c>
      <c r="N513" s="5">
        <f>IF($L513&gt;0,InterspecUsage[[#This Row],[Free-of-Max]]/InterspecUsage[[#This Row],[Usage-Delta-MB]],InterspecUsage[[#This Row],[Free-of-Max]])</f>
        <v>18896</v>
      </c>
    </row>
    <row r="514" spans="1:14" x14ac:dyDescent="0.25">
      <c r="A514" s="3">
        <v>44606</v>
      </c>
      <c r="B514" t="s">
        <v>35</v>
      </c>
      <c r="C514">
        <v>95</v>
      </c>
      <c r="D514">
        <v>22800</v>
      </c>
      <c r="E514">
        <v>1101</v>
      </c>
      <c r="F514">
        <v>21699</v>
      </c>
      <c r="G514">
        <v>5</v>
      </c>
      <c r="H514">
        <v>32768</v>
      </c>
      <c r="I514">
        <v>66</v>
      </c>
      <c r="J514" t="s">
        <v>1</v>
      </c>
      <c r="K514" t="s">
        <v>2</v>
      </c>
      <c r="L514" s="8">
        <f>InterspecUsage[[#This Row],[Used-MB]]-F504</f>
        <v>0</v>
      </c>
      <c r="M514">
        <f>InterspecUsage[[#This Row],[Max]]-InterspecUsage[[#This Row],[Used-MB]]</f>
        <v>11069</v>
      </c>
      <c r="N514" s="5">
        <f>IF($L514&gt;0,InterspecUsage[[#This Row],[Free-of-Max]]/InterspecUsage[[#This Row],[Usage-Delta-MB]],InterspecUsage[[#This Row],[Free-of-Max]])</f>
        <v>11069</v>
      </c>
    </row>
    <row r="515" spans="1:14" x14ac:dyDescent="0.25">
      <c r="A515" s="3">
        <v>44606</v>
      </c>
      <c r="B515" t="s">
        <v>27</v>
      </c>
      <c r="C515">
        <v>83</v>
      </c>
      <c r="D515">
        <v>131072</v>
      </c>
      <c r="E515">
        <v>21944</v>
      </c>
      <c r="F515">
        <v>109128</v>
      </c>
      <c r="G515">
        <v>17</v>
      </c>
      <c r="H515">
        <v>131072</v>
      </c>
      <c r="I515">
        <v>83</v>
      </c>
      <c r="J515" t="s">
        <v>1</v>
      </c>
      <c r="K515" t="s">
        <v>2</v>
      </c>
      <c r="L515" s="8">
        <f>InterspecUsage[[#This Row],[Used-MB]]-F505</f>
        <v>129</v>
      </c>
      <c r="M515">
        <f>InterspecUsage[[#This Row],[Max]]-InterspecUsage[[#This Row],[Used-MB]]</f>
        <v>21944</v>
      </c>
      <c r="N515" s="5">
        <f>IF($L515&gt;0,InterspecUsage[[#This Row],[Free-of-Max]]/InterspecUsage[[#This Row],[Usage-Delta-MB]],InterspecUsage[[#This Row],[Free-of-Max]])</f>
        <v>170.10852713178295</v>
      </c>
    </row>
    <row r="516" spans="1:14" x14ac:dyDescent="0.25">
      <c r="A516" s="3">
        <v>44606</v>
      </c>
      <c r="B516" t="s">
        <v>7</v>
      </c>
      <c r="C516">
        <v>96</v>
      </c>
      <c r="D516">
        <v>1120</v>
      </c>
      <c r="E516">
        <v>47</v>
      </c>
      <c r="F516">
        <v>1073</v>
      </c>
      <c r="G516">
        <v>4</v>
      </c>
      <c r="H516">
        <v>32768</v>
      </c>
      <c r="I516">
        <v>3</v>
      </c>
      <c r="J516" t="s">
        <v>1</v>
      </c>
      <c r="K516" t="s">
        <v>2</v>
      </c>
      <c r="L516" s="8">
        <f>InterspecUsage[[#This Row],[Used-MB]]-F506</f>
        <v>8</v>
      </c>
      <c r="M516">
        <f>InterspecUsage[[#This Row],[Max]]-InterspecUsage[[#This Row],[Used-MB]]</f>
        <v>31695</v>
      </c>
      <c r="N516" s="5">
        <f>IF($L516&gt;0,InterspecUsage[[#This Row],[Free-of-Max]]/InterspecUsage[[#This Row],[Usage-Delta-MB]],InterspecUsage[[#This Row],[Free-of-Max]])</f>
        <v>3961.875</v>
      </c>
    </row>
    <row r="517" spans="1:14" x14ac:dyDescent="0.25">
      <c r="A517" s="3">
        <v>44606</v>
      </c>
      <c r="B517" t="s">
        <v>0</v>
      </c>
      <c r="C517">
        <v>100</v>
      </c>
      <c r="D517">
        <v>3210</v>
      </c>
      <c r="E517">
        <v>12</v>
      </c>
      <c r="F517">
        <v>3198</v>
      </c>
      <c r="G517">
        <v>0</v>
      </c>
      <c r="H517">
        <v>32768</v>
      </c>
      <c r="I517">
        <v>10</v>
      </c>
      <c r="J517" t="s">
        <v>1</v>
      </c>
      <c r="K517" t="s">
        <v>2</v>
      </c>
      <c r="L517" s="8">
        <f>InterspecUsage[[#This Row],[Used-MB]]-F507</f>
        <v>0</v>
      </c>
      <c r="M517">
        <f>InterspecUsage[[#This Row],[Max]]-InterspecUsage[[#This Row],[Used-MB]]</f>
        <v>29570</v>
      </c>
      <c r="N517" s="5">
        <f>IF($L517&gt;0,InterspecUsage[[#This Row],[Free-of-Max]]/InterspecUsage[[#This Row],[Usage-Delta-MB]],InterspecUsage[[#This Row],[Free-of-Max]])</f>
        <v>29570</v>
      </c>
    </row>
    <row r="518" spans="1:14" x14ac:dyDescent="0.25">
      <c r="A518" s="3">
        <v>44606</v>
      </c>
      <c r="B518" t="s">
        <v>30</v>
      </c>
      <c r="C518">
        <v>0</v>
      </c>
      <c r="D518">
        <v>32767</v>
      </c>
      <c r="E518">
        <v>32748</v>
      </c>
      <c r="F518">
        <v>19</v>
      </c>
      <c r="G518">
        <v>100</v>
      </c>
      <c r="H518">
        <v>32768</v>
      </c>
      <c r="I518">
        <v>0</v>
      </c>
      <c r="J518" t="s">
        <v>1</v>
      </c>
      <c r="K518" t="s">
        <v>13</v>
      </c>
      <c r="L518" s="8">
        <f>InterspecUsage[[#This Row],[Used-MB]]-F508</f>
        <v>1</v>
      </c>
      <c r="M518">
        <f>InterspecUsage[[#This Row],[Max]]-InterspecUsage[[#This Row],[Used-MB]]</f>
        <v>32749</v>
      </c>
      <c r="N518" s="5">
        <f>IF($L518&gt;0,InterspecUsage[[#This Row],[Free-of-Max]]/InterspecUsage[[#This Row],[Usage-Delta-MB]],InterspecUsage[[#This Row],[Free-of-Max]])</f>
        <v>32749</v>
      </c>
    </row>
    <row r="519" spans="1:14" x14ac:dyDescent="0.25">
      <c r="A519" s="3">
        <v>44606</v>
      </c>
      <c r="B519" t="s">
        <v>28</v>
      </c>
      <c r="C519">
        <v>24</v>
      </c>
      <c r="D519">
        <v>16400</v>
      </c>
      <c r="E519">
        <v>12453</v>
      </c>
      <c r="F519">
        <v>3947</v>
      </c>
      <c r="G519">
        <v>76</v>
      </c>
      <c r="H519">
        <v>32768</v>
      </c>
      <c r="I519">
        <v>12</v>
      </c>
      <c r="J519" t="s">
        <v>1</v>
      </c>
      <c r="K519" t="s">
        <v>10</v>
      </c>
      <c r="L519" s="8">
        <f>InterspecUsage[[#This Row],[Used-MB]]-F509</f>
        <v>-18</v>
      </c>
      <c r="M519">
        <f>InterspecUsage[[#This Row],[Max]]-InterspecUsage[[#This Row],[Used-MB]]</f>
        <v>28821</v>
      </c>
      <c r="N519" s="5">
        <f>IF($L519&gt;0,InterspecUsage[[#This Row],[Free-of-Max]]/InterspecUsage[[#This Row],[Usage-Delta-MB]],InterspecUsage[[#This Row],[Free-of-Max]])</f>
        <v>28821</v>
      </c>
    </row>
    <row r="520" spans="1:14" x14ac:dyDescent="0.25">
      <c r="A520" s="3">
        <v>44606</v>
      </c>
      <c r="B520" t="s">
        <v>25</v>
      </c>
      <c r="C520">
        <v>84</v>
      </c>
      <c r="D520">
        <v>11800</v>
      </c>
      <c r="E520">
        <v>1836</v>
      </c>
      <c r="F520">
        <v>9964</v>
      </c>
      <c r="G520">
        <v>16</v>
      </c>
      <c r="H520">
        <v>32768</v>
      </c>
      <c r="I520">
        <v>30</v>
      </c>
      <c r="J520" t="s">
        <v>1</v>
      </c>
      <c r="K520" t="s">
        <v>2</v>
      </c>
      <c r="L520" s="8">
        <f>InterspecUsage[[#This Row],[Used-MB]]-F510</f>
        <v>0</v>
      </c>
      <c r="M520">
        <f>InterspecUsage[[#This Row],[Max]]-InterspecUsage[[#This Row],[Used-MB]]</f>
        <v>22804</v>
      </c>
      <c r="N520" s="5">
        <f>IF($L520&gt;0,InterspecUsage[[#This Row],[Free-of-Max]]/InterspecUsage[[#This Row],[Usage-Delta-MB]],InterspecUsage[[#This Row],[Free-of-Max]])</f>
        <v>22804</v>
      </c>
    </row>
    <row r="521" spans="1:14" x14ac:dyDescent="0.25">
      <c r="A521" s="3">
        <v>44606</v>
      </c>
      <c r="B521" t="s">
        <v>29</v>
      </c>
      <c r="C521">
        <v>0</v>
      </c>
      <c r="D521">
        <v>500</v>
      </c>
      <c r="E521">
        <v>499</v>
      </c>
      <c r="F521">
        <v>1</v>
      </c>
      <c r="G521">
        <v>100</v>
      </c>
      <c r="H521">
        <v>500</v>
      </c>
      <c r="I521">
        <v>0</v>
      </c>
      <c r="J521" t="s">
        <v>1</v>
      </c>
      <c r="K521" t="s">
        <v>2</v>
      </c>
      <c r="L521" s="8">
        <f>InterspecUsage[[#This Row],[Used-MB]]-F511</f>
        <v>0</v>
      </c>
      <c r="M521">
        <f>InterspecUsage[[#This Row],[Max]]-InterspecUsage[[#This Row],[Used-MB]]</f>
        <v>499</v>
      </c>
      <c r="N521" s="5">
        <f>IF($L521&gt;0,InterspecUsage[[#This Row],[Free-of-Max]]/InterspecUsage[[#This Row],[Usage-Delta-MB]],InterspecUsage[[#This Row],[Free-of-Max]])</f>
        <v>499</v>
      </c>
    </row>
    <row r="522" spans="1:14" x14ac:dyDescent="0.25">
      <c r="A522" s="3">
        <v>44613</v>
      </c>
      <c r="B522" t="s">
        <v>26</v>
      </c>
      <c r="C522">
        <v>93</v>
      </c>
      <c r="D522">
        <v>18788</v>
      </c>
      <c r="E522">
        <v>1356</v>
      </c>
      <c r="F522">
        <v>17432</v>
      </c>
      <c r="G522">
        <v>7</v>
      </c>
      <c r="H522">
        <v>40960</v>
      </c>
      <c r="I522">
        <v>43</v>
      </c>
      <c r="J522" t="s">
        <v>1</v>
      </c>
      <c r="K522" t="s">
        <v>2</v>
      </c>
      <c r="L522" s="8">
        <f>InterspecUsage[[#This Row],[Used-MB]]-F512</f>
        <v>0</v>
      </c>
      <c r="M522">
        <f>InterspecUsage[[#This Row],[Max]]-InterspecUsage[[#This Row],[Used-MB]]</f>
        <v>23528</v>
      </c>
      <c r="N522" s="5">
        <f>IF($L522&gt;0,InterspecUsage[[#This Row],[Free-of-Max]]/InterspecUsage[[#This Row],[Usage-Delta-MB]],InterspecUsage[[#This Row],[Free-of-Max]])</f>
        <v>23528</v>
      </c>
    </row>
    <row r="523" spans="1:14" x14ac:dyDescent="0.25">
      <c r="A523" s="3">
        <v>44613</v>
      </c>
      <c r="B523" t="s">
        <v>24</v>
      </c>
      <c r="C523">
        <v>77</v>
      </c>
      <c r="D523">
        <v>18000</v>
      </c>
      <c r="E523">
        <v>4128</v>
      </c>
      <c r="F523">
        <v>13872</v>
      </c>
      <c r="G523">
        <v>23</v>
      </c>
      <c r="H523">
        <v>32768</v>
      </c>
      <c r="I523">
        <v>42</v>
      </c>
      <c r="J523" t="s">
        <v>1</v>
      </c>
      <c r="K523" t="s">
        <v>2</v>
      </c>
      <c r="L523" s="8">
        <f>InterspecUsage[[#This Row],[Used-MB]]-F513</f>
        <v>0</v>
      </c>
      <c r="M523">
        <f>InterspecUsage[[#This Row],[Max]]-InterspecUsage[[#This Row],[Used-MB]]</f>
        <v>18896</v>
      </c>
      <c r="N523" s="5">
        <f>IF($L523&gt;0,InterspecUsage[[#This Row],[Free-of-Max]]/InterspecUsage[[#This Row],[Usage-Delta-MB]],InterspecUsage[[#This Row],[Free-of-Max]])</f>
        <v>18896</v>
      </c>
    </row>
    <row r="524" spans="1:14" x14ac:dyDescent="0.25">
      <c r="A524" s="3">
        <v>44613</v>
      </c>
      <c r="B524" t="s">
        <v>35</v>
      </c>
      <c r="C524">
        <v>95</v>
      </c>
      <c r="D524">
        <v>22800</v>
      </c>
      <c r="E524">
        <v>1037</v>
      </c>
      <c r="F524">
        <v>21763</v>
      </c>
      <c r="G524">
        <v>5</v>
      </c>
      <c r="H524">
        <v>32768</v>
      </c>
      <c r="I524">
        <v>66</v>
      </c>
      <c r="J524" t="s">
        <v>1</v>
      </c>
      <c r="K524" t="s">
        <v>2</v>
      </c>
      <c r="L524" s="8">
        <f>InterspecUsage[[#This Row],[Used-MB]]-F514</f>
        <v>64</v>
      </c>
      <c r="M524">
        <f>InterspecUsage[[#This Row],[Max]]-InterspecUsage[[#This Row],[Used-MB]]</f>
        <v>11005</v>
      </c>
      <c r="N524" s="5">
        <f>IF($L524&gt;0,InterspecUsage[[#This Row],[Free-of-Max]]/InterspecUsage[[#This Row],[Usage-Delta-MB]],InterspecUsage[[#This Row],[Free-of-Max]])</f>
        <v>171.953125</v>
      </c>
    </row>
    <row r="525" spans="1:14" x14ac:dyDescent="0.25">
      <c r="A525" s="3">
        <v>44613</v>
      </c>
      <c r="B525" t="s">
        <v>27</v>
      </c>
      <c r="C525">
        <v>83</v>
      </c>
      <c r="D525">
        <v>131072</v>
      </c>
      <c r="E525">
        <v>21760</v>
      </c>
      <c r="F525">
        <v>109312</v>
      </c>
      <c r="G525">
        <v>17</v>
      </c>
      <c r="H525">
        <v>131072</v>
      </c>
      <c r="I525">
        <v>83</v>
      </c>
      <c r="J525" t="s">
        <v>1</v>
      </c>
      <c r="K525" t="s">
        <v>2</v>
      </c>
      <c r="L525" s="8">
        <f>InterspecUsage[[#This Row],[Used-MB]]-F515</f>
        <v>184</v>
      </c>
      <c r="M525">
        <f>InterspecUsage[[#This Row],[Max]]-InterspecUsage[[#This Row],[Used-MB]]</f>
        <v>21760</v>
      </c>
      <c r="N525" s="5">
        <f>IF($L525&gt;0,InterspecUsage[[#This Row],[Free-of-Max]]/InterspecUsage[[#This Row],[Usage-Delta-MB]],InterspecUsage[[#This Row],[Free-of-Max]])</f>
        <v>118.26086956521739</v>
      </c>
    </row>
    <row r="526" spans="1:14" x14ac:dyDescent="0.25">
      <c r="A526" s="3">
        <v>44613</v>
      </c>
      <c r="B526" t="s">
        <v>7</v>
      </c>
      <c r="C526">
        <v>96</v>
      </c>
      <c r="D526">
        <v>1120</v>
      </c>
      <c r="E526">
        <v>47</v>
      </c>
      <c r="F526">
        <v>1073</v>
      </c>
      <c r="G526">
        <v>4</v>
      </c>
      <c r="H526">
        <v>32768</v>
      </c>
      <c r="I526">
        <v>3</v>
      </c>
      <c r="J526" t="s">
        <v>1</v>
      </c>
      <c r="K526" t="s">
        <v>2</v>
      </c>
      <c r="L526" s="8">
        <f>InterspecUsage[[#This Row],[Used-MB]]-F516</f>
        <v>0</v>
      </c>
      <c r="M526">
        <f>InterspecUsage[[#This Row],[Max]]-InterspecUsage[[#This Row],[Used-MB]]</f>
        <v>31695</v>
      </c>
      <c r="N526" s="5">
        <f>IF($L526&gt;0,InterspecUsage[[#This Row],[Free-of-Max]]/InterspecUsage[[#This Row],[Usage-Delta-MB]],InterspecUsage[[#This Row],[Free-of-Max]])</f>
        <v>31695</v>
      </c>
    </row>
    <row r="527" spans="1:14" x14ac:dyDescent="0.25">
      <c r="A527" s="3">
        <v>44613</v>
      </c>
      <c r="B527" t="s">
        <v>0</v>
      </c>
      <c r="C527">
        <v>100</v>
      </c>
      <c r="D527">
        <v>3210</v>
      </c>
      <c r="E527">
        <v>12</v>
      </c>
      <c r="F527">
        <v>3198</v>
      </c>
      <c r="G527">
        <v>0</v>
      </c>
      <c r="H527">
        <v>32768</v>
      </c>
      <c r="I527">
        <v>10</v>
      </c>
      <c r="J527" t="s">
        <v>1</v>
      </c>
      <c r="K527" t="s">
        <v>2</v>
      </c>
      <c r="L527" s="8">
        <f>InterspecUsage[[#This Row],[Used-MB]]-F517</f>
        <v>0</v>
      </c>
      <c r="M527">
        <f>InterspecUsage[[#This Row],[Max]]-InterspecUsage[[#This Row],[Used-MB]]</f>
        <v>29570</v>
      </c>
      <c r="N527" s="5">
        <f>IF($L527&gt;0,InterspecUsage[[#This Row],[Free-of-Max]]/InterspecUsage[[#This Row],[Usage-Delta-MB]],InterspecUsage[[#This Row],[Free-of-Max]])</f>
        <v>29570</v>
      </c>
    </row>
    <row r="528" spans="1:14" x14ac:dyDescent="0.25">
      <c r="A528" s="3">
        <v>44613</v>
      </c>
      <c r="B528" t="s">
        <v>30</v>
      </c>
      <c r="C528">
        <v>0</v>
      </c>
      <c r="D528">
        <v>32767</v>
      </c>
      <c r="E528">
        <v>32748</v>
      </c>
      <c r="F528">
        <v>19</v>
      </c>
      <c r="G528">
        <v>100</v>
      </c>
      <c r="H528">
        <v>32768</v>
      </c>
      <c r="I528">
        <v>0</v>
      </c>
      <c r="J528" t="s">
        <v>1</v>
      </c>
      <c r="K528" t="s">
        <v>13</v>
      </c>
      <c r="L528" s="8">
        <f>InterspecUsage[[#This Row],[Used-MB]]-F518</f>
        <v>0</v>
      </c>
      <c r="M528">
        <f>InterspecUsage[[#This Row],[Max]]-InterspecUsage[[#This Row],[Used-MB]]</f>
        <v>32749</v>
      </c>
      <c r="N528" s="5">
        <f>IF($L528&gt;0,InterspecUsage[[#This Row],[Free-of-Max]]/InterspecUsage[[#This Row],[Usage-Delta-MB]],InterspecUsage[[#This Row],[Free-of-Max]])</f>
        <v>32749</v>
      </c>
    </row>
    <row r="529" spans="1:14" x14ac:dyDescent="0.25">
      <c r="A529" s="3">
        <v>44613</v>
      </c>
      <c r="B529" t="s">
        <v>28</v>
      </c>
      <c r="C529">
        <v>24</v>
      </c>
      <c r="D529">
        <v>16400</v>
      </c>
      <c r="E529">
        <v>12452</v>
      </c>
      <c r="F529">
        <v>3948</v>
      </c>
      <c r="G529">
        <v>76</v>
      </c>
      <c r="H529">
        <v>32768</v>
      </c>
      <c r="I529">
        <v>12</v>
      </c>
      <c r="J529" t="s">
        <v>1</v>
      </c>
      <c r="K529" t="s">
        <v>10</v>
      </c>
      <c r="L529" s="8">
        <f>InterspecUsage[[#This Row],[Used-MB]]-F519</f>
        <v>1</v>
      </c>
      <c r="M529">
        <f>InterspecUsage[[#This Row],[Max]]-InterspecUsage[[#This Row],[Used-MB]]</f>
        <v>28820</v>
      </c>
      <c r="N529" s="5">
        <f>IF($L529&gt;0,InterspecUsage[[#This Row],[Free-of-Max]]/InterspecUsage[[#This Row],[Usage-Delta-MB]],InterspecUsage[[#This Row],[Free-of-Max]])</f>
        <v>28820</v>
      </c>
    </row>
    <row r="530" spans="1:14" x14ac:dyDescent="0.25">
      <c r="A530" s="3">
        <v>44613</v>
      </c>
      <c r="B530" t="s">
        <v>25</v>
      </c>
      <c r="C530">
        <v>84</v>
      </c>
      <c r="D530">
        <v>11800</v>
      </c>
      <c r="E530">
        <v>1836</v>
      </c>
      <c r="F530">
        <v>9964</v>
      </c>
      <c r="G530">
        <v>16</v>
      </c>
      <c r="H530">
        <v>32768</v>
      </c>
      <c r="I530">
        <v>30</v>
      </c>
      <c r="J530" t="s">
        <v>1</v>
      </c>
      <c r="K530" t="s">
        <v>2</v>
      </c>
      <c r="L530" s="8">
        <f>InterspecUsage[[#This Row],[Used-MB]]-F520</f>
        <v>0</v>
      </c>
      <c r="M530">
        <f>InterspecUsage[[#This Row],[Max]]-InterspecUsage[[#This Row],[Used-MB]]</f>
        <v>22804</v>
      </c>
      <c r="N530" s="5">
        <f>IF($L530&gt;0,InterspecUsage[[#This Row],[Free-of-Max]]/InterspecUsage[[#This Row],[Usage-Delta-MB]],InterspecUsage[[#This Row],[Free-of-Max]])</f>
        <v>22804</v>
      </c>
    </row>
    <row r="531" spans="1:14" x14ac:dyDescent="0.25">
      <c r="A531" s="3">
        <v>44613</v>
      </c>
      <c r="B531" t="s">
        <v>29</v>
      </c>
      <c r="C531">
        <v>0</v>
      </c>
      <c r="D531">
        <v>500</v>
      </c>
      <c r="E531">
        <v>499</v>
      </c>
      <c r="F531">
        <v>1</v>
      </c>
      <c r="G531">
        <v>100</v>
      </c>
      <c r="H531">
        <v>500</v>
      </c>
      <c r="I531">
        <v>0</v>
      </c>
      <c r="J531" t="s">
        <v>1</v>
      </c>
      <c r="K531" t="s">
        <v>2</v>
      </c>
      <c r="L531" s="8">
        <f>InterspecUsage[[#This Row],[Used-MB]]-F521</f>
        <v>0</v>
      </c>
      <c r="M531">
        <f>InterspecUsage[[#This Row],[Max]]-InterspecUsage[[#This Row],[Used-MB]]</f>
        <v>499</v>
      </c>
      <c r="N531" s="5">
        <f>IF($L531&gt;0,InterspecUsage[[#This Row],[Free-of-Max]]/InterspecUsage[[#This Row],[Usage-Delta-MB]],InterspecUsage[[#This Row],[Free-of-Max]])</f>
        <v>499</v>
      </c>
    </row>
    <row r="532" spans="1:14" x14ac:dyDescent="0.25">
      <c r="A532" s="3">
        <v>44620</v>
      </c>
      <c r="B532" t="s">
        <v>26</v>
      </c>
      <c r="C532">
        <v>93</v>
      </c>
      <c r="D532">
        <v>18788</v>
      </c>
      <c r="E532">
        <v>1355</v>
      </c>
      <c r="F532">
        <v>17433</v>
      </c>
      <c r="G532">
        <v>7</v>
      </c>
      <c r="H532">
        <v>40960</v>
      </c>
      <c r="I532">
        <v>43</v>
      </c>
      <c r="J532" t="s">
        <v>1</v>
      </c>
      <c r="K532" t="s">
        <v>2</v>
      </c>
      <c r="L532" s="8">
        <f>InterspecUsage[[#This Row],[Used-MB]]-F522</f>
        <v>1</v>
      </c>
      <c r="M532">
        <f>InterspecUsage[[#This Row],[Max]]-InterspecUsage[[#This Row],[Used-MB]]</f>
        <v>23527</v>
      </c>
      <c r="N532" s="5">
        <f>IF($L532&gt;0,InterspecUsage[[#This Row],[Free-of-Max]]/InterspecUsage[[#This Row],[Usage-Delta-MB]],InterspecUsage[[#This Row],[Free-of-Max]])</f>
        <v>23527</v>
      </c>
    </row>
    <row r="533" spans="1:14" x14ac:dyDescent="0.25">
      <c r="A533" s="3">
        <v>44620</v>
      </c>
      <c r="B533" t="s">
        <v>24</v>
      </c>
      <c r="C533">
        <v>77</v>
      </c>
      <c r="D533">
        <v>18000</v>
      </c>
      <c r="E533">
        <v>4128</v>
      </c>
      <c r="F533">
        <v>13872</v>
      </c>
      <c r="G533">
        <v>23</v>
      </c>
      <c r="H533">
        <v>32768</v>
      </c>
      <c r="I533">
        <v>42</v>
      </c>
      <c r="J533" t="s">
        <v>1</v>
      </c>
      <c r="K533" t="s">
        <v>2</v>
      </c>
      <c r="L533" s="8">
        <f>InterspecUsage[[#This Row],[Used-MB]]-F523</f>
        <v>0</v>
      </c>
      <c r="M533">
        <f>InterspecUsage[[#This Row],[Max]]-InterspecUsage[[#This Row],[Used-MB]]</f>
        <v>18896</v>
      </c>
      <c r="N533" s="5">
        <f>IF($L533&gt;0,InterspecUsage[[#This Row],[Free-of-Max]]/InterspecUsage[[#This Row],[Usage-Delta-MB]],InterspecUsage[[#This Row],[Free-of-Max]])</f>
        <v>18896</v>
      </c>
    </row>
    <row r="534" spans="1:14" x14ac:dyDescent="0.25">
      <c r="A534" s="3">
        <v>44620</v>
      </c>
      <c r="B534" t="s">
        <v>35</v>
      </c>
      <c r="C534">
        <v>95</v>
      </c>
      <c r="D534">
        <v>23000</v>
      </c>
      <c r="E534">
        <v>1173</v>
      </c>
      <c r="F534">
        <v>21827</v>
      </c>
      <c r="G534">
        <v>5</v>
      </c>
      <c r="H534">
        <v>32768</v>
      </c>
      <c r="I534">
        <v>67</v>
      </c>
      <c r="J534" t="s">
        <v>1</v>
      </c>
      <c r="K534" t="s">
        <v>2</v>
      </c>
      <c r="L534" s="8">
        <f>InterspecUsage[[#This Row],[Used-MB]]-F524</f>
        <v>64</v>
      </c>
      <c r="M534">
        <f>InterspecUsage[[#This Row],[Max]]-InterspecUsage[[#This Row],[Used-MB]]</f>
        <v>10941</v>
      </c>
      <c r="N534" s="5">
        <f>IF($L534&gt;0,InterspecUsage[[#This Row],[Free-of-Max]]/InterspecUsage[[#This Row],[Usage-Delta-MB]],InterspecUsage[[#This Row],[Free-of-Max]])</f>
        <v>170.953125</v>
      </c>
    </row>
    <row r="535" spans="1:14" x14ac:dyDescent="0.25">
      <c r="A535" s="3">
        <v>44620</v>
      </c>
      <c r="B535" t="s">
        <v>27</v>
      </c>
      <c r="C535">
        <v>84</v>
      </c>
      <c r="D535">
        <v>131072</v>
      </c>
      <c r="E535">
        <v>21537</v>
      </c>
      <c r="F535">
        <v>109535</v>
      </c>
      <c r="G535">
        <v>16</v>
      </c>
      <c r="H535">
        <v>131072</v>
      </c>
      <c r="I535">
        <v>84</v>
      </c>
      <c r="J535" t="s">
        <v>1</v>
      </c>
      <c r="K535" t="s">
        <v>2</v>
      </c>
      <c r="L535" s="8">
        <f>InterspecUsage[[#This Row],[Used-MB]]-F525</f>
        <v>223</v>
      </c>
      <c r="M535">
        <f>InterspecUsage[[#This Row],[Max]]-InterspecUsage[[#This Row],[Used-MB]]</f>
        <v>21537</v>
      </c>
      <c r="N535" s="5">
        <f>IF($L535&gt;0,InterspecUsage[[#This Row],[Free-of-Max]]/InterspecUsage[[#This Row],[Usage-Delta-MB]],InterspecUsage[[#This Row],[Free-of-Max]])</f>
        <v>96.578475336322867</v>
      </c>
    </row>
    <row r="536" spans="1:14" x14ac:dyDescent="0.25">
      <c r="A536" s="3">
        <v>44620</v>
      </c>
      <c r="B536" t="s">
        <v>7</v>
      </c>
      <c r="C536">
        <v>96</v>
      </c>
      <c r="D536">
        <v>1140</v>
      </c>
      <c r="E536">
        <v>51</v>
      </c>
      <c r="F536">
        <v>1089</v>
      </c>
      <c r="G536">
        <v>4</v>
      </c>
      <c r="H536">
        <v>32768</v>
      </c>
      <c r="I536">
        <v>3</v>
      </c>
      <c r="J536" t="s">
        <v>1</v>
      </c>
      <c r="K536" t="s">
        <v>2</v>
      </c>
      <c r="L536" s="8">
        <f>InterspecUsage[[#This Row],[Used-MB]]-F526</f>
        <v>16</v>
      </c>
      <c r="M536">
        <f>InterspecUsage[[#This Row],[Max]]-InterspecUsage[[#This Row],[Used-MB]]</f>
        <v>31679</v>
      </c>
      <c r="N536" s="5">
        <f>IF($L536&gt;0,InterspecUsage[[#This Row],[Free-of-Max]]/InterspecUsage[[#This Row],[Usage-Delta-MB]],InterspecUsage[[#This Row],[Free-of-Max]])</f>
        <v>1979.9375</v>
      </c>
    </row>
    <row r="537" spans="1:14" x14ac:dyDescent="0.25">
      <c r="A537" s="3">
        <v>44620</v>
      </c>
      <c r="B537" t="s">
        <v>0</v>
      </c>
      <c r="C537">
        <v>100</v>
      </c>
      <c r="D537">
        <v>3210</v>
      </c>
      <c r="E537">
        <v>12</v>
      </c>
      <c r="F537">
        <v>3198</v>
      </c>
      <c r="G537">
        <v>0</v>
      </c>
      <c r="H537">
        <v>32768</v>
      </c>
      <c r="I537">
        <v>10</v>
      </c>
      <c r="J537" t="s">
        <v>1</v>
      </c>
      <c r="K537" t="s">
        <v>2</v>
      </c>
      <c r="L537" s="8">
        <f>InterspecUsage[[#This Row],[Used-MB]]-F527</f>
        <v>0</v>
      </c>
      <c r="M537">
        <f>InterspecUsage[[#This Row],[Max]]-InterspecUsage[[#This Row],[Used-MB]]</f>
        <v>29570</v>
      </c>
      <c r="N537" s="5">
        <f>IF($L537&gt;0,InterspecUsage[[#This Row],[Free-of-Max]]/InterspecUsage[[#This Row],[Usage-Delta-MB]],InterspecUsage[[#This Row],[Free-of-Max]])</f>
        <v>29570</v>
      </c>
    </row>
    <row r="538" spans="1:14" x14ac:dyDescent="0.25">
      <c r="A538" s="3">
        <v>44620</v>
      </c>
      <c r="B538" t="s">
        <v>30</v>
      </c>
      <c r="C538">
        <v>0</v>
      </c>
      <c r="D538">
        <v>32767</v>
      </c>
      <c r="E538">
        <v>32736</v>
      </c>
      <c r="F538">
        <v>31</v>
      </c>
      <c r="G538">
        <v>100</v>
      </c>
      <c r="H538">
        <v>32768</v>
      </c>
      <c r="I538">
        <v>0</v>
      </c>
      <c r="J538" t="s">
        <v>1</v>
      </c>
      <c r="K538" t="s">
        <v>13</v>
      </c>
      <c r="L538" s="8">
        <f>InterspecUsage[[#This Row],[Used-MB]]-F528</f>
        <v>12</v>
      </c>
      <c r="M538">
        <f>InterspecUsage[[#This Row],[Max]]-InterspecUsage[[#This Row],[Used-MB]]</f>
        <v>32737</v>
      </c>
      <c r="N538" s="5">
        <f>IF($L538&gt;0,InterspecUsage[[#This Row],[Free-of-Max]]/InterspecUsage[[#This Row],[Usage-Delta-MB]],InterspecUsage[[#This Row],[Free-of-Max]])</f>
        <v>2728.0833333333335</v>
      </c>
    </row>
    <row r="539" spans="1:14" x14ac:dyDescent="0.25">
      <c r="A539" s="3">
        <v>44620</v>
      </c>
      <c r="B539" t="s">
        <v>28</v>
      </c>
      <c r="C539">
        <v>25</v>
      </c>
      <c r="D539">
        <v>16400</v>
      </c>
      <c r="E539">
        <v>12236</v>
      </c>
      <c r="F539">
        <v>4164</v>
      </c>
      <c r="G539">
        <v>75</v>
      </c>
      <c r="H539">
        <v>32768</v>
      </c>
      <c r="I539">
        <v>13</v>
      </c>
      <c r="J539" t="s">
        <v>1</v>
      </c>
      <c r="K539" t="s">
        <v>10</v>
      </c>
      <c r="L539" s="8">
        <f>InterspecUsage[[#This Row],[Used-MB]]-F529</f>
        <v>216</v>
      </c>
      <c r="M539">
        <f>InterspecUsage[[#This Row],[Max]]-InterspecUsage[[#This Row],[Used-MB]]</f>
        <v>28604</v>
      </c>
      <c r="N539" s="5">
        <f>IF($L539&gt;0,InterspecUsage[[#This Row],[Free-of-Max]]/InterspecUsage[[#This Row],[Usage-Delta-MB]],InterspecUsage[[#This Row],[Free-of-Max]])</f>
        <v>132.42592592592592</v>
      </c>
    </row>
    <row r="540" spans="1:14" x14ac:dyDescent="0.25">
      <c r="A540" s="3">
        <v>44620</v>
      </c>
      <c r="B540" t="s">
        <v>25</v>
      </c>
      <c r="C540">
        <v>84</v>
      </c>
      <c r="D540">
        <v>11800</v>
      </c>
      <c r="E540">
        <v>1836</v>
      </c>
      <c r="F540">
        <v>9964</v>
      </c>
      <c r="G540">
        <v>16</v>
      </c>
      <c r="H540">
        <v>32768</v>
      </c>
      <c r="I540">
        <v>30</v>
      </c>
      <c r="J540" t="s">
        <v>1</v>
      </c>
      <c r="K540" t="s">
        <v>2</v>
      </c>
      <c r="L540" s="8">
        <f>InterspecUsage[[#This Row],[Used-MB]]-F530</f>
        <v>0</v>
      </c>
      <c r="M540">
        <f>InterspecUsage[[#This Row],[Max]]-InterspecUsage[[#This Row],[Used-MB]]</f>
        <v>22804</v>
      </c>
      <c r="N540" s="5">
        <f>IF($L540&gt;0,InterspecUsage[[#This Row],[Free-of-Max]]/InterspecUsage[[#This Row],[Usage-Delta-MB]],InterspecUsage[[#This Row],[Free-of-Max]])</f>
        <v>22804</v>
      </c>
    </row>
    <row r="541" spans="1:14" x14ac:dyDescent="0.25">
      <c r="A541" s="3">
        <v>44620</v>
      </c>
      <c r="B541" t="s">
        <v>29</v>
      </c>
      <c r="C541">
        <v>0</v>
      </c>
      <c r="D541">
        <v>500</v>
      </c>
      <c r="E541">
        <v>499</v>
      </c>
      <c r="F541">
        <v>1</v>
      </c>
      <c r="G541">
        <v>100</v>
      </c>
      <c r="H541">
        <v>500</v>
      </c>
      <c r="I541">
        <v>0</v>
      </c>
      <c r="J541" t="s">
        <v>1</v>
      </c>
      <c r="K541" t="s">
        <v>2</v>
      </c>
      <c r="L541" s="8">
        <f>InterspecUsage[[#This Row],[Used-MB]]-F531</f>
        <v>0</v>
      </c>
      <c r="M541">
        <f>InterspecUsage[[#This Row],[Max]]-InterspecUsage[[#This Row],[Used-MB]]</f>
        <v>499</v>
      </c>
      <c r="N541" s="5">
        <f>IF($L541&gt;0,InterspecUsage[[#This Row],[Free-of-Max]]/InterspecUsage[[#This Row],[Usage-Delta-MB]],InterspecUsage[[#This Row],[Free-of-Max]])</f>
        <v>499</v>
      </c>
    </row>
    <row r="542" spans="1:14" x14ac:dyDescent="0.25">
      <c r="A542" s="3">
        <v>44630</v>
      </c>
      <c r="B542" t="s">
        <v>26</v>
      </c>
      <c r="C542">
        <v>94</v>
      </c>
      <c r="D542">
        <v>18788</v>
      </c>
      <c r="E542">
        <v>1162</v>
      </c>
      <c r="F542">
        <v>17626</v>
      </c>
      <c r="G542">
        <v>6</v>
      </c>
      <c r="H542">
        <v>40960</v>
      </c>
      <c r="I542">
        <v>43</v>
      </c>
      <c r="J542" t="s">
        <v>1</v>
      </c>
      <c r="K542" t="s">
        <v>2</v>
      </c>
      <c r="L542" s="8">
        <f>InterspecUsage[[#This Row],[Used-MB]]-F532</f>
        <v>193</v>
      </c>
      <c r="M542">
        <f>InterspecUsage[[#This Row],[Max]]-InterspecUsage[[#This Row],[Used-MB]]</f>
        <v>23334</v>
      </c>
      <c r="N542" s="5">
        <f>IF($L542&gt;0,InterspecUsage[[#This Row],[Free-of-Max]]/InterspecUsage[[#This Row],[Usage-Delta-MB]],InterspecUsage[[#This Row],[Free-of-Max]])</f>
        <v>120.90155440414507</v>
      </c>
    </row>
    <row r="543" spans="1:14" x14ac:dyDescent="0.25">
      <c r="A543" s="3">
        <v>44630</v>
      </c>
      <c r="B543" t="s">
        <v>24</v>
      </c>
      <c r="C543">
        <v>77</v>
      </c>
      <c r="D543">
        <v>18000</v>
      </c>
      <c r="E543">
        <v>4056</v>
      </c>
      <c r="F543">
        <v>13944</v>
      </c>
      <c r="G543">
        <v>23</v>
      </c>
      <c r="H543">
        <v>32768</v>
      </c>
      <c r="I543">
        <v>43</v>
      </c>
      <c r="J543" t="s">
        <v>1</v>
      </c>
      <c r="K543" t="s">
        <v>2</v>
      </c>
      <c r="L543" s="8">
        <f>InterspecUsage[[#This Row],[Used-MB]]-F533</f>
        <v>72</v>
      </c>
      <c r="M543">
        <f>InterspecUsage[[#This Row],[Max]]-InterspecUsage[[#This Row],[Used-MB]]</f>
        <v>18824</v>
      </c>
      <c r="N543" s="5">
        <f>IF($L543&gt;0,InterspecUsage[[#This Row],[Free-of-Max]]/InterspecUsage[[#This Row],[Usage-Delta-MB]],InterspecUsage[[#This Row],[Free-of-Max]])</f>
        <v>261.44444444444446</v>
      </c>
    </row>
    <row r="544" spans="1:14" x14ac:dyDescent="0.25">
      <c r="A544" s="3">
        <v>44630</v>
      </c>
      <c r="B544" t="s">
        <v>35</v>
      </c>
      <c r="C544">
        <v>95</v>
      </c>
      <c r="D544">
        <v>23000</v>
      </c>
      <c r="E544">
        <v>1109</v>
      </c>
      <c r="F544">
        <v>21891</v>
      </c>
      <c r="G544">
        <v>5</v>
      </c>
      <c r="H544">
        <v>32768</v>
      </c>
      <c r="I544">
        <v>67</v>
      </c>
      <c r="J544" t="s">
        <v>1</v>
      </c>
      <c r="K544" t="s">
        <v>2</v>
      </c>
      <c r="L544" s="8">
        <f>InterspecUsage[[#This Row],[Used-MB]]-F534</f>
        <v>64</v>
      </c>
      <c r="M544">
        <f>InterspecUsage[[#This Row],[Max]]-InterspecUsage[[#This Row],[Used-MB]]</f>
        <v>10877</v>
      </c>
      <c r="N544" s="5">
        <f>IF($L544&gt;0,InterspecUsage[[#This Row],[Free-of-Max]]/InterspecUsage[[#This Row],[Usage-Delta-MB]],InterspecUsage[[#This Row],[Free-of-Max]])</f>
        <v>169.953125</v>
      </c>
    </row>
    <row r="545" spans="1:14" x14ac:dyDescent="0.25">
      <c r="A545" s="3">
        <v>44630</v>
      </c>
      <c r="B545" t="s">
        <v>27</v>
      </c>
      <c r="C545">
        <v>84</v>
      </c>
      <c r="D545">
        <v>131072</v>
      </c>
      <c r="E545">
        <v>21306</v>
      </c>
      <c r="F545">
        <v>109766</v>
      </c>
      <c r="G545">
        <v>16</v>
      </c>
      <c r="H545">
        <v>131072</v>
      </c>
      <c r="I545">
        <v>84</v>
      </c>
      <c r="J545" t="s">
        <v>1</v>
      </c>
      <c r="K545" t="s">
        <v>2</v>
      </c>
      <c r="L545" s="8">
        <f>InterspecUsage[[#This Row],[Used-MB]]-F535</f>
        <v>231</v>
      </c>
      <c r="M545">
        <f>InterspecUsage[[#This Row],[Max]]-InterspecUsage[[#This Row],[Used-MB]]</f>
        <v>21306</v>
      </c>
      <c r="N545" s="5">
        <f>IF($L545&gt;0,InterspecUsage[[#This Row],[Free-of-Max]]/InterspecUsage[[#This Row],[Usage-Delta-MB]],InterspecUsage[[#This Row],[Free-of-Max]])</f>
        <v>92.233766233766232</v>
      </c>
    </row>
    <row r="546" spans="1:14" x14ac:dyDescent="0.25">
      <c r="A546" s="3">
        <v>44630</v>
      </c>
      <c r="B546" t="s">
        <v>7</v>
      </c>
      <c r="C546">
        <v>96</v>
      </c>
      <c r="D546">
        <v>1140</v>
      </c>
      <c r="E546">
        <v>49</v>
      </c>
      <c r="F546">
        <v>1091</v>
      </c>
      <c r="G546">
        <v>4</v>
      </c>
      <c r="H546">
        <v>32768</v>
      </c>
      <c r="I546">
        <v>3</v>
      </c>
      <c r="J546" t="s">
        <v>1</v>
      </c>
      <c r="K546" t="s">
        <v>2</v>
      </c>
      <c r="L546" s="8">
        <f>InterspecUsage[[#This Row],[Used-MB]]-F536</f>
        <v>2</v>
      </c>
      <c r="M546">
        <f>InterspecUsage[[#This Row],[Max]]-InterspecUsage[[#This Row],[Used-MB]]</f>
        <v>31677</v>
      </c>
      <c r="N546" s="5">
        <f>IF($L546&gt;0,InterspecUsage[[#This Row],[Free-of-Max]]/InterspecUsage[[#This Row],[Usage-Delta-MB]],InterspecUsage[[#This Row],[Free-of-Max]])</f>
        <v>15838.5</v>
      </c>
    </row>
    <row r="547" spans="1:14" x14ac:dyDescent="0.25">
      <c r="A547" s="3">
        <v>44630</v>
      </c>
      <c r="B547" t="s">
        <v>0</v>
      </c>
      <c r="C547">
        <v>100</v>
      </c>
      <c r="D547">
        <v>3210</v>
      </c>
      <c r="E547">
        <v>12</v>
      </c>
      <c r="F547">
        <v>3198</v>
      </c>
      <c r="G547">
        <v>0</v>
      </c>
      <c r="H547">
        <v>32768</v>
      </c>
      <c r="I547">
        <v>10</v>
      </c>
      <c r="J547" t="s">
        <v>1</v>
      </c>
      <c r="K547" t="s">
        <v>2</v>
      </c>
      <c r="L547" s="8">
        <f>InterspecUsage[[#This Row],[Used-MB]]-F537</f>
        <v>0</v>
      </c>
      <c r="M547">
        <f>InterspecUsage[[#This Row],[Max]]-InterspecUsage[[#This Row],[Used-MB]]</f>
        <v>29570</v>
      </c>
      <c r="N547" s="5">
        <f>IF($L547&gt;0,InterspecUsage[[#This Row],[Free-of-Max]]/InterspecUsage[[#This Row],[Usage-Delta-MB]],InterspecUsage[[#This Row],[Free-of-Max]])</f>
        <v>29570</v>
      </c>
    </row>
    <row r="548" spans="1:14" x14ac:dyDescent="0.25">
      <c r="A548" s="3">
        <v>44630</v>
      </c>
      <c r="B548" t="s">
        <v>30</v>
      </c>
      <c r="C548">
        <v>0</v>
      </c>
      <c r="D548">
        <v>32767</v>
      </c>
      <c r="E548">
        <v>32732</v>
      </c>
      <c r="F548">
        <v>35</v>
      </c>
      <c r="G548">
        <v>100</v>
      </c>
      <c r="H548">
        <v>32768</v>
      </c>
      <c r="I548">
        <v>0</v>
      </c>
      <c r="J548" t="s">
        <v>1</v>
      </c>
      <c r="K548" t="s">
        <v>13</v>
      </c>
      <c r="L548" s="8">
        <f>InterspecUsage[[#This Row],[Used-MB]]-F538</f>
        <v>4</v>
      </c>
      <c r="M548">
        <f>InterspecUsage[[#This Row],[Max]]-InterspecUsage[[#This Row],[Used-MB]]</f>
        <v>32733</v>
      </c>
      <c r="N548" s="5">
        <f>IF($L548&gt;0,InterspecUsage[[#This Row],[Free-of-Max]]/InterspecUsage[[#This Row],[Usage-Delta-MB]],InterspecUsage[[#This Row],[Free-of-Max]])</f>
        <v>8183.25</v>
      </c>
    </row>
    <row r="549" spans="1:14" x14ac:dyDescent="0.25">
      <c r="A549" s="3">
        <v>44630</v>
      </c>
      <c r="B549" t="s">
        <v>28</v>
      </c>
      <c r="C549">
        <v>25</v>
      </c>
      <c r="D549">
        <v>16400</v>
      </c>
      <c r="E549">
        <v>12338</v>
      </c>
      <c r="F549">
        <v>4063</v>
      </c>
      <c r="G549">
        <v>75</v>
      </c>
      <c r="H549">
        <v>32768</v>
      </c>
      <c r="I549">
        <v>12</v>
      </c>
      <c r="J549" t="s">
        <v>1</v>
      </c>
      <c r="K549" t="s">
        <v>10</v>
      </c>
      <c r="L549" s="8">
        <f>InterspecUsage[[#This Row],[Used-MB]]-F539</f>
        <v>-101</v>
      </c>
      <c r="M549">
        <f>InterspecUsage[[#This Row],[Max]]-InterspecUsage[[#This Row],[Used-MB]]</f>
        <v>28705</v>
      </c>
      <c r="N549" s="5">
        <f>IF($L549&gt;0,InterspecUsage[[#This Row],[Free-of-Max]]/InterspecUsage[[#This Row],[Usage-Delta-MB]],InterspecUsage[[#This Row],[Free-of-Max]])</f>
        <v>28705</v>
      </c>
    </row>
    <row r="550" spans="1:14" x14ac:dyDescent="0.25">
      <c r="A550" s="3">
        <v>44630</v>
      </c>
      <c r="B550" t="s">
        <v>25</v>
      </c>
      <c r="C550">
        <v>86</v>
      </c>
      <c r="D550">
        <v>11800</v>
      </c>
      <c r="E550">
        <v>1700</v>
      </c>
      <c r="F550">
        <v>10100</v>
      </c>
      <c r="G550">
        <v>14</v>
      </c>
      <c r="H550">
        <v>32768</v>
      </c>
      <c r="I550">
        <v>31</v>
      </c>
      <c r="J550" t="s">
        <v>1</v>
      </c>
      <c r="K550" t="s">
        <v>2</v>
      </c>
      <c r="L550" s="8">
        <f>InterspecUsage[[#This Row],[Used-MB]]-F540</f>
        <v>136</v>
      </c>
      <c r="M550">
        <f>InterspecUsage[[#This Row],[Max]]-InterspecUsage[[#This Row],[Used-MB]]</f>
        <v>22668</v>
      </c>
      <c r="N550" s="5">
        <f>IF($L550&gt;0,InterspecUsage[[#This Row],[Free-of-Max]]/InterspecUsage[[#This Row],[Usage-Delta-MB]],InterspecUsage[[#This Row],[Free-of-Max]])</f>
        <v>166.6764705882353</v>
      </c>
    </row>
    <row r="551" spans="1:14" x14ac:dyDescent="0.25">
      <c r="A551" s="3">
        <v>44630</v>
      </c>
      <c r="B551" t="s">
        <v>29</v>
      </c>
      <c r="C551">
        <v>0</v>
      </c>
      <c r="D551">
        <v>500</v>
      </c>
      <c r="E551">
        <v>499</v>
      </c>
      <c r="F551">
        <v>1</v>
      </c>
      <c r="G551">
        <v>100</v>
      </c>
      <c r="H551">
        <v>500</v>
      </c>
      <c r="I551">
        <v>0</v>
      </c>
      <c r="J551" t="s">
        <v>1</v>
      </c>
      <c r="K551" t="s">
        <v>2</v>
      </c>
      <c r="L551" s="8">
        <f>InterspecUsage[[#This Row],[Used-MB]]-F541</f>
        <v>0</v>
      </c>
      <c r="M551">
        <f>InterspecUsage[[#This Row],[Max]]-InterspecUsage[[#This Row],[Used-MB]]</f>
        <v>499</v>
      </c>
      <c r="N551" s="5">
        <f>IF($L551&gt;0,InterspecUsage[[#This Row],[Free-of-Max]]/InterspecUsage[[#This Row],[Usage-Delta-MB]],InterspecUsage[[#This Row],[Free-of-Max]])</f>
        <v>499</v>
      </c>
    </row>
    <row r="552" spans="1:14" x14ac:dyDescent="0.25">
      <c r="A552" s="3">
        <v>44634</v>
      </c>
      <c r="B552" t="s">
        <v>26</v>
      </c>
      <c r="C552">
        <v>94</v>
      </c>
      <c r="D552">
        <v>18788</v>
      </c>
      <c r="E552">
        <v>1162</v>
      </c>
      <c r="F552">
        <v>17626</v>
      </c>
      <c r="G552">
        <v>6</v>
      </c>
      <c r="H552">
        <v>40960</v>
      </c>
      <c r="I552">
        <v>43</v>
      </c>
      <c r="J552" t="s">
        <v>1</v>
      </c>
      <c r="K552" t="s">
        <v>2</v>
      </c>
      <c r="L552" s="8">
        <f>InterspecUsage[[#This Row],[Used-MB]]-F542</f>
        <v>0</v>
      </c>
      <c r="M552">
        <f>InterspecUsage[[#This Row],[Max]]-InterspecUsage[[#This Row],[Used-MB]]</f>
        <v>23334</v>
      </c>
      <c r="N552" s="5">
        <f>IF($L552&gt;0,InterspecUsage[[#This Row],[Free-of-Max]]/InterspecUsage[[#This Row],[Usage-Delta-MB]],InterspecUsage[[#This Row],[Free-of-Max]])</f>
        <v>23334</v>
      </c>
    </row>
    <row r="553" spans="1:14" x14ac:dyDescent="0.25">
      <c r="A553" s="3">
        <v>44634</v>
      </c>
      <c r="B553" t="s">
        <v>24</v>
      </c>
      <c r="C553">
        <v>77</v>
      </c>
      <c r="D553">
        <v>18000</v>
      </c>
      <c r="E553">
        <v>4056</v>
      </c>
      <c r="F553">
        <v>13944</v>
      </c>
      <c r="G553">
        <v>23</v>
      </c>
      <c r="H553">
        <v>32768</v>
      </c>
      <c r="I553">
        <v>43</v>
      </c>
      <c r="J553" t="s">
        <v>1</v>
      </c>
      <c r="K553" t="s">
        <v>2</v>
      </c>
      <c r="L553" s="8">
        <f>InterspecUsage[[#This Row],[Used-MB]]-F543</f>
        <v>0</v>
      </c>
      <c r="M553">
        <f>InterspecUsage[[#This Row],[Max]]-InterspecUsage[[#This Row],[Used-MB]]</f>
        <v>18824</v>
      </c>
      <c r="N553" s="5">
        <f>IF($L553&gt;0,InterspecUsage[[#This Row],[Free-of-Max]]/InterspecUsage[[#This Row],[Usage-Delta-MB]],InterspecUsage[[#This Row],[Free-of-Max]])</f>
        <v>18824</v>
      </c>
    </row>
    <row r="554" spans="1:14" x14ac:dyDescent="0.25">
      <c r="A554" s="3">
        <v>44634</v>
      </c>
      <c r="B554" t="s">
        <v>35</v>
      </c>
      <c r="C554">
        <v>95</v>
      </c>
      <c r="D554">
        <v>23000</v>
      </c>
      <c r="E554">
        <v>1109</v>
      </c>
      <c r="F554">
        <v>21891</v>
      </c>
      <c r="G554">
        <v>5</v>
      </c>
      <c r="H554">
        <v>32768</v>
      </c>
      <c r="I554">
        <v>67</v>
      </c>
      <c r="J554" t="s">
        <v>1</v>
      </c>
      <c r="K554" t="s">
        <v>2</v>
      </c>
      <c r="L554" s="8">
        <f>InterspecUsage[[#This Row],[Used-MB]]-F544</f>
        <v>0</v>
      </c>
      <c r="M554">
        <f>InterspecUsage[[#This Row],[Max]]-InterspecUsage[[#This Row],[Used-MB]]</f>
        <v>10877</v>
      </c>
      <c r="N554" s="5">
        <f>IF($L554&gt;0,InterspecUsage[[#This Row],[Free-of-Max]]/InterspecUsage[[#This Row],[Usage-Delta-MB]],InterspecUsage[[#This Row],[Free-of-Max]])</f>
        <v>10877</v>
      </c>
    </row>
    <row r="555" spans="1:14" x14ac:dyDescent="0.25">
      <c r="A555" s="3">
        <v>44634</v>
      </c>
      <c r="B555" t="s">
        <v>27</v>
      </c>
      <c r="C555">
        <v>84</v>
      </c>
      <c r="D555">
        <v>131072</v>
      </c>
      <c r="E555">
        <v>21273</v>
      </c>
      <c r="F555">
        <v>109799</v>
      </c>
      <c r="G555">
        <v>16</v>
      </c>
      <c r="H555">
        <v>131072</v>
      </c>
      <c r="I555">
        <v>84</v>
      </c>
      <c r="J555" t="s">
        <v>1</v>
      </c>
      <c r="K555" t="s">
        <v>2</v>
      </c>
      <c r="L555" s="8">
        <f>InterspecUsage[[#This Row],[Used-MB]]-F545</f>
        <v>33</v>
      </c>
      <c r="M555">
        <f>InterspecUsage[[#This Row],[Max]]-InterspecUsage[[#This Row],[Used-MB]]</f>
        <v>21273</v>
      </c>
      <c r="N555" s="5">
        <f>IF($L555&gt;0,InterspecUsage[[#This Row],[Free-of-Max]]/InterspecUsage[[#This Row],[Usage-Delta-MB]],InterspecUsage[[#This Row],[Free-of-Max]])</f>
        <v>644.63636363636363</v>
      </c>
    </row>
    <row r="556" spans="1:14" x14ac:dyDescent="0.25">
      <c r="A556" s="3">
        <v>44634</v>
      </c>
      <c r="B556" t="s">
        <v>7</v>
      </c>
      <c r="C556">
        <v>95</v>
      </c>
      <c r="D556">
        <v>1160</v>
      </c>
      <c r="E556">
        <v>61</v>
      </c>
      <c r="F556">
        <v>1100</v>
      </c>
      <c r="G556">
        <v>5</v>
      </c>
      <c r="H556">
        <v>32768</v>
      </c>
      <c r="I556">
        <v>3</v>
      </c>
      <c r="J556" t="s">
        <v>1</v>
      </c>
      <c r="K556" t="s">
        <v>2</v>
      </c>
      <c r="L556" s="8">
        <f>InterspecUsage[[#This Row],[Used-MB]]-F546</f>
        <v>9</v>
      </c>
      <c r="M556">
        <f>InterspecUsage[[#This Row],[Max]]-InterspecUsage[[#This Row],[Used-MB]]</f>
        <v>31668</v>
      </c>
      <c r="N556" s="5">
        <f>IF($L556&gt;0,InterspecUsage[[#This Row],[Free-of-Max]]/InterspecUsage[[#This Row],[Usage-Delta-MB]],InterspecUsage[[#This Row],[Free-of-Max]])</f>
        <v>3518.6666666666665</v>
      </c>
    </row>
    <row r="557" spans="1:14" x14ac:dyDescent="0.25">
      <c r="A557" s="3">
        <v>44634</v>
      </c>
      <c r="B557" t="s">
        <v>0</v>
      </c>
      <c r="C557">
        <v>100</v>
      </c>
      <c r="D557">
        <v>3210</v>
      </c>
      <c r="E557">
        <v>12</v>
      </c>
      <c r="F557">
        <v>3198</v>
      </c>
      <c r="G557">
        <v>0</v>
      </c>
      <c r="H557">
        <v>32768</v>
      </c>
      <c r="I557">
        <v>10</v>
      </c>
      <c r="J557" t="s">
        <v>1</v>
      </c>
      <c r="K557" t="s">
        <v>2</v>
      </c>
      <c r="L557" s="8">
        <f>InterspecUsage[[#This Row],[Used-MB]]-F547</f>
        <v>0</v>
      </c>
      <c r="M557">
        <f>InterspecUsage[[#This Row],[Max]]-InterspecUsage[[#This Row],[Used-MB]]</f>
        <v>29570</v>
      </c>
      <c r="N557" s="5">
        <f>IF($L557&gt;0,InterspecUsage[[#This Row],[Free-of-Max]]/InterspecUsage[[#This Row],[Usage-Delta-MB]],InterspecUsage[[#This Row],[Free-of-Max]])</f>
        <v>29570</v>
      </c>
    </row>
    <row r="558" spans="1:14" x14ac:dyDescent="0.25">
      <c r="A558" s="3">
        <v>44634</v>
      </c>
      <c r="B558" t="s">
        <v>30</v>
      </c>
      <c r="C558">
        <v>0</v>
      </c>
      <c r="D558">
        <v>32767</v>
      </c>
      <c r="E558">
        <v>32737</v>
      </c>
      <c r="F558">
        <v>30</v>
      </c>
      <c r="G558">
        <v>100</v>
      </c>
      <c r="H558">
        <v>32768</v>
      </c>
      <c r="I558">
        <v>0</v>
      </c>
      <c r="J558" t="s">
        <v>1</v>
      </c>
      <c r="K558" t="s">
        <v>13</v>
      </c>
      <c r="L558" s="8">
        <f>InterspecUsage[[#This Row],[Used-MB]]-F548</f>
        <v>-5</v>
      </c>
      <c r="M558">
        <f>InterspecUsage[[#This Row],[Max]]-InterspecUsage[[#This Row],[Used-MB]]</f>
        <v>32738</v>
      </c>
      <c r="N558" s="5">
        <f>IF($L558&gt;0,InterspecUsage[[#This Row],[Free-of-Max]]/InterspecUsage[[#This Row],[Usage-Delta-MB]],InterspecUsage[[#This Row],[Free-of-Max]])</f>
        <v>32738</v>
      </c>
    </row>
    <row r="559" spans="1:14" x14ac:dyDescent="0.25">
      <c r="A559" s="3">
        <v>44634</v>
      </c>
      <c r="B559" t="s">
        <v>28</v>
      </c>
      <c r="C559">
        <v>25</v>
      </c>
      <c r="D559">
        <v>16400</v>
      </c>
      <c r="E559">
        <v>12377</v>
      </c>
      <c r="F559">
        <v>4023</v>
      </c>
      <c r="G559">
        <v>75</v>
      </c>
      <c r="H559">
        <v>32768</v>
      </c>
      <c r="I559">
        <v>12</v>
      </c>
      <c r="J559" t="s">
        <v>1</v>
      </c>
      <c r="K559" t="s">
        <v>10</v>
      </c>
      <c r="L559" s="8">
        <f>InterspecUsage[[#This Row],[Used-MB]]-F549</f>
        <v>-40</v>
      </c>
      <c r="M559">
        <f>InterspecUsage[[#This Row],[Max]]-InterspecUsage[[#This Row],[Used-MB]]</f>
        <v>28745</v>
      </c>
      <c r="N559" s="5">
        <f>IF($L559&gt;0,InterspecUsage[[#This Row],[Free-of-Max]]/InterspecUsage[[#This Row],[Usage-Delta-MB]],InterspecUsage[[#This Row],[Free-of-Max]])</f>
        <v>28745</v>
      </c>
    </row>
    <row r="560" spans="1:14" x14ac:dyDescent="0.25">
      <c r="A560" s="3">
        <v>44634</v>
      </c>
      <c r="B560" t="s">
        <v>25</v>
      </c>
      <c r="C560">
        <v>86</v>
      </c>
      <c r="D560">
        <v>11800</v>
      </c>
      <c r="E560">
        <v>1700</v>
      </c>
      <c r="F560">
        <v>10100</v>
      </c>
      <c r="G560">
        <v>14</v>
      </c>
      <c r="H560">
        <v>32768</v>
      </c>
      <c r="I560">
        <v>31</v>
      </c>
      <c r="J560" t="s">
        <v>1</v>
      </c>
      <c r="K560" t="s">
        <v>2</v>
      </c>
      <c r="L560" s="8">
        <f>InterspecUsage[[#This Row],[Used-MB]]-F550</f>
        <v>0</v>
      </c>
      <c r="M560">
        <f>InterspecUsage[[#This Row],[Max]]-InterspecUsage[[#This Row],[Used-MB]]</f>
        <v>22668</v>
      </c>
      <c r="N560" s="5">
        <f>IF($L560&gt;0,InterspecUsage[[#This Row],[Free-of-Max]]/InterspecUsage[[#This Row],[Usage-Delta-MB]],InterspecUsage[[#This Row],[Free-of-Max]])</f>
        <v>22668</v>
      </c>
    </row>
    <row r="561" spans="1:14" x14ac:dyDescent="0.25">
      <c r="A561" s="3">
        <v>44634</v>
      </c>
      <c r="B561" t="s">
        <v>29</v>
      </c>
      <c r="C561">
        <v>0</v>
      </c>
      <c r="D561">
        <v>500</v>
      </c>
      <c r="E561">
        <v>499</v>
      </c>
      <c r="F561">
        <v>1</v>
      </c>
      <c r="G561">
        <v>100</v>
      </c>
      <c r="H561">
        <v>500</v>
      </c>
      <c r="I561">
        <v>0</v>
      </c>
      <c r="J561" t="s">
        <v>1</v>
      </c>
      <c r="K561" t="s">
        <v>2</v>
      </c>
      <c r="L561" s="8">
        <f>InterspecUsage[[#This Row],[Used-MB]]-F551</f>
        <v>0</v>
      </c>
      <c r="M561">
        <f>InterspecUsage[[#This Row],[Max]]-InterspecUsage[[#This Row],[Used-MB]]</f>
        <v>499</v>
      </c>
      <c r="N561" s="5">
        <f>IF($L561&gt;0,InterspecUsage[[#This Row],[Free-of-Max]]/InterspecUsage[[#This Row],[Usage-Delta-MB]],InterspecUsage[[#This Row],[Free-of-Max]])</f>
        <v>499</v>
      </c>
    </row>
    <row r="562" spans="1:14" x14ac:dyDescent="0.25">
      <c r="A562" s="3">
        <v>44641</v>
      </c>
      <c r="B562" t="s">
        <v>26</v>
      </c>
      <c r="C562">
        <v>94</v>
      </c>
      <c r="D562">
        <v>18788</v>
      </c>
      <c r="E562">
        <v>1098</v>
      </c>
      <c r="F562">
        <v>17690</v>
      </c>
      <c r="G562">
        <v>6</v>
      </c>
      <c r="H562">
        <v>40960</v>
      </c>
      <c r="I562">
        <v>43</v>
      </c>
      <c r="J562" t="s">
        <v>1</v>
      </c>
      <c r="K562" t="s">
        <v>2</v>
      </c>
      <c r="L562" s="8">
        <f>InterspecUsage[[#This Row],[Used-MB]]-F552</f>
        <v>64</v>
      </c>
      <c r="M562">
        <f>InterspecUsage[[#This Row],[Max]]-InterspecUsage[[#This Row],[Used-MB]]</f>
        <v>23270</v>
      </c>
      <c r="N562" s="5">
        <f>IF($L562&gt;0,InterspecUsage[[#This Row],[Free-of-Max]]/InterspecUsage[[#This Row],[Usage-Delta-MB]],InterspecUsage[[#This Row],[Free-of-Max]])</f>
        <v>363.59375</v>
      </c>
    </row>
    <row r="563" spans="1:14" x14ac:dyDescent="0.25">
      <c r="A563" s="3">
        <v>44641</v>
      </c>
      <c r="B563" t="s">
        <v>24</v>
      </c>
      <c r="C563">
        <v>77</v>
      </c>
      <c r="D563">
        <v>18000</v>
      </c>
      <c r="E563">
        <v>4055</v>
      </c>
      <c r="F563">
        <v>13945</v>
      </c>
      <c r="G563">
        <v>23</v>
      </c>
      <c r="H563">
        <v>32768</v>
      </c>
      <c r="I563">
        <v>43</v>
      </c>
      <c r="J563" t="s">
        <v>1</v>
      </c>
      <c r="K563" t="s">
        <v>2</v>
      </c>
      <c r="L563" s="8">
        <f>InterspecUsage[[#This Row],[Used-MB]]-F553</f>
        <v>1</v>
      </c>
      <c r="M563">
        <f>InterspecUsage[[#This Row],[Max]]-InterspecUsage[[#This Row],[Used-MB]]</f>
        <v>18823</v>
      </c>
      <c r="N563" s="5">
        <f>IF($L563&gt;0,InterspecUsage[[#This Row],[Free-of-Max]]/InterspecUsage[[#This Row],[Usage-Delta-MB]],InterspecUsage[[#This Row],[Free-of-Max]])</f>
        <v>18823</v>
      </c>
    </row>
    <row r="564" spans="1:14" x14ac:dyDescent="0.25">
      <c r="A564" s="3">
        <v>44641</v>
      </c>
      <c r="B564" t="s">
        <v>35</v>
      </c>
      <c r="C564">
        <v>95</v>
      </c>
      <c r="D564">
        <v>23000</v>
      </c>
      <c r="E564">
        <v>1045</v>
      </c>
      <c r="F564">
        <v>21955</v>
      </c>
      <c r="G564">
        <v>5</v>
      </c>
      <c r="H564">
        <v>32768</v>
      </c>
      <c r="I564">
        <v>67</v>
      </c>
      <c r="J564" t="s">
        <v>1</v>
      </c>
      <c r="K564" t="s">
        <v>2</v>
      </c>
      <c r="L564" s="8">
        <f>InterspecUsage[[#This Row],[Used-MB]]-F554</f>
        <v>64</v>
      </c>
      <c r="M564">
        <f>InterspecUsage[[#This Row],[Max]]-InterspecUsage[[#This Row],[Used-MB]]</f>
        <v>10813</v>
      </c>
      <c r="N564" s="5">
        <f>IF($L564&gt;0,InterspecUsage[[#This Row],[Free-of-Max]]/InterspecUsage[[#This Row],[Usage-Delta-MB]],InterspecUsage[[#This Row],[Free-of-Max]])</f>
        <v>168.953125</v>
      </c>
    </row>
    <row r="565" spans="1:14" x14ac:dyDescent="0.25">
      <c r="A565" s="3">
        <v>44641</v>
      </c>
      <c r="B565" t="s">
        <v>27</v>
      </c>
      <c r="C565">
        <v>84</v>
      </c>
      <c r="D565">
        <v>131072</v>
      </c>
      <c r="E565">
        <v>20988</v>
      </c>
      <c r="F565">
        <v>110084</v>
      </c>
      <c r="G565">
        <v>16</v>
      </c>
      <c r="H565">
        <v>131072</v>
      </c>
      <c r="I565">
        <v>84</v>
      </c>
      <c r="J565" t="s">
        <v>1</v>
      </c>
      <c r="K565" t="s">
        <v>2</v>
      </c>
      <c r="L565" s="8">
        <f>InterspecUsage[[#This Row],[Used-MB]]-F555</f>
        <v>285</v>
      </c>
      <c r="M565">
        <f>InterspecUsage[[#This Row],[Max]]-InterspecUsage[[#This Row],[Used-MB]]</f>
        <v>20988</v>
      </c>
      <c r="N565" s="5">
        <f>IF($L565&gt;0,InterspecUsage[[#This Row],[Free-of-Max]]/InterspecUsage[[#This Row],[Usage-Delta-MB]],InterspecUsage[[#This Row],[Free-of-Max]])</f>
        <v>73.642105263157902</v>
      </c>
    </row>
    <row r="566" spans="1:14" x14ac:dyDescent="0.25">
      <c r="A566" s="3">
        <v>44641</v>
      </c>
      <c r="B566" t="s">
        <v>7</v>
      </c>
      <c r="C566">
        <v>95</v>
      </c>
      <c r="D566">
        <v>1160</v>
      </c>
      <c r="E566">
        <v>61</v>
      </c>
      <c r="F566">
        <v>1099</v>
      </c>
      <c r="G566">
        <v>5</v>
      </c>
      <c r="H566">
        <v>32768</v>
      </c>
      <c r="I566">
        <v>3</v>
      </c>
      <c r="J566" t="s">
        <v>1</v>
      </c>
      <c r="K566" t="s">
        <v>2</v>
      </c>
      <c r="L566" s="8">
        <f>InterspecUsage[[#This Row],[Used-MB]]-F556</f>
        <v>-1</v>
      </c>
      <c r="M566">
        <f>InterspecUsage[[#This Row],[Max]]-InterspecUsage[[#This Row],[Used-MB]]</f>
        <v>31669</v>
      </c>
      <c r="N566" s="5">
        <f>IF($L566&gt;0,InterspecUsage[[#This Row],[Free-of-Max]]/InterspecUsage[[#This Row],[Usage-Delta-MB]],InterspecUsage[[#This Row],[Free-of-Max]])</f>
        <v>31669</v>
      </c>
    </row>
    <row r="567" spans="1:14" x14ac:dyDescent="0.25">
      <c r="A567" s="3">
        <v>44641</v>
      </c>
      <c r="B567" t="s">
        <v>0</v>
      </c>
      <c r="C567">
        <v>99</v>
      </c>
      <c r="D567">
        <v>3280</v>
      </c>
      <c r="E567">
        <v>18</v>
      </c>
      <c r="F567">
        <v>3262</v>
      </c>
      <c r="G567">
        <v>1</v>
      </c>
      <c r="H567">
        <v>32768</v>
      </c>
      <c r="I567">
        <v>10</v>
      </c>
      <c r="J567" t="s">
        <v>1</v>
      </c>
      <c r="K567" t="s">
        <v>2</v>
      </c>
      <c r="L567" s="8">
        <f>InterspecUsage[[#This Row],[Used-MB]]-F557</f>
        <v>64</v>
      </c>
      <c r="M567">
        <f>InterspecUsage[[#This Row],[Max]]-InterspecUsage[[#This Row],[Used-MB]]</f>
        <v>29506</v>
      </c>
      <c r="N567" s="5">
        <f>IF($L567&gt;0,InterspecUsage[[#This Row],[Free-of-Max]]/InterspecUsage[[#This Row],[Usage-Delta-MB]],InterspecUsage[[#This Row],[Free-of-Max]])</f>
        <v>461.03125</v>
      </c>
    </row>
    <row r="568" spans="1:14" x14ac:dyDescent="0.25">
      <c r="A568" s="3">
        <v>44641</v>
      </c>
      <c r="B568" t="s">
        <v>30</v>
      </c>
      <c r="C568">
        <v>0</v>
      </c>
      <c r="D568">
        <v>32767</v>
      </c>
      <c r="E568">
        <v>32749</v>
      </c>
      <c r="F568">
        <v>18</v>
      </c>
      <c r="G568">
        <v>100</v>
      </c>
      <c r="H568">
        <v>32768</v>
      </c>
      <c r="I568">
        <v>0</v>
      </c>
      <c r="J568" t="s">
        <v>1</v>
      </c>
      <c r="K568" t="s">
        <v>13</v>
      </c>
      <c r="L568" s="8">
        <f>InterspecUsage[[#This Row],[Used-MB]]-F558</f>
        <v>-12</v>
      </c>
      <c r="M568">
        <f>InterspecUsage[[#This Row],[Max]]-InterspecUsage[[#This Row],[Used-MB]]</f>
        <v>32750</v>
      </c>
      <c r="N568" s="5">
        <f>IF($L568&gt;0,InterspecUsage[[#This Row],[Free-of-Max]]/InterspecUsage[[#This Row],[Usage-Delta-MB]],InterspecUsage[[#This Row],[Free-of-Max]])</f>
        <v>32750</v>
      </c>
    </row>
    <row r="569" spans="1:14" x14ac:dyDescent="0.25">
      <c r="A569" s="3">
        <v>44641</v>
      </c>
      <c r="B569" t="s">
        <v>28</v>
      </c>
      <c r="C569">
        <v>24</v>
      </c>
      <c r="D569">
        <v>16400</v>
      </c>
      <c r="E569">
        <v>12419</v>
      </c>
      <c r="F569">
        <v>3981</v>
      </c>
      <c r="G569">
        <v>76</v>
      </c>
      <c r="H569">
        <v>32768</v>
      </c>
      <c r="I569">
        <v>12</v>
      </c>
      <c r="J569" t="s">
        <v>1</v>
      </c>
      <c r="K569" t="s">
        <v>10</v>
      </c>
      <c r="L569" s="8">
        <f>InterspecUsage[[#This Row],[Used-MB]]-F559</f>
        <v>-42</v>
      </c>
      <c r="M569">
        <f>InterspecUsage[[#This Row],[Max]]-InterspecUsage[[#This Row],[Used-MB]]</f>
        <v>28787</v>
      </c>
      <c r="N569" s="5">
        <f>IF($L569&gt;0,InterspecUsage[[#This Row],[Free-of-Max]]/InterspecUsage[[#This Row],[Usage-Delta-MB]],InterspecUsage[[#This Row],[Free-of-Max]])</f>
        <v>28787</v>
      </c>
    </row>
    <row r="570" spans="1:14" x14ac:dyDescent="0.25">
      <c r="A570" s="3">
        <v>44641</v>
      </c>
      <c r="B570" t="s">
        <v>25</v>
      </c>
      <c r="C570">
        <v>87</v>
      </c>
      <c r="D570">
        <v>11800</v>
      </c>
      <c r="E570">
        <v>1563</v>
      </c>
      <c r="F570">
        <v>10237</v>
      </c>
      <c r="G570">
        <v>13</v>
      </c>
      <c r="H570">
        <v>32768</v>
      </c>
      <c r="I570">
        <v>31</v>
      </c>
      <c r="J570" t="s">
        <v>1</v>
      </c>
      <c r="K570" t="s">
        <v>2</v>
      </c>
      <c r="L570" s="8">
        <f>InterspecUsage[[#This Row],[Used-MB]]-F560</f>
        <v>137</v>
      </c>
      <c r="M570">
        <f>InterspecUsage[[#This Row],[Max]]-InterspecUsage[[#This Row],[Used-MB]]</f>
        <v>22531</v>
      </c>
      <c r="N570" s="5">
        <f>IF($L570&gt;0,InterspecUsage[[#This Row],[Free-of-Max]]/InterspecUsage[[#This Row],[Usage-Delta-MB]],InterspecUsage[[#This Row],[Free-of-Max]])</f>
        <v>164.45985401459853</v>
      </c>
    </row>
    <row r="571" spans="1:14" x14ac:dyDescent="0.25">
      <c r="A571" s="3">
        <v>44641</v>
      </c>
      <c r="B571" t="s">
        <v>29</v>
      </c>
      <c r="C571">
        <v>0</v>
      </c>
      <c r="D571">
        <v>500</v>
      </c>
      <c r="E571">
        <v>499</v>
      </c>
      <c r="F571">
        <v>1</v>
      </c>
      <c r="G571">
        <v>100</v>
      </c>
      <c r="H571">
        <v>500</v>
      </c>
      <c r="I571">
        <v>0</v>
      </c>
      <c r="J571" t="s">
        <v>1</v>
      </c>
      <c r="K571" t="s">
        <v>2</v>
      </c>
      <c r="L571" s="8">
        <f>InterspecUsage[[#This Row],[Used-MB]]-F561</f>
        <v>0</v>
      </c>
      <c r="M571">
        <f>InterspecUsage[[#This Row],[Max]]-InterspecUsage[[#This Row],[Used-MB]]</f>
        <v>499</v>
      </c>
      <c r="N571" s="5">
        <f>IF($L571&gt;0,InterspecUsage[[#This Row],[Free-of-Max]]/InterspecUsage[[#This Row],[Usage-Delta-MB]],InterspecUsage[[#This Row],[Free-of-Max]])</f>
        <v>499</v>
      </c>
    </row>
    <row r="572" spans="1:14" x14ac:dyDescent="0.25">
      <c r="A572" s="3">
        <v>44648</v>
      </c>
      <c r="B572" t="s">
        <v>26</v>
      </c>
      <c r="C572">
        <v>94</v>
      </c>
      <c r="D572">
        <v>18788</v>
      </c>
      <c r="E572">
        <v>1098</v>
      </c>
      <c r="F572">
        <v>17690</v>
      </c>
      <c r="G572">
        <v>6</v>
      </c>
      <c r="H572">
        <v>40960</v>
      </c>
      <c r="I572">
        <v>43</v>
      </c>
      <c r="J572" t="s">
        <v>1</v>
      </c>
      <c r="K572" t="s">
        <v>2</v>
      </c>
      <c r="L572" s="8">
        <f>InterspecUsage[[#This Row],[Used-MB]]-F562</f>
        <v>0</v>
      </c>
      <c r="M572">
        <f>InterspecUsage[[#This Row],[Max]]-InterspecUsage[[#This Row],[Used-MB]]</f>
        <v>23270</v>
      </c>
      <c r="N572" s="5">
        <f>IF($L572&gt;0,InterspecUsage[[#This Row],[Free-of-Max]]/InterspecUsage[[#This Row],[Usage-Delta-MB]],InterspecUsage[[#This Row],[Free-of-Max]])</f>
        <v>23270</v>
      </c>
    </row>
    <row r="573" spans="1:14" x14ac:dyDescent="0.25">
      <c r="A573" s="3">
        <v>44648</v>
      </c>
      <c r="B573" t="s">
        <v>24</v>
      </c>
      <c r="C573">
        <v>77</v>
      </c>
      <c r="D573">
        <v>18000</v>
      </c>
      <c r="E573">
        <v>4055</v>
      </c>
      <c r="F573">
        <v>13945</v>
      </c>
      <c r="G573">
        <v>23</v>
      </c>
      <c r="H573">
        <v>32768</v>
      </c>
      <c r="I573">
        <v>43</v>
      </c>
      <c r="J573" t="s">
        <v>1</v>
      </c>
      <c r="K573" t="s">
        <v>2</v>
      </c>
      <c r="L573" s="8">
        <f>InterspecUsage[[#This Row],[Used-MB]]-F563</f>
        <v>0</v>
      </c>
      <c r="M573">
        <f>InterspecUsage[[#This Row],[Max]]-InterspecUsage[[#This Row],[Used-MB]]</f>
        <v>18823</v>
      </c>
      <c r="N573" s="5">
        <f>IF($L573&gt;0,InterspecUsage[[#This Row],[Free-of-Max]]/InterspecUsage[[#This Row],[Usage-Delta-MB]],InterspecUsage[[#This Row],[Free-of-Max]])</f>
        <v>18823</v>
      </c>
    </row>
    <row r="574" spans="1:14" x14ac:dyDescent="0.25">
      <c r="A574" s="3">
        <v>44648</v>
      </c>
      <c r="B574" t="s">
        <v>35</v>
      </c>
      <c r="C574">
        <v>95</v>
      </c>
      <c r="D574">
        <v>23000</v>
      </c>
      <c r="E574">
        <v>1045</v>
      </c>
      <c r="F574">
        <v>21955</v>
      </c>
      <c r="G574">
        <v>5</v>
      </c>
      <c r="H574">
        <v>32768</v>
      </c>
      <c r="I574">
        <v>67</v>
      </c>
      <c r="J574" t="s">
        <v>1</v>
      </c>
      <c r="K574" t="s">
        <v>2</v>
      </c>
      <c r="L574" s="8">
        <f>InterspecUsage[[#This Row],[Used-MB]]-F564</f>
        <v>0</v>
      </c>
      <c r="M574">
        <f>InterspecUsage[[#This Row],[Max]]-InterspecUsage[[#This Row],[Used-MB]]</f>
        <v>10813</v>
      </c>
      <c r="N574" s="5">
        <f>IF($L574&gt;0,InterspecUsage[[#This Row],[Free-of-Max]]/InterspecUsage[[#This Row],[Usage-Delta-MB]],InterspecUsage[[#This Row],[Free-of-Max]])</f>
        <v>10813</v>
      </c>
    </row>
    <row r="575" spans="1:14" x14ac:dyDescent="0.25">
      <c r="A575" s="3">
        <v>44648</v>
      </c>
      <c r="B575" t="s">
        <v>27</v>
      </c>
      <c r="C575">
        <v>84</v>
      </c>
      <c r="D575">
        <v>131072</v>
      </c>
      <c r="E575">
        <v>20752</v>
      </c>
      <c r="F575">
        <v>110320</v>
      </c>
      <c r="G575">
        <v>16</v>
      </c>
      <c r="H575">
        <v>131072</v>
      </c>
      <c r="I575">
        <v>84</v>
      </c>
      <c r="J575" t="s">
        <v>1</v>
      </c>
      <c r="K575" t="s">
        <v>2</v>
      </c>
      <c r="L575" s="8">
        <f>InterspecUsage[[#This Row],[Used-MB]]-F565</f>
        <v>236</v>
      </c>
      <c r="M575">
        <f>InterspecUsage[[#This Row],[Max]]-InterspecUsage[[#This Row],[Used-MB]]</f>
        <v>20752</v>
      </c>
      <c r="N575" s="5">
        <f>IF($L575&gt;0,InterspecUsage[[#This Row],[Free-of-Max]]/InterspecUsage[[#This Row],[Usage-Delta-MB]],InterspecUsage[[#This Row],[Free-of-Max]])</f>
        <v>87.932203389830505</v>
      </c>
    </row>
    <row r="576" spans="1:14" x14ac:dyDescent="0.25">
      <c r="A576" s="3">
        <v>44648</v>
      </c>
      <c r="B576" t="s">
        <v>7</v>
      </c>
      <c r="C576">
        <v>94</v>
      </c>
      <c r="D576">
        <v>1180</v>
      </c>
      <c r="E576">
        <v>65</v>
      </c>
      <c r="F576">
        <v>1115</v>
      </c>
      <c r="G576">
        <v>6</v>
      </c>
      <c r="H576">
        <v>32768</v>
      </c>
      <c r="I576">
        <v>3</v>
      </c>
      <c r="J576" t="s">
        <v>1</v>
      </c>
      <c r="K576" t="s">
        <v>2</v>
      </c>
      <c r="L576" s="8">
        <f>InterspecUsage[[#This Row],[Used-MB]]-F566</f>
        <v>16</v>
      </c>
      <c r="M576">
        <f>InterspecUsage[[#This Row],[Max]]-InterspecUsage[[#This Row],[Used-MB]]</f>
        <v>31653</v>
      </c>
      <c r="N576" s="5">
        <f>IF($L576&gt;0,InterspecUsage[[#This Row],[Free-of-Max]]/InterspecUsage[[#This Row],[Usage-Delta-MB]],InterspecUsage[[#This Row],[Free-of-Max]])</f>
        <v>1978.3125</v>
      </c>
    </row>
    <row r="577" spans="1:14" x14ac:dyDescent="0.25">
      <c r="A577" s="3">
        <v>44648</v>
      </c>
      <c r="B577" t="s">
        <v>0</v>
      </c>
      <c r="C577">
        <v>99</v>
      </c>
      <c r="D577">
        <v>3280</v>
      </c>
      <c r="E577">
        <v>18</v>
      </c>
      <c r="F577">
        <v>3262</v>
      </c>
      <c r="G577">
        <v>1</v>
      </c>
      <c r="H577">
        <v>32768</v>
      </c>
      <c r="I577">
        <v>10</v>
      </c>
      <c r="J577" t="s">
        <v>1</v>
      </c>
      <c r="K577" t="s">
        <v>2</v>
      </c>
      <c r="L577" s="8">
        <f>InterspecUsage[[#This Row],[Used-MB]]-F567</f>
        <v>0</v>
      </c>
      <c r="M577">
        <f>InterspecUsage[[#This Row],[Max]]-InterspecUsage[[#This Row],[Used-MB]]</f>
        <v>29506</v>
      </c>
      <c r="N577" s="5">
        <f>IF($L577&gt;0,InterspecUsage[[#This Row],[Free-of-Max]]/InterspecUsage[[#This Row],[Usage-Delta-MB]],InterspecUsage[[#This Row],[Free-of-Max]])</f>
        <v>29506</v>
      </c>
    </row>
    <row r="578" spans="1:14" x14ac:dyDescent="0.25">
      <c r="A578" s="3">
        <v>44648</v>
      </c>
      <c r="B578" t="s">
        <v>30</v>
      </c>
      <c r="C578">
        <v>0</v>
      </c>
      <c r="D578">
        <v>32767</v>
      </c>
      <c r="E578">
        <v>32740</v>
      </c>
      <c r="F578">
        <v>27</v>
      </c>
      <c r="G578">
        <v>100</v>
      </c>
      <c r="H578">
        <v>32768</v>
      </c>
      <c r="I578">
        <v>0</v>
      </c>
      <c r="J578" t="s">
        <v>1</v>
      </c>
      <c r="K578" t="s">
        <v>13</v>
      </c>
      <c r="L578" s="8">
        <f>InterspecUsage[[#This Row],[Used-MB]]-F568</f>
        <v>9</v>
      </c>
      <c r="M578">
        <f>InterspecUsage[[#This Row],[Max]]-InterspecUsage[[#This Row],[Used-MB]]</f>
        <v>32741</v>
      </c>
      <c r="N578" s="5">
        <f>IF($L578&gt;0,InterspecUsage[[#This Row],[Free-of-Max]]/InterspecUsage[[#This Row],[Usage-Delta-MB]],InterspecUsage[[#This Row],[Free-of-Max]])</f>
        <v>3637.8888888888887</v>
      </c>
    </row>
    <row r="579" spans="1:14" x14ac:dyDescent="0.25">
      <c r="A579" s="3">
        <v>44648</v>
      </c>
      <c r="B579" t="s">
        <v>28</v>
      </c>
      <c r="C579">
        <v>26</v>
      </c>
      <c r="D579">
        <v>16400</v>
      </c>
      <c r="E579">
        <v>12188</v>
      </c>
      <c r="F579">
        <v>4212</v>
      </c>
      <c r="G579">
        <v>74</v>
      </c>
      <c r="H579">
        <v>32768</v>
      </c>
      <c r="I579">
        <v>13</v>
      </c>
      <c r="J579" t="s">
        <v>1</v>
      </c>
      <c r="K579" t="s">
        <v>10</v>
      </c>
      <c r="L579" s="8">
        <f>InterspecUsage[[#This Row],[Used-MB]]-F569</f>
        <v>231</v>
      </c>
      <c r="M579">
        <f>InterspecUsage[[#This Row],[Max]]-InterspecUsage[[#This Row],[Used-MB]]</f>
        <v>28556</v>
      </c>
      <c r="N579" s="5">
        <f>IF($L579&gt;0,InterspecUsage[[#This Row],[Free-of-Max]]/InterspecUsage[[#This Row],[Usage-Delta-MB]],InterspecUsage[[#This Row],[Free-of-Max]])</f>
        <v>123.61904761904762</v>
      </c>
    </row>
    <row r="580" spans="1:14" x14ac:dyDescent="0.25">
      <c r="A580" s="3">
        <v>44648</v>
      </c>
      <c r="B580" t="s">
        <v>25</v>
      </c>
      <c r="C580">
        <v>87</v>
      </c>
      <c r="D580">
        <v>11800</v>
      </c>
      <c r="E580">
        <v>1563</v>
      </c>
      <c r="F580">
        <v>10237</v>
      </c>
      <c r="G580">
        <v>13</v>
      </c>
      <c r="H580">
        <v>32768</v>
      </c>
      <c r="I580">
        <v>31</v>
      </c>
      <c r="J580" t="s">
        <v>1</v>
      </c>
      <c r="K580" t="s">
        <v>2</v>
      </c>
      <c r="L580" s="8">
        <f>InterspecUsage[[#This Row],[Used-MB]]-F570</f>
        <v>0</v>
      </c>
      <c r="M580">
        <f>InterspecUsage[[#This Row],[Max]]-InterspecUsage[[#This Row],[Used-MB]]</f>
        <v>22531</v>
      </c>
      <c r="N580" s="5">
        <f>IF($L580&gt;0,InterspecUsage[[#This Row],[Free-of-Max]]/InterspecUsage[[#This Row],[Usage-Delta-MB]],InterspecUsage[[#This Row],[Free-of-Max]])</f>
        <v>22531</v>
      </c>
    </row>
    <row r="581" spans="1:14" x14ac:dyDescent="0.25">
      <c r="A581" s="3">
        <v>44648</v>
      </c>
      <c r="B581" t="s">
        <v>29</v>
      </c>
      <c r="C581">
        <v>0</v>
      </c>
      <c r="D581">
        <v>500</v>
      </c>
      <c r="E581">
        <v>499</v>
      </c>
      <c r="F581">
        <v>1</v>
      </c>
      <c r="G581">
        <v>100</v>
      </c>
      <c r="H581">
        <v>500</v>
      </c>
      <c r="I581">
        <v>0</v>
      </c>
      <c r="J581" t="s">
        <v>1</v>
      </c>
      <c r="K581" t="s">
        <v>2</v>
      </c>
      <c r="L581" s="8">
        <f>InterspecUsage[[#This Row],[Used-MB]]-F571</f>
        <v>0</v>
      </c>
      <c r="M581">
        <f>InterspecUsage[[#This Row],[Max]]-InterspecUsage[[#This Row],[Used-MB]]</f>
        <v>499</v>
      </c>
      <c r="N581" s="5">
        <f>IF($L581&gt;0,InterspecUsage[[#This Row],[Free-of-Max]]/InterspecUsage[[#This Row],[Usage-Delta-MB]],InterspecUsage[[#This Row],[Free-of-Max]])</f>
        <v>499</v>
      </c>
    </row>
    <row r="582" spans="1:14" x14ac:dyDescent="0.25">
      <c r="A582" s="3">
        <v>44656</v>
      </c>
      <c r="B582" t="s">
        <v>26</v>
      </c>
      <c r="C582">
        <v>95</v>
      </c>
      <c r="D582">
        <v>18788</v>
      </c>
      <c r="E582">
        <v>970</v>
      </c>
      <c r="F582">
        <v>17818</v>
      </c>
      <c r="G582">
        <v>5</v>
      </c>
      <c r="H582">
        <v>40960</v>
      </c>
      <c r="I582">
        <v>44</v>
      </c>
      <c r="J582" t="s">
        <v>1</v>
      </c>
      <c r="K582" t="s">
        <v>2</v>
      </c>
      <c r="L582" s="8">
        <f>InterspecUsage[[#This Row],[Used-MB]]-F572</f>
        <v>128</v>
      </c>
      <c r="M582">
        <f>InterspecUsage[[#This Row],[Max]]-InterspecUsage[[#This Row],[Used-MB]]</f>
        <v>23142</v>
      </c>
      <c r="N582" s="5">
        <f>IF($L582&gt;0,InterspecUsage[[#This Row],[Free-of-Max]]/InterspecUsage[[#This Row],[Usage-Delta-MB]],InterspecUsage[[#This Row],[Free-of-Max]])</f>
        <v>180.796875</v>
      </c>
    </row>
    <row r="583" spans="1:14" x14ac:dyDescent="0.25">
      <c r="A583" s="3">
        <v>44656</v>
      </c>
      <c r="B583" t="s">
        <v>24</v>
      </c>
      <c r="C583">
        <v>78</v>
      </c>
      <c r="D583">
        <v>18000</v>
      </c>
      <c r="E583">
        <v>4046</v>
      </c>
      <c r="F583">
        <v>13954</v>
      </c>
      <c r="G583">
        <v>22</v>
      </c>
      <c r="H583">
        <v>32768</v>
      </c>
      <c r="I583">
        <v>43</v>
      </c>
      <c r="J583" t="s">
        <v>1</v>
      </c>
      <c r="K583" t="s">
        <v>2</v>
      </c>
      <c r="L583" s="8">
        <f>InterspecUsage[[#This Row],[Used-MB]]-F573</f>
        <v>9</v>
      </c>
      <c r="M583">
        <f>InterspecUsage[[#This Row],[Max]]-InterspecUsage[[#This Row],[Used-MB]]</f>
        <v>18814</v>
      </c>
      <c r="N583" s="5">
        <f>IF($L583&gt;0,InterspecUsage[[#This Row],[Free-of-Max]]/InterspecUsage[[#This Row],[Usage-Delta-MB]],InterspecUsage[[#This Row],[Free-of-Max]])</f>
        <v>2090.4444444444443</v>
      </c>
    </row>
    <row r="584" spans="1:14" x14ac:dyDescent="0.25">
      <c r="A584" s="3">
        <v>44656</v>
      </c>
      <c r="B584" t="s">
        <v>35</v>
      </c>
      <c r="C584">
        <v>95</v>
      </c>
      <c r="D584">
        <v>23200</v>
      </c>
      <c r="E584">
        <v>1181</v>
      </c>
      <c r="F584">
        <v>22019</v>
      </c>
      <c r="G584">
        <v>5</v>
      </c>
      <c r="H584">
        <v>32768</v>
      </c>
      <c r="I584">
        <v>67</v>
      </c>
      <c r="J584" t="s">
        <v>1</v>
      </c>
      <c r="K584" t="s">
        <v>2</v>
      </c>
      <c r="L584" s="8">
        <f>InterspecUsage[[#This Row],[Used-MB]]-F574</f>
        <v>64</v>
      </c>
      <c r="M584">
        <f>InterspecUsage[[#This Row],[Max]]-InterspecUsage[[#This Row],[Used-MB]]</f>
        <v>10749</v>
      </c>
      <c r="N584" s="5">
        <f>IF($L584&gt;0,InterspecUsage[[#This Row],[Free-of-Max]]/InterspecUsage[[#This Row],[Usage-Delta-MB]],InterspecUsage[[#This Row],[Free-of-Max]])</f>
        <v>167.953125</v>
      </c>
    </row>
    <row r="585" spans="1:14" x14ac:dyDescent="0.25">
      <c r="A585" s="3">
        <v>44656</v>
      </c>
      <c r="B585" t="s">
        <v>27</v>
      </c>
      <c r="C585">
        <v>85</v>
      </c>
      <c r="D585">
        <v>131072</v>
      </c>
      <c r="E585">
        <v>20206</v>
      </c>
      <c r="F585">
        <v>110866</v>
      </c>
      <c r="G585">
        <v>15</v>
      </c>
      <c r="H585">
        <v>131072</v>
      </c>
      <c r="I585">
        <v>85</v>
      </c>
      <c r="J585" t="s">
        <v>1</v>
      </c>
      <c r="K585" t="s">
        <v>2</v>
      </c>
      <c r="L585" s="8">
        <f>InterspecUsage[[#This Row],[Used-MB]]-F575</f>
        <v>546</v>
      </c>
      <c r="M585">
        <f>InterspecUsage[[#This Row],[Max]]-InterspecUsage[[#This Row],[Used-MB]]</f>
        <v>20206</v>
      </c>
      <c r="N585" s="5">
        <f>IF($L585&gt;0,InterspecUsage[[#This Row],[Free-of-Max]]/InterspecUsage[[#This Row],[Usage-Delta-MB]],InterspecUsage[[#This Row],[Free-of-Max]])</f>
        <v>37.007326007326007</v>
      </c>
    </row>
    <row r="586" spans="1:14" x14ac:dyDescent="0.25">
      <c r="A586" s="3">
        <v>44656</v>
      </c>
      <c r="B586" t="s">
        <v>7</v>
      </c>
      <c r="C586">
        <v>94</v>
      </c>
      <c r="D586">
        <v>1180</v>
      </c>
      <c r="E586">
        <v>66</v>
      </c>
      <c r="F586">
        <v>1114</v>
      </c>
      <c r="G586">
        <v>6</v>
      </c>
      <c r="H586">
        <v>32768</v>
      </c>
      <c r="I586">
        <v>3</v>
      </c>
      <c r="J586" t="s">
        <v>1</v>
      </c>
      <c r="K586" t="s">
        <v>2</v>
      </c>
      <c r="L586" s="8">
        <f>InterspecUsage[[#This Row],[Used-MB]]-F576</f>
        <v>-1</v>
      </c>
      <c r="M586">
        <f>InterspecUsage[[#This Row],[Max]]-InterspecUsage[[#This Row],[Used-MB]]</f>
        <v>31654</v>
      </c>
      <c r="N586" s="5">
        <f>IF($L586&gt;0,InterspecUsage[[#This Row],[Free-of-Max]]/InterspecUsage[[#This Row],[Usage-Delta-MB]],InterspecUsage[[#This Row],[Free-of-Max]])</f>
        <v>31654</v>
      </c>
    </row>
    <row r="587" spans="1:14" x14ac:dyDescent="0.25">
      <c r="A587" s="3">
        <v>44656</v>
      </c>
      <c r="B587" t="s">
        <v>0</v>
      </c>
      <c r="C587">
        <v>99</v>
      </c>
      <c r="D587">
        <v>3280</v>
      </c>
      <c r="E587">
        <v>18</v>
      </c>
      <c r="F587">
        <v>3262</v>
      </c>
      <c r="G587">
        <v>1</v>
      </c>
      <c r="H587">
        <v>32768</v>
      </c>
      <c r="I587">
        <v>10</v>
      </c>
      <c r="J587" t="s">
        <v>1</v>
      </c>
      <c r="K587" t="s">
        <v>2</v>
      </c>
      <c r="L587" s="8">
        <f>InterspecUsage[[#This Row],[Used-MB]]-F577</f>
        <v>0</v>
      </c>
      <c r="M587">
        <f>InterspecUsage[[#This Row],[Max]]-InterspecUsage[[#This Row],[Used-MB]]</f>
        <v>29506</v>
      </c>
      <c r="N587" s="5">
        <f>IF($L587&gt;0,InterspecUsage[[#This Row],[Free-of-Max]]/InterspecUsage[[#This Row],[Usage-Delta-MB]],InterspecUsage[[#This Row],[Free-of-Max]])</f>
        <v>29506</v>
      </c>
    </row>
    <row r="588" spans="1:14" x14ac:dyDescent="0.25">
      <c r="A588" s="3">
        <v>44656</v>
      </c>
      <c r="B588" t="s">
        <v>30</v>
      </c>
      <c r="C588">
        <v>0</v>
      </c>
      <c r="D588">
        <v>32767</v>
      </c>
      <c r="E588">
        <v>32743</v>
      </c>
      <c r="F588">
        <v>24</v>
      </c>
      <c r="G588">
        <v>100</v>
      </c>
      <c r="H588">
        <v>32768</v>
      </c>
      <c r="I588">
        <v>0</v>
      </c>
      <c r="J588" t="s">
        <v>1</v>
      </c>
      <c r="K588" t="s">
        <v>13</v>
      </c>
      <c r="L588" s="8">
        <f>InterspecUsage[[#This Row],[Used-MB]]-F578</f>
        <v>-3</v>
      </c>
      <c r="M588">
        <f>InterspecUsage[[#This Row],[Max]]-InterspecUsage[[#This Row],[Used-MB]]</f>
        <v>32744</v>
      </c>
      <c r="N588" s="5">
        <f>IF($L588&gt;0,InterspecUsage[[#This Row],[Free-of-Max]]/InterspecUsage[[#This Row],[Usage-Delta-MB]],InterspecUsage[[#This Row],[Free-of-Max]])</f>
        <v>32744</v>
      </c>
    </row>
    <row r="589" spans="1:14" x14ac:dyDescent="0.25">
      <c r="A589" s="3">
        <v>44656</v>
      </c>
      <c r="B589" t="s">
        <v>28</v>
      </c>
      <c r="C589">
        <v>25</v>
      </c>
      <c r="D589">
        <v>16400</v>
      </c>
      <c r="E589">
        <v>12292</v>
      </c>
      <c r="F589">
        <v>4108</v>
      </c>
      <c r="G589">
        <v>75</v>
      </c>
      <c r="H589">
        <v>32768</v>
      </c>
      <c r="I589">
        <v>13</v>
      </c>
      <c r="J589" t="s">
        <v>1</v>
      </c>
      <c r="K589" t="s">
        <v>10</v>
      </c>
      <c r="L589" s="8">
        <f>InterspecUsage[[#This Row],[Used-MB]]-F579</f>
        <v>-104</v>
      </c>
      <c r="M589">
        <f>InterspecUsage[[#This Row],[Max]]-InterspecUsage[[#This Row],[Used-MB]]</f>
        <v>28660</v>
      </c>
      <c r="N589" s="5">
        <f>IF($L589&gt;0,InterspecUsage[[#This Row],[Free-of-Max]]/InterspecUsage[[#This Row],[Usage-Delta-MB]],InterspecUsage[[#This Row],[Free-of-Max]])</f>
        <v>28660</v>
      </c>
    </row>
    <row r="590" spans="1:14" x14ac:dyDescent="0.25">
      <c r="A590" s="3">
        <v>44656</v>
      </c>
      <c r="B590" t="s">
        <v>25</v>
      </c>
      <c r="C590">
        <v>88</v>
      </c>
      <c r="D590">
        <v>11800</v>
      </c>
      <c r="E590">
        <v>1419</v>
      </c>
      <c r="F590">
        <v>10381</v>
      </c>
      <c r="G590">
        <v>12</v>
      </c>
      <c r="H590">
        <v>32768</v>
      </c>
      <c r="I590">
        <v>32</v>
      </c>
      <c r="J590" t="s">
        <v>1</v>
      </c>
      <c r="K590" t="s">
        <v>2</v>
      </c>
      <c r="L590" s="8">
        <f>InterspecUsage[[#This Row],[Used-MB]]-F580</f>
        <v>144</v>
      </c>
      <c r="M590">
        <f>InterspecUsage[[#This Row],[Max]]-InterspecUsage[[#This Row],[Used-MB]]</f>
        <v>22387</v>
      </c>
      <c r="N590" s="5">
        <f>IF($L590&gt;0,InterspecUsage[[#This Row],[Free-of-Max]]/InterspecUsage[[#This Row],[Usage-Delta-MB]],InterspecUsage[[#This Row],[Free-of-Max]])</f>
        <v>155.46527777777777</v>
      </c>
    </row>
    <row r="591" spans="1:14" x14ac:dyDescent="0.25">
      <c r="A591" s="3">
        <v>44656</v>
      </c>
      <c r="B591" t="s">
        <v>29</v>
      </c>
      <c r="C591">
        <v>0</v>
      </c>
      <c r="D591">
        <v>500</v>
      </c>
      <c r="E591">
        <v>499</v>
      </c>
      <c r="F591">
        <v>1</v>
      </c>
      <c r="G591">
        <v>100</v>
      </c>
      <c r="H591">
        <v>500</v>
      </c>
      <c r="I591">
        <v>0</v>
      </c>
      <c r="J591" t="s">
        <v>1</v>
      </c>
      <c r="K591" t="s">
        <v>2</v>
      </c>
      <c r="L591" s="8">
        <f>InterspecUsage[[#This Row],[Used-MB]]-F581</f>
        <v>0</v>
      </c>
      <c r="M591">
        <f>InterspecUsage[[#This Row],[Max]]-InterspecUsage[[#This Row],[Used-MB]]</f>
        <v>499</v>
      </c>
      <c r="N591" s="5">
        <f>IF($L591&gt;0,InterspecUsage[[#This Row],[Free-of-Max]]/InterspecUsage[[#This Row],[Usage-Delta-MB]],InterspecUsage[[#This Row],[Free-of-Max]])</f>
        <v>499</v>
      </c>
    </row>
    <row r="592" spans="1:14" x14ac:dyDescent="0.25">
      <c r="A592" s="3">
        <v>44662</v>
      </c>
      <c r="B592" t="s">
        <v>26</v>
      </c>
      <c r="C592">
        <v>95</v>
      </c>
      <c r="D592">
        <v>18788</v>
      </c>
      <c r="E592">
        <v>970</v>
      </c>
      <c r="F592">
        <v>17818</v>
      </c>
      <c r="G592">
        <v>5</v>
      </c>
      <c r="H592">
        <v>40960</v>
      </c>
      <c r="I592">
        <v>44</v>
      </c>
      <c r="J592" t="s">
        <v>1</v>
      </c>
      <c r="K592" t="s">
        <v>2</v>
      </c>
      <c r="L592" s="8">
        <f>InterspecUsage[[#This Row],[Used-MB]]-F582</f>
        <v>0</v>
      </c>
      <c r="M592">
        <f>InterspecUsage[[#This Row],[Max]]-InterspecUsage[[#This Row],[Used-MB]]</f>
        <v>23142</v>
      </c>
      <c r="N592" s="5">
        <f>IF($L592&gt;0,InterspecUsage[[#This Row],[Free-of-Max]]/InterspecUsage[[#This Row],[Usage-Delta-MB]],InterspecUsage[[#This Row],[Free-of-Max]])</f>
        <v>23142</v>
      </c>
    </row>
    <row r="593" spans="1:14" x14ac:dyDescent="0.25">
      <c r="A593" s="3">
        <v>44662</v>
      </c>
      <c r="B593" t="s">
        <v>24</v>
      </c>
      <c r="C593">
        <v>78</v>
      </c>
      <c r="D593">
        <v>18000</v>
      </c>
      <c r="E593">
        <v>3982</v>
      </c>
      <c r="F593">
        <v>14018</v>
      </c>
      <c r="G593">
        <v>22</v>
      </c>
      <c r="H593">
        <v>32768</v>
      </c>
      <c r="I593">
        <v>43</v>
      </c>
      <c r="J593" t="s">
        <v>1</v>
      </c>
      <c r="K593" t="s">
        <v>2</v>
      </c>
      <c r="L593" s="8">
        <f>InterspecUsage[[#This Row],[Used-MB]]-F583</f>
        <v>64</v>
      </c>
      <c r="M593">
        <f>InterspecUsage[[#This Row],[Max]]-InterspecUsage[[#This Row],[Used-MB]]</f>
        <v>18750</v>
      </c>
      <c r="N593" s="5">
        <f>IF($L593&gt;0,InterspecUsage[[#This Row],[Free-of-Max]]/InterspecUsage[[#This Row],[Usage-Delta-MB]],InterspecUsage[[#This Row],[Free-of-Max]])</f>
        <v>292.96875</v>
      </c>
    </row>
    <row r="594" spans="1:14" x14ac:dyDescent="0.25">
      <c r="A594" s="3">
        <v>44662</v>
      </c>
      <c r="B594" t="s">
        <v>35</v>
      </c>
      <c r="C594">
        <v>95</v>
      </c>
      <c r="D594">
        <v>23200</v>
      </c>
      <c r="E594">
        <v>1117</v>
      </c>
      <c r="F594">
        <v>22083</v>
      </c>
      <c r="G594">
        <v>5</v>
      </c>
      <c r="H594">
        <v>32768</v>
      </c>
      <c r="I594">
        <v>67</v>
      </c>
      <c r="J594" t="s">
        <v>1</v>
      </c>
      <c r="K594" t="s">
        <v>2</v>
      </c>
      <c r="L594" s="8">
        <f>InterspecUsage[[#This Row],[Used-MB]]-F584</f>
        <v>64</v>
      </c>
      <c r="M594">
        <f>InterspecUsage[[#This Row],[Max]]-InterspecUsage[[#This Row],[Used-MB]]</f>
        <v>10685</v>
      </c>
      <c r="N594" s="5">
        <f>IF($L594&gt;0,InterspecUsage[[#This Row],[Free-of-Max]]/InterspecUsage[[#This Row],[Usage-Delta-MB]],InterspecUsage[[#This Row],[Free-of-Max]])</f>
        <v>166.953125</v>
      </c>
    </row>
    <row r="595" spans="1:14" x14ac:dyDescent="0.25">
      <c r="A595" s="3">
        <v>44662</v>
      </c>
      <c r="B595" t="s">
        <v>27</v>
      </c>
      <c r="C595">
        <v>85</v>
      </c>
      <c r="D595">
        <v>131072</v>
      </c>
      <c r="E595">
        <v>20061</v>
      </c>
      <c r="F595">
        <v>111011</v>
      </c>
      <c r="G595">
        <v>15</v>
      </c>
      <c r="H595">
        <v>131072</v>
      </c>
      <c r="I595">
        <v>85</v>
      </c>
      <c r="J595" t="s">
        <v>1</v>
      </c>
      <c r="K595" t="s">
        <v>2</v>
      </c>
      <c r="L595" s="8">
        <f>InterspecUsage[[#This Row],[Used-MB]]-F585</f>
        <v>145</v>
      </c>
      <c r="M595">
        <f>InterspecUsage[[#This Row],[Max]]-InterspecUsage[[#This Row],[Used-MB]]</f>
        <v>20061</v>
      </c>
      <c r="N595" s="5">
        <f>IF($L595&gt;0,InterspecUsage[[#This Row],[Free-of-Max]]/InterspecUsage[[#This Row],[Usage-Delta-MB]],InterspecUsage[[#This Row],[Free-of-Max]])</f>
        <v>138.35172413793103</v>
      </c>
    </row>
    <row r="596" spans="1:14" x14ac:dyDescent="0.25">
      <c r="A596" s="3">
        <v>44662</v>
      </c>
      <c r="B596" t="s">
        <v>7</v>
      </c>
      <c r="C596">
        <v>95</v>
      </c>
      <c r="D596">
        <v>1180</v>
      </c>
      <c r="E596">
        <v>58</v>
      </c>
      <c r="F596">
        <v>1122</v>
      </c>
      <c r="G596">
        <v>5</v>
      </c>
      <c r="H596">
        <v>32768</v>
      </c>
      <c r="I596">
        <v>3</v>
      </c>
      <c r="J596" t="s">
        <v>1</v>
      </c>
      <c r="K596" t="s">
        <v>2</v>
      </c>
      <c r="L596" s="8">
        <f>InterspecUsage[[#This Row],[Used-MB]]-F586</f>
        <v>8</v>
      </c>
      <c r="M596">
        <f>InterspecUsage[[#This Row],[Max]]-InterspecUsage[[#This Row],[Used-MB]]</f>
        <v>31646</v>
      </c>
      <c r="N596" s="5">
        <f>IF($L596&gt;0,InterspecUsage[[#This Row],[Free-of-Max]]/InterspecUsage[[#This Row],[Usage-Delta-MB]],InterspecUsage[[#This Row],[Free-of-Max]])</f>
        <v>3955.75</v>
      </c>
    </row>
    <row r="597" spans="1:14" x14ac:dyDescent="0.25">
      <c r="A597" s="3">
        <v>44662</v>
      </c>
      <c r="B597" t="s">
        <v>0</v>
      </c>
      <c r="C597">
        <v>99</v>
      </c>
      <c r="D597">
        <v>3280</v>
      </c>
      <c r="E597">
        <v>18</v>
      </c>
      <c r="F597">
        <v>3262</v>
      </c>
      <c r="G597">
        <v>1</v>
      </c>
      <c r="H597">
        <v>32768</v>
      </c>
      <c r="I597">
        <v>10</v>
      </c>
      <c r="J597" t="s">
        <v>1</v>
      </c>
      <c r="K597" t="s">
        <v>2</v>
      </c>
      <c r="L597" s="8">
        <f>InterspecUsage[[#This Row],[Used-MB]]-F587</f>
        <v>0</v>
      </c>
      <c r="M597">
        <f>InterspecUsage[[#This Row],[Max]]-InterspecUsage[[#This Row],[Used-MB]]</f>
        <v>29506</v>
      </c>
      <c r="N597" s="5">
        <f>IF($L597&gt;0,InterspecUsage[[#This Row],[Free-of-Max]]/InterspecUsage[[#This Row],[Usage-Delta-MB]],InterspecUsage[[#This Row],[Free-of-Max]])</f>
        <v>29506</v>
      </c>
    </row>
    <row r="598" spans="1:14" x14ac:dyDescent="0.25">
      <c r="A598" s="3">
        <v>44662</v>
      </c>
      <c r="B598" t="s">
        <v>30</v>
      </c>
      <c r="C598">
        <v>0</v>
      </c>
      <c r="D598">
        <v>32767</v>
      </c>
      <c r="E598">
        <v>32743</v>
      </c>
      <c r="F598">
        <v>24</v>
      </c>
      <c r="G598">
        <v>100</v>
      </c>
      <c r="H598">
        <v>32768</v>
      </c>
      <c r="I598">
        <v>0</v>
      </c>
      <c r="J598" t="s">
        <v>1</v>
      </c>
      <c r="K598" t="s">
        <v>13</v>
      </c>
      <c r="L598" s="8">
        <f>InterspecUsage[[#This Row],[Used-MB]]-F588</f>
        <v>0</v>
      </c>
      <c r="M598">
        <f>InterspecUsage[[#This Row],[Max]]-InterspecUsage[[#This Row],[Used-MB]]</f>
        <v>32744</v>
      </c>
      <c r="N598" s="5">
        <f>IF($L598&gt;0,InterspecUsage[[#This Row],[Free-of-Max]]/InterspecUsage[[#This Row],[Usage-Delta-MB]],InterspecUsage[[#This Row],[Free-of-Max]])</f>
        <v>32744</v>
      </c>
    </row>
    <row r="599" spans="1:14" x14ac:dyDescent="0.25">
      <c r="A599" s="3">
        <v>44662</v>
      </c>
      <c r="B599" t="s">
        <v>28</v>
      </c>
      <c r="C599">
        <v>28</v>
      </c>
      <c r="D599">
        <v>16400</v>
      </c>
      <c r="E599">
        <v>11865</v>
      </c>
      <c r="F599">
        <v>4535</v>
      </c>
      <c r="G599">
        <v>72</v>
      </c>
      <c r="H599">
        <v>32768</v>
      </c>
      <c r="I599">
        <v>14</v>
      </c>
      <c r="J599" t="s">
        <v>1</v>
      </c>
      <c r="K599" t="s">
        <v>10</v>
      </c>
      <c r="L599" s="8">
        <f>InterspecUsage[[#This Row],[Used-MB]]-F589</f>
        <v>427</v>
      </c>
      <c r="M599">
        <f>InterspecUsage[[#This Row],[Max]]-InterspecUsage[[#This Row],[Used-MB]]</f>
        <v>28233</v>
      </c>
      <c r="N599" s="5">
        <f>IF($L599&gt;0,InterspecUsage[[#This Row],[Free-of-Max]]/InterspecUsage[[#This Row],[Usage-Delta-MB]],InterspecUsage[[#This Row],[Free-of-Max]])</f>
        <v>66.119437939110071</v>
      </c>
    </row>
    <row r="600" spans="1:14" x14ac:dyDescent="0.25">
      <c r="A600" s="3">
        <v>44662</v>
      </c>
      <c r="B600" t="s">
        <v>25</v>
      </c>
      <c r="C600">
        <v>90</v>
      </c>
      <c r="D600">
        <v>11800</v>
      </c>
      <c r="E600">
        <v>1219</v>
      </c>
      <c r="F600">
        <v>10581</v>
      </c>
      <c r="G600">
        <v>10</v>
      </c>
      <c r="H600">
        <v>32768</v>
      </c>
      <c r="I600">
        <v>32</v>
      </c>
      <c r="J600" t="s">
        <v>1</v>
      </c>
      <c r="K600" t="s">
        <v>2</v>
      </c>
      <c r="L600" s="8">
        <f>InterspecUsage[[#This Row],[Used-MB]]-F590</f>
        <v>200</v>
      </c>
      <c r="M600">
        <f>InterspecUsage[[#This Row],[Max]]-InterspecUsage[[#This Row],[Used-MB]]</f>
        <v>22187</v>
      </c>
      <c r="N600" s="5">
        <f>IF($L600&gt;0,InterspecUsage[[#This Row],[Free-of-Max]]/InterspecUsage[[#This Row],[Usage-Delta-MB]],InterspecUsage[[#This Row],[Free-of-Max]])</f>
        <v>110.935</v>
      </c>
    </row>
    <row r="601" spans="1:14" x14ac:dyDescent="0.25">
      <c r="A601" s="3">
        <v>44662</v>
      </c>
      <c r="B601" t="s">
        <v>29</v>
      </c>
      <c r="C601">
        <v>0</v>
      </c>
      <c r="D601">
        <v>500</v>
      </c>
      <c r="E601">
        <v>499</v>
      </c>
      <c r="F601">
        <v>1</v>
      </c>
      <c r="G601">
        <v>100</v>
      </c>
      <c r="H601">
        <v>500</v>
      </c>
      <c r="I601">
        <v>0</v>
      </c>
      <c r="J601" t="s">
        <v>1</v>
      </c>
      <c r="K601" t="s">
        <v>2</v>
      </c>
      <c r="L601" s="8">
        <f>InterspecUsage[[#This Row],[Used-MB]]-F591</f>
        <v>0</v>
      </c>
      <c r="M601">
        <f>InterspecUsage[[#This Row],[Max]]-InterspecUsage[[#This Row],[Used-MB]]</f>
        <v>499</v>
      </c>
      <c r="N601" s="5">
        <f>IF($L601&gt;0,InterspecUsage[[#This Row],[Free-of-Max]]/InterspecUsage[[#This Row],[Usage-Delta-MB]],InterspecUsage[[#This Row],[Free-of-Max]])</f>
        <v>499</v>
      </c>
    </row>
    <row r="602" spans="1:14" x14ac:dyDescent="0.25">
      <c r="A602" s="3">
        <v>44670</v>
      </c>
      <c r="B602" t="s">
        <v>26</v>
      </c>
      <c r="C602">
        <v>95</v>
      </c>
      <c r="D602">
        <v>18788</v>
      </c>
      <c r="E602">
        <v>970</v>
      </c>
      <c r="F602">
        <v>17818</v>
      </c>
      <c r="G602">
        <v>5</v>
      </c>
      <c r="H602">
        <v>40960</v>
      </c>
      <c r="I602">
        <v>44</v>
      </c>
      <c r="J602" t="s">
        <v>1</v>
      </c>
      <c r="K602" t="s">
        <v>2</v>
      </c>
      <c r="L602" s="8">
        <f>InterspecUsage[[#This Row],[Used-MB]]-F592</f>
        <v>0</v>
      </c>
      <c r="M602">
        <f>InterspecUsage[[#This Row],[Max]]-InterspecUsage[[#This Row],[Used-MB]]</f>
        <v>23142</v>
      </c>
      <c r="N602" s="5">
        <f>IF($L602&gt;0,InterspecUsage[[#This Row],[Free-of-Max]]/InterspecUsage[[#This Row],[Usage-Delta-MB]],InterspecUsage[[#This Row],[Free-of-Max]])</f>
        <v>23142</v>
      </c>
    </row>
    <row r="603" spans="1:14" x14ac:dyDescent="0.25">
      <c r="A603" s="3">
        <v>44670</v>
      </c>
      <c r="B603" t="s">
        <v>24</v>
      </c>
      <c r="C603">
        <v>78</v>
      </c>
      <c r="D603">
        <v>18000</v>
      </c>
      <c r="E603">
        <v>3981</v>
      </c>
      <c r="F603">
        <v>14019</v>
      </c>
      <c r="G603">
        <v>22</v>
      </c>
      <c r="H603">
        <v>32768</v>
      </c>
      <c r="I603">
        <v>43</v>
      </c>
      <c r="J603" t="s">
        <v>1</v>
      </c>
      <c r="K603" t="s">
        <v>2</v>
      </c>
      <c r="L603" s="8">
        <f>InterspecUsage[[#This Row],[Used-MB]]-F593</f>
        <v>1</v>
      </c>
      <c r="M603">
        <f>InterspecUsage[[#This Row],[Max]]-InterspecUsage[[#This Row],[Used-MB]]</f>
        <v>18749</v>
      </c>
      <c r="N603" s="5">
        <f>IF($L603&gt;0,InterspecUsage[[#This Row],[Free-of-Max]]/InterspecUsage[[#This Row],[Usage-Delta-MB]],InterspecUsage[[#This Row],[Free-of-Max]])</f>
        <v>18749</v>
      </c>
    </row>
    <row r="604" spans="1:14" x14ac:dyDescent="0.25">
      <c r="A604" s="3">
        <v>44670</v>
      </c>
      <c r="B604" t="s">
        <v>35</v>
      </c>
      <c r="C604">
        <v>95</v>
      </c>
      <c r="D604">
        <v>23200</v>
      </c>
      <c r="E604">
        <v>1117</v>
      </c>
      <c r="F604">
        <v>22083</v>
      </c>
      <c r="G604">
        <v>5</v>
      </c>
      <c r="H604">
        <v>32768</v>
      </c>
      <c r="I604">
        <v>67</v>
      </c>
      <c r="J604" t="s">
        <v>1</v>
      </c>
      <c r="K604" t="s">
        <v>2</v>
      </c>
      <c r="L604" s="8">
        <f>InterspecUsage[[#This Row],[Used-MB]]-F594</f>
        <v>0</v>
      </c>
      <c r="M604">
        <f>InterspecUsage[[#This Row],[Max]]-InterspecUsage[[#This Row],[Used-MB]]</f>
        <v>10685</v>
      </c>
      <c r="N604" s="5">
        <f>IF($L604&gt;0,InterspecUsage[[#This Row],[Free-of-Max]]/InterspecUsage[[#This Row],[Usage-Delta-MB]],InterspecUsage[[#This Row],[Free-of-Max]])</f>
        <v>10685</v>
      </c>
    </row>
    <row r="605" spans="1:14" x14ac:dyDescent="0.25">
      <c r="A605" s="3">
        <v>44670</v>
      </c>
      <c r="B605" t="s">
        <v>27</v>
      </c>
      <c r="C605">
        <v>85</v>
      </c>
      <c r="D605">
        <v>131072</v>
      </c>
      <c r="E605">
        <v>19973</v>
      </c>
      <c r="F605">
        <v>111099</v>
      </c>
      <c r="G605">
        <v>15</v>
      </c>
      <c r="H605">
        <v>131072</v>
      </c>
      <c r="I605">
        <v>85</v>
      </c>
      <c r="J605" t="s">
        <v>1</v>
      </c>
      <c r="K605" t="s">
        <v>2</v>
      </c>
      <c r="L605" s="8">
        <f>InterspecUsage[[#This Row],[Used-MB]]-F595</f>
        <v>88</v>
      </c>
      <c r="M605">
        <f>InterspecUsage[[#This Row],[Max]]-InterspecUsage[[#This Row],[Used-MB]]</f>
        <v>19973</v>
      </c>
      <c r="N605" s="5">
        <f>IF($L605&gt;0,InterspecUsage[[#This Row],[Free-of-Max]]/InterspecUsage[[#This Row],[Usage-Delta-MB]],InterspecUsage[[#This Row],[Free-of-Max]])</f>
        <v>226.96590909090909</v>
      </c>
    </row>
    <row r="606" spans="1:14" x14ac:dyDescent="0.25">
      <c r="A606" s="3">
        <v>44670</v>
      </c>
      <c r="B606" t="s">
        <v>7</v>
      </c>
      <c r="C606">
        <v>95</v>
      </c>
      <c r="D606">
        <v>1180</v>
      </c>
      <c r="E606">
        <v>58</v>
      </c>
      <c r="F606">
        <v>1122</v>
      </c>
      <c r="G606">
        <v>5</v>
      </c>
      <c r="H606">
        <v>32768</v>
      </c>
      <c r="I606">
        <v>3</v>
      </c>
      <c r="J606" t="s">
        <v>1</v>
      </c>
      <c r="K606" t="s">
        <v>2</v>
      </c>
      <c r="L606" s="8">
        <f>InterspecUsage[[#This Row],[Used-MB]]-F596</f>
        <v>0</v>
      </c>
      <c r="M606">
        <f>InterspecUsage[[#This Row],[Max]]-InterspecUsage[[#This Row],[Used-MB]]</f>
        <v>31646</v>
      </c>
      <c r="N606" s="5">
        <f>IF($L606&gt;0,InterspecUsage[[#This Row],[Free-of-Max]]/InterspecUsage[[#This Row],[Usage-Delta-MB]],InterspecUsage[[#This Row],[Free-of-Max]])</f>
        <v>31646</v>
      </c>
    </row>
    <row r="607" spans="1:14" x14ac:dyDescent="0.25">
      <c r="A607" s="3">
        <v>44670</v>
      </c>
      <c r="B607" t="s">
        <v>0</v>
      </c>
      <c r="C607">
        <v>99</v>
      </c>
      <c r="D607">
        <v>3280</v>
      </c>
      <c r="E607">
        <v>18</v>
      </c>
      <c r="F607">
        <v>3262</v>
      </c>
      <c r="G607">
        <v>1</v>
      </c>
      <c r="H607">
        <v>32768</v>
      </c>
      <c r="I607">
        <v>10</v>
      </c>
      <c r="J607" t="s">
        <v>1</v>
      </c>
      <c r="K607" t="s">
        <v>2</v>
      </c>
      <c r="L607" s="8">
        <f>InterspecUsage[[#This Row],[Used-MB]]-F597</f>
        <v>0</v>
      </c>
      <c r="M607">
        <f>InterspecUsage[[#This Row],[Max]]-InterspecUsage[[#This Row],[Used-MB]]</f>
        <v>29506</v>
      </c>
      <c r="N607" s="5">
        <f>IF($L607&gt;0,InterspecUsage[[#This Row],[Free-of-Max]]/InterspecUsage[[#This Row],[Usage-Delta-MB]],InterspecUsage[[#This Row],[Free-of-Max]])</f>
        <v>29506</v>
      </c>
    </row>
    <row r="608" spans="1:14" x14ac:dyDescent="0.25">
      <c r="A608" s="3">
        <v>44670</v>
      </c>
      <c r="B608" t="s">
        <v>30</v>
      </c>
      <c r="C608">
        <v>0</v>
      </c>
      <c r="D608">
        <v>32767</v>
      </c>
      <c r="E608">
        <v>32752</v>
      </c>
      <c r="F608">
        <v>15</v>
      </c>
      <c r="G608">
        <v>100</v>
      </c>
      <c r="H608">
        <v>32768</v>
      </c>
      <c r="I608">
        <v>0</v>
      </c>
      <c r="J608" t="s">
        <v>1</v>
      </c>
      <c r="K608" t="s">
        <v>13</v>
      </c>
      <c r="L608" s="8">
        <f>InterspecUsage[[#This Row],[Used-MB]]-F598</f>
        <v>-9</v>
      </c>
      <c r="M608">
        <f>InterspecUsage[[#This Row],[Max]]-InterspecUsage[[#This Row],[Used-MB]]</f>
        <v>32753</v>
      </c>
      <c r="N608" s="5">
        <f>IF($L608&gt;0,InterspecUsage[[#This Row],[Free-of-Max]]/InterspecUsage[[#This Row],[Usage-Delta-MB]],InterspecUsage[[#This Row],[Free-of-Max]])</f>
        <v>32753</v>
      </c>
    </row>
    <row r="609" spans="1:14" x14ac:dyDescent="0.25">
      <c r="A609" s="3">
        <v>44670</v>
      </c>
      <c r="B609" t="s">
        <v>28</v>
      </c>
      <c r="C609">
        <v>24</v>
      </c>
      <c r="D609">
        <v>16400</v>
      </c>
      <c r="E609">
        <v>12383</v>
      </c>
      <c r="F609">
        <v>4018</v>
      </c>
      <c r="G609">
        <v>76</v>
      </c>
      <c r="H609">
        <v>32768</v>
      </c>
      <c r="I609">
        <v>12</v>
      </c>
      <c r="J609" t="s">
        <v>1</v>
      </c>
      <c r="K609" t="s">
        <v>10</v>
      </c>
      <c r="L609" s="8">
        <f>InterspecUsage[[#This Row],[Used-MB]]-F599</f>
        <v>-517</v>
      </c>
      <c r="M609">
        <f>InterspecUsage[[#This Row],[Max]]-InterspecUsage[[#This Row],[Used-MB]]</f>
        <v>28750</v>
      </c>
      <c r="N609" s="5">
        <f>IF($L609&gt;0,InterspecUsage[[#This Row],[Free-of-Max]]/InterspecUsage[[#This Row],[Usage-Delta-MB]],InterspecUsage[[#This Row],[Free-of-Max]])</f>
        <v>28750</v>
      </c>
    </row>
    <row r="610" spans="1:14" x14ac:dyDescent="0.25">
      <c r="A610" s="3">
        <v>44670</v>
      </c>
      <c r="B610" t="s">
        <v>25</v>
      </c>
      <c r="C610">
        <v>90</v>
      </c>
      <c r="D610">
        <v>11800</v>
      </c>
      <c r="E610">
        <v>1147</v>
      </c>
      <c r="F610">
        <v>10653</v>
      </c>
      <c r="G610">
        <v>10</v>
      </c>
      <c r="H610">
        <v>32768</v>
      </c>
      <c r="I610">
        <v>33</v>
      </c>
      <c r="J610" t="s">
        <v>1</v>
      </c>
      <c r="K610" t="s">
        <v>2</v>
      </c>
      <c r="L610" s="8">
        <f>InterspecUsage[[#This Row],[Used-MB]]-F600</f>
        <v>72</v>
      </c>
      <c r="M610">
        <f>InterspecUsage[[#This Row],[Max]]-InterspecUsage[[#This Row],[Used-MB]]</f>
        <v>22115</v>
      </c>
      <c r="N610" s="5">
        <f>IF($L610&gt;0,InterspecUsage[[#This Row],[Free-of-Max]]/InterspecUsage[[#This Row],[Usage-Delta-MB]],InterspecUsage[[#This Row],[Free-of-Max]])</f>
        <v>307.15277777777777</v>
      </c>
    </row>
    <row r="611" spans="1:14" x14ac:dyDescent="0.25">
      <c r="A611" s="3">
        <v>44670</v>
      </c>
      <c r="B611" t="s">
        <v>29</v>
      </c>
      <c r="C611">
        <v>0</v>
      </c>
      <c r="D611">
        <v>500</v>
      </c>
      <c r="E611">
        <v>499</v>
      </c>
      <c r="F611">
        <v>1</v>
      </c>
      <c r="G611">
        <v>100</v>
      </c>
      <c r="H611">
        <v>500</v>
      </c>
      <c r="I611">
        <v>0</v>
      </c>
      <c r="J611" t="s">
        <v>1</v>
      </c>
      <c r="K611" t="s">
        <v>2</v>
      </c>
      <c r="L611" s="8">
        <f>InterspecUsage[[#This Row],[Used-MB]]-F601</f>
        <v>0</v>
      </c>
      <c r="M611">
        <f>InterspecUsage[[#This Row],[Max]]-InterspecUsage[[#This Row],[Used-MB]]</f>
        <v>499</v>
      </c>
      <c r="N611" s="5">
        <f>IF($L611&gt;0,InterspecUsage[[#This Row],[Free-of-Max]]/InterspecUsage[[#This Row],[Usage-Delta-MB]],InterspecUsage[[#This Row],[Free-of-Max]])</f>
        <v>499</v>
      </c>
    </row>
    <row r="612" spans="1:14" x14ac:dyDescent="0.25">
      <c r="A612" s="3">
        <v>44676</v>
      </c>
      <c r="B612" t="s">
        <v>26</v>
      </c>
      <c r="C612">
        <v>95</v>
      </c>
      <c r="D612">
        <v>18788</v>
      </c>
      <c r="E612">
        <v>970</v>
      </c>
      <c r="F612">
        <v>17818</v>
      </c>
      <c r="G612">
        <v>5</v>
      </c>
      <c r="H612">
        <v>40960</v>
      </c>
      <c r="I612">
        <v>44</v>
      </c>
      <c r="J612" t="s">
        <v>1</v>
      </c>
      <c r="K612" t="s">
        <v>2</v>
      </c>
      <c r="L612" s="8">
        <f>InterspecUsage[[#This Row],[Used-MB]]-F602</f>
        <v>0</v>
      </c>
      <c r="M612">
        <f>InterspecUsage[[#This Row],[Max]]-InterspecUsage[[#This Row],[Used-MB]]</f>
        <v>23142</v>
      </c>
      <c r="N612" s="5">
        <f>IF($L612&gt;0,InterspecUsage[[#This Row],[Free-of-Max]]/InterspecUsage[[#This Row],[Usage-Delta-MB]],InterspecUsage[[#This Row],[Free-of-Max]])</f>
        <v>23142</v>
      </c>
    </row>
    <row r="613" spans="1:14" x14ac:dyDescent="0.25">
      <c r="A613" s="3">
        <v>44676</v>
      </c>
      <c r="B613" t="s">
        <v>24</v>
      </c>
      <c r="C613">
        <v>78</v>
      </c>
      <c r="D613">
        <v>18000</v>
      </c>
      <c r="E613">
        <v>3980</v>
      </c>
      <c r="F613">
        <v>14020</v>
      </c>
      <c r="G613">
        <v>22</v>
      </c>
      <c r="H613">
        <v>32768</v>
      </c>
      <c r="I613">
        <v>43</v>
      </c>
      <c r="J613" t="s">
        <v>1</v>
      </c>
      <c r="K613" t="s">
        <v>2</v>
      </c>
      <c r="L613" s="8">
        <f>InterspecUsage[[#This Row],[Used-MB]]-F603</f>
        <v>1</v>
      </c>
      <c r="M613">
        <f>InterspecUsage[[#This Row],[Max]]-InterspecUsage[[#This Row],[Used-MB]]</f>
        <v>18748</v>
      </c>
      <c r="N613" s="5">
        <f>IF($L613&gt;0,InterspecUsage[[#This Row],[Free-of-Max]]/InterspecUsage[[#This Row],[Usage-Delta-MB]],InterspecUsage[[#This Row],[Free-of-Max]])</f>
        <v>18748</v>
      </c>
    </row>
    <row r="614" spans="1:14" x14ac:dyDescent="0.25">
      <c r="A614" s="3">
        <v>44676</v>
      </c>
      <c r="B614" t="s">
        <v>35</v>
      </c>
      <c r="C614">
        <v>95</v>
      </c>
      <c r="D614">
        <v>23200</v>
      </c>
      <c r="E614">
        <v>1053</v>
      </c>
      <c r="F614">
        <v>22147</v>
      </c>
      <c r="G614">
        <v>5</v>
      </c>
      <c r="H614">
        <v>32768</v>
      </c>
      <c r="I614">
        <v>68</v>
      </c>
      <c r="J614" t="s">
        <v>1</v>
      </c>
      <c r="K614" t="s">
        <v>2</v>
      </c>
      <c r="L614" s="8">
        <f>InterspecUsage[[#This Row],[Used-MB]]-F604</f>
        <v>64</v>
      </c>
      <c r="M614">
        <f>InterspecUsage[[#This Row],[Max]]-InterspecUsage[[#This Row],[Used-MB]]</f>
        <v>10621</v>
      </c>
      <c r="N614" s="5">
        <f>IF($L614&gt;0,InterspecUsage[[#This Row],[Free-of-Max]]/InterspecUsage[[#This Row],[Usage-Delta-MB]],InterspecUsage[[#This Row],[Free-of-Max]])</f>
        <v>165.953125</v>
      </c>
    </row>
    <row r="615" spans="1:14" x14ac:dyDescent="0.25">
      <c r="A615" s="3">
        <v>44676</v>
      </c>
      <c r="B615" t="s">
        <v>27</v>
      </c>
      <c r="C615">
        <v>85</v>
      </c>
      <c r="D615">
        <v>131072</v>
      </c>
      <c r="E615">
        <v>19763</v>
      </c>
      <c r="F615">
        <v>111309</v>
      </c>
      <c r="G615">
        <v>15</v>
      </c>
      <c r="H615">
        <v>131072</v>
      </c>
      <c r="I615">
        <v>85</v>
      </c>
      <c r="J615" t="s">
        <v>1</v>
      </c>
      <c r="K615" t="s">
        <v>2</v>
      </c>
      <c r="L615" s="8">
        <f>InterspecUsage[[#This Row],[Used-MB]]-F605</f>
        <v>210</v>
      </c>
      <c r="M615">
        <f>InterspecUsage[[#This Row],[Max]]-InterspecUsage[[#This Row],[Used-MB]]</f>
        <v>19763</v>
      </c>
      <c r="N615" s="5">
        <f>IF($L615&gt;0,InterspecUsage[[#This Row],[Free-of-Max]]/InterspecUsage[[#This Row],[Usage-Delta-MB]],InterspecUsage[[#This Row],[Free-of-Max]])</f>
        <v>94.109523809523807</v>
      </c>
    </row>
    <row r="616" spans="1:14" x14ac:dyDescent="0.25">
      <c r="A616" s="3">
        <v>44676</v>
      </c>
      <c r="B616" t="s">
        <v>7</v>
      </c>
      <c r="C616">
        <v>95</v>
      </c>
      <c r="D616">
        <v>1200</v>
      </c>
      <c r="E616">
        <v>61</v>
      </c>
      <c r="F616">
        <v>1139</v>
      </c>
      <c r="G616">
        <v>5</v>
      </c>
      <c r="H616">
        <v>32768</v>
      </c>
      <c r="I616">
        <v>3</v>
      </c>
      <c r="J616" t="s">
        <v>1</v>
      </c>
      <c r="K616" t="s">
        <v>2</v>
      </c>
      <c r="L616" s="8">
        <f>InterspecUsage[[#This Row],[Used-MB]]-F606</f>
        <v>17</v>
      </c>
      <c r="M616">
        <f>InterspecUsage[[#This Row],[Max]]-InterspecUsage[[#This Row],[Used-MB]]</f>
        <v>31629</v>
      </c>
      <c r="N616" s="5">
        <f>IF($L616&gt;0,InterspecUsage[[#This Row],[Free-of-Max]]/InterspecUsage[[#This Row],[Usage-Delta-MB]],InterspecUsage[[#This Row],[Free-of-Max]])</f>
        <v>1860.5294117647059</v>
      </c>
    </row>
    <row r="617" spans="1:14" x14ac:dyDescent="0.25">
      <c r="A617" s="3">
        <v>44676</v>
      </c>
      <c r="B617" t="s">
        <v>0</v>
      </c>
      <c r="C617">
        <v>99</v>
      </c>
      <c r="D617">
        <v>3280</v>
      </c>
      <c r="E617">
        <v>18</v>
      </c>
      <c r="F617">
        <v>3262</v>
      </c>
      <c r="G617">
        <v>1</v>
      </c>
      <c r="H617">
        <v>32768</v>
      </c>
      <c r="I617">
        <v>10</v>
      </c>
      <c r="J617" t="s">
        <v>1</v>
      </c>
      <c r="K617" t="s">
        <v>2</v>
      </c>
      <c r="L617" s="8">
        <f>InterspecUsage[[#This Row],[Used-MB]]-F607</f>
        <v>0</v>
      </c>
      <c r="M617">
        <f>InterspecUsage[[#This Row],[Max]]-InterspecUsage[[#This Row],[Used-MB]]</f>
        <v>29506</v>
      </c>
      <c r="N617" s="5">
        <f>IF($L617&gt;0,InterspecUsage[[#This Row],[Free-of-Max]]/InterspecUsage[[#This Row],[Usage-Delta-MB]],InterspecUsage[[#This Row],[Free-of-Max]])</f>
        <v>29506</v>
      </c>
    </row>
    <row r="618" spans="1:14" x14ac:dyDescent="0.25">
      <c r="A618" s="3">
        <v>44676</v>
      </c>
      <c r="B618" t="s">
        <v>30</v>
      </c>
      <c r="C618">
        <v>0</v>
      </c>
      <c r="D618">
        <v>32767</v>
      </c>
      <c r="E618">
        <v>32749</v>
      </c>
      <c r="F618">
        <v>18</v>
      </c>
      <c r="G618">
        <v>100</v>
      </c>
      <c r="H618">
        <v>32768</v>
      </c>
      <c r="I618">
        <v>0</v>
      </c>
      <c r="J618" t="s">
        <v>1</v>
      </c>
      <c r="K618" t="s">
        <v>13</v>
      </c>
      <c r="L618" s="8">
        <f>InterspecUsage[[#This Row],[Used-MB]]-F608</f>
        <v>3</v>
      </c>
      <c r="M618">
        <f>InterspecUsage[[#This Row],[Max]]-InterspecUsage[[#This Row],[Used-MB]]</f>
        <v>32750</v>
      </c>
      <c r="N618" s="5">
        <f>IF($L618&gt;0,InterspecUsage[[#This Row],[Free-of-Max]]/InterspecUsage[[#This Row],[Usage-Delta-MB]],InterspecUsage[[#This Row],[Free-of-Max]])</f>
        <v>10916.666666666666</v>
      </c>
    </row>
    <row r="619" spans="1:14" x14ac:dyDescent="0.25">
      <c r="A619" s="3">
        <v>44676</v>
      </c>
      <c r="B619" t="s">
        <v>28</v>
      </c>
      <c r="C619">
        <v>25</v>
      </c>
      <c r="D619">
        <v>16400</v>
      </c>
      <c r="E619">
        <v>12363</v>
      </c>
      <c r="F619">
        <v>4037</v>
      </c>
      <c r="G619">
        <v>75</v>
      </c>
      <c r="H619">
        <v>32768</v>
      </c>
      <c r="I619">
        <v>12</v>
      </c>
      <c r="J619" t="s">
        <v>1</v>
      </c>
      <c r="K619" t="s">
        <v>10</v>
      </c>
      <c r="L619" s="8">
        <f>InterspecUsage[[#This Row],[Used-MB]]-F609</f>
        <v>19</v>
      </c>
      <c r="M619">
        <f>InterspecUsage[[#This Row],[Max]]-InterspecUsage[[#This Row],[Used-MB]]</f>
        <v>28731</v>
      </c>
      <c r="N619" s="5">
        <f>IF($L619&gt;0,InterspecUsage[[#This Row],[Free-of-Max]]/InterspecUsage[[#This Row],[Usage-Delta-MB]],InterspecUsage[[#This Row],[Free-of-Max]])</f>
        <v>1512.1578947368421</v>
      </c>
    </row>
    <row r="620" spans="1:14" x14ac:dyDescent="0.25">
      <c r="A620" s="3">
        <v>44676</v>
      </c>
      <c r="B620" t="s">
        <v>25</v>
      </c>
      <c r="C620">
        <v>90</v>
      </c>
      <c r="D620">
        <v>11800</v>
      </c>
      <c r="E620">
        <v>1147</v>
      </c>
      <c r="F620">
        <v>10653</v>
      </c>
      <c r="G620">
        <v>10</v>
      </c>
      <c r="H620">
        <v>32768</v>
      </c>
      <c r="I620">
        <v>33</v>
      </c>
      <c r="J620" t="s">
        <v>1</v>
      </c>
      <c r="K620" t="s">
        <v>2</v>
      </c>
      <c r="L620" s="8">
        <f>InterspecUsage[[#This Row],[Used-MB]]-F610</f>
        <v>0</v>
      </c>
      <c r="M620">
        <f>InterspecUsage[[#This Row],[Max]]-InterspecUsage[[#This Row],[Used-MB]]</f>
        <v>22115</v>
      </c>
      <c r="N620" s="5">
        <f>IF($L620&gt;0,InterspecUsage[[#This Row],[Free-of-Max]]/InterspecUsage[[#This Row],[Usage-Delta-MB]],InterspecUsage[[#This Row],[Free-of-Max]])</f>
        <v>22115</v>
      </c>
    </row>
    <row r="621" spans="1:14" x14ac:dyDescent="0.25">
      <c r="A621" s="3">
        <v>44676</v>
      </c>
      <c r="B621" t="s">
        <v>29</v>
      </c>
      <c r="C621">
        <v>0</v>
      </c>
      <c r="D621">
        <v>500</v>
      </c>
      <c r="E621">
        <v>499</v>
      </c>
      <c r="F621">
        <v>1</v>
      </c>
      <c r="G621">
        <v>100</v>
      </c>
      <c r="H621">
        <v>500</v>
      </c>
      <c r="I621">
        <v>0</v>
      </c>
      <c r="J621" t="s">
        <v>1</v>
      </c>
      <c r="K621" t="s">
        <v>2</v>
      </c>
      <c r="L621" s="8">
        <f>InterspecUsage[[#This Row],[Used-MB]]-F611</f>
        <v>0</v>
      </c>
      <c r="M621">
        <f>InterspecUsage[[#This Row],[Max]]-InterspecUsage[[#This Row],[Used-MB]]</f>
        <v>499</v>
      </c>
      <c r="N621" s="5">
        <f>IF($L621&gt;0,InterspecUsage[[#This Row],[Free-of-Max]]/InterspecUsage[[#This Row],[Usage-Delta-MB]],InterspecUsage[[#This Row],[Free-of-Max]])</f>
        <v>499</v>
      </c>
    </row>
    <row r="622" spans="1:14" x14ac:dyDescent="0.25">
      <c r="A622" s="3">
        <v>44686</v>
      </c>
      <c r="B622" t="s">
        <v>26</v>
      </c>
      <c r="C622">
        <v>95</v>
      </c>
      <c r="D622">
        <v>18788</v>
      </c>
      <c r="E622">
        <v>906</v>
      </c>
      <c r="F622">
        <v>17882</v>
      </c>
      <c r="G622">
        <v>5</v>
      </c>
      <c r="H622">
        <v>40960</v>
      </c>
      <c r="I622">
        <v>44</v>
      </c>
      <c r="J622" t="s">
        <v>1</v>
      </c>
      <c r="K622" t="s">
        <v>2</v>
      </c>
      <c r="L622" s="8">
        <f>InterspecUsage[[#This Row],[Used-MB]]-F612</f>
        <v>64</v>
      </c>
      <c r="M622">
        <f>InterspecUsage[[#This Row],[Max]]-InterspecUsage[[#This Row],[Used-MB]]</f>
        <v>23078</v>
      </c>
      <c r="N622" s="5">
        <f>IF($L622&gt;0,InterspecUsage[[#This Row],[Free-of-Max]]/InterspecUsage[[#This Row],[Usage-Delta-MB]],InterspecUsage[[#This Row],[Free-of-Max]])</f>
        <v>360.59375</v>
      </c>
    </row>
    <row r="623" spans="1:14" x14ac:dyDescent="0.25">
      <c r="A623" s="3">
        <v>44686</v>
      </c>
      <c r="B623" t="s">
        <v>24</v>
      </c>
      <c r="C623">
        <v>79</v>
      </c>
      <c r="D623">
        <v>18000</v>
      </c>
      <c r="E623">
        <v>3842</v>
      </c>
      <c r="F623">
        <v>14158</v>
      </c>
      <c r="G623">
        <v>21</v>
      </c>
      <c r="H623">
        <v>32768</v>
      </c>
      <c r="I623">
        <v>43</v>
      </c>
      <c r="J623" t="s">
        <v>1</v>
      </c>
      <c r="K623" t="s">
        <v>2</v>
      </c>
      <c r="L623" s="8">
        <f>InterspecUsage[[#This Row],[Used-MB]]-F613</f>
        <v>138</v>
      </c>
      <c r="M623">
        <f>InterspecUsage[[#This Row],[Max]]-InterspecUsage[[#This Row],[Used-MB]]</f>
        <v>18610</v>
      </c>
      <c r="N623" s="5">
        <f>IF($L623&gt;0,InterspecUsage[[#This Row],[Free-of-Max]]/InterspecUsage[[#This Row],[Usage-Delta-MB]],InterspecUsage[[#This Row],[Free-of-Max]])</f>
        <v>134.85507246376812</v>
      </c>
    </row>
    <row r="624" spans="1:14" x14ac:dyDescent="0.25">
      <c r="A624" s="3">
        <v>44686</v>
      </c>
      <c r="B624" t="s">
        <v>35</v>
      </c>
      <c r="C624">
        <v>95</v>
      </c>
      <c r="D624">
        <v>23600</v>
      </c>
      <c r="E624">
        <v>1068</v>
      </c>
      <c r="F624">
        <v>22532</v>
      </c>
      <c r="G624">
        <v>5</v>
      </c>
      <c r="H624">
        <v>32768</v>
      </c>
      <c r="I624">
        <v>69</v>
      </c>
      <c r="J624" t="s">
        <v>1</v>
      </c>
      <c r="K624" t="s">
        <v>2</v>
      </c>
      <c r="L624" s="8">
        <f>InterspecUsage[[#This Row],[Used-MB]]-F614</f>
        <v>385</v>
      </c>
      <c r="M624">
        <f>InterspecUsage[[#This Row],[Max]]-InterspecUsage[[#This Row],[Used-MB]]</f>
        <v>10236</v>
      </c>
      <c r="N624" s="5">
        <f>IF($L624&gt;0,InterspecUsage[[#This Row],[Free-of-Max]]/InterspecUsage[[#This Row],[Usage-Delta-MB]],InterspecUsage[[#This Row],[Free-of-Max]])</f>
        <v>26.587012987012987</v>
      </c>
    </row>
    <row r="625" spans="1:14" x14ac:dyDescent="0.25">
      <c r="A625" s="3">
        <v>44686</v>
      </c>
      <c r="B625" t="s">
        <v>27</v>
      </c>
      <c r="C625">
        <v>87</v>
      </c>
      <c r="D625">
        <v>131072</v>
      </c>
      <c r="E625">
        <v>17449</v>
      </c>
      <c r="F625">
        <v>113623</v>
      </c>
      <c r="G625">
        <v>13</v>
      </c>
      <c r="H625">
        <v>131072</v>
      </c>
      <c r="I625">
        <v>87</v>
      </c>
      <c r="J625" t="s">
        <v>1</v>
      </c>
      <c r="K625" t="s">
        <v>2</v>
      </c>
      <c r="L625" s="8">
        <f>InterspecUsage[[#This Row],[Used-MB]]-F615</f>
        <v>2314</v>
      </c>
      <c r="M625">
        <f>InterspecUsage[[#This Row],[Max]]-InterspecUsage[[#This Row],[Used-MB]]</f>
        <v>17449</v>
      </c>
      <c r="N625" s="5">
        <f>IF($L625&gt;0,InterspecUsage[[#This Row],[Free-of-Max]]/InterspecUsage[[#This Row],[Usage-Delta-MB]],InterspecUsage[[#This Row],[Free-of-Max]])</f>
        <v>7.5406222990492653</v>
      </c>
    </row>
    <row r="626" spans="1:14" x14ac:dyDescent="0.25">
      <c r="A626" s="3">
        <v>44686</v>
      </c>
      <c r="B626" t="s">
        <v>7</v>
      </c>
      <c r="C626">
        <v>96</v>
      </c>
      <c r="D626">
        <v>1200</v>
      </c>
      <c r="E626">
        <v>54</v>
      </c>
      <c r="F626">
        <v>1146</v>
      </c>
      <c r="G626">
        <v>4</v>
      </c>
      <c r="H626">
        <v>32768</v>
      </c>
      <c r="I626">
        <v>3</v>
      </c>
      <c r="J626" t="s">
        <v>1</v>
      </c>
      <c r="K626" t="s">
        <v>2</v>
      </c>
      <c r="L626" s="8">
        <f>InterspecUsage[[#This Row],[Used-MB]]-F616</f>
        <v>7</v>
      </c>
      <c r="M626">
        <f>InterspecUsage[[#This Row],[Max]]-InterspecUsage[[#This Row],[Used-MB]]</f>
        <v>31622</v>
      </c>
      <c r="N626" s="5">
        <f>IF($L626&gt;0,InterspecUsage[[#This Row],[Free-of-Max]]/InterspecUsage[[#This Row],[Usage-Delta-MB]],InterspecUsage[[#This Row],[Free-of-Max]])</f>
        <v>4517.4285714285716</v>
      </c>
    </row>
    <row r="627" spans="1:14" x14ac:dyDescent="0.25">
      <c r="A627" s="3">
        <v>44686</v>
      </c>
      <c r="B627" t="s">
        <v>0</v>
      </c>
      <c r="C627">
        <v>99</v>
      </c>
      <c r="D627">
        <v>3350</v>
      </c>
      <c r="E627">
        <v>24</v>
      </c>
      <c r="F627">
        <v>3326</v>
      </c>
      <c r="G627">
        <v>1</v>
      </c>
      <c r="H627">
        <v>32768</v>
      </c>
      <c r="I627">
        <v>10</v>
      </c>
      <c r="J627" t="s">
        <v>1</v>
      </c>
      <c r="K627" t="s">
        <v>2</v>
      </c>
      <c r="L627" s="8">
        <f>InterspecUsage[[#This Row],[Used-MB]]-F617</f>
        <v>64</v>
      </c>
      <c r="M627">
        <f>InterspecUsage[[#This Row],[Max]]-InterspecUsage[[#This Row],[Used-MB]]</f>
        <v>29442</v>
      </c>
      <c r="N627" s="5">
        <f>IF($L627&gt;0,InterspecUsage[[#This Row],[Free-of-Max]]/InterspecUsage[[#This Row],[Usage-Delta-MB]],InterspecUsage[[#This Row],[Free-of-Max]])</f>
        <v>460.03125</v>
      </c>
    </row>
    <row r="628" spans="1:14" x14ac:dyDescent="0.25">
      <c r="A628" s="3">
        <v>44686</v>
      </c>
      <c r="B628" t="s">
        <v>30</v>
      </c>
      <c r="C628">
        <v>0</v>
      </c>
      <c r="D628">
        <v>32767</v>
      </c>
      <c r="E628">
        <v>32737</v>
      </c>
      <c r="F628">
        <v>30</v>
      </c>
      <c r="G628">
        <v>100</v>
      </c>
      <c r="H628">
        <v>32768</v>
      </c>
      <c r="I628">
        <v>0</v>
      </c>
      <c r="J628" t="s">
        <v>1</v>
      </c>
      <c r="K628" t="s">
        <v>13</v>
      </c>
      <c r="L628" s="8">
        <f>InterspecUsage[[#This Row],[Used-MB]]-F618</f>
        <v>12</v>
      </c>
      <c r="M628">
        <f>InterspecUsage[[#This Row],[Max]]-InterspecUsage[[#This Row],[Used-MB]]</f>
        <v>32738</v>
      </c>
      <c r="N628" s="5">
        <f>IF($L628&gt;0,InterspecUsage[[#This Row],[Free-of-Max]]/InterspecUsage[[#This Row],[Usage-Delta-MB]],InterspecUsage[[#This Row],[Free-of-Max]])</f>
        <v>2728.1666666666665</v>
      </c>
    </row>
    <row r="629" spans="1:14" x14ac:dyDescent="0.25">
      <c r="A629" s="3">
        <v>44686</v>
      </c>
      <c r="B629" t="s">
        <v>28</v>
      </c>
      <c r="C629">
        <v>19</v>
      </c>
      <c r="D629">
        <v>16400</v>
      </c>
      <c r="E629">
        <v>13298</v>
      </c>
      <c r="F629">
        <v>3102</v>
      </c>
      <c r="G629">
        <v>81</v>
      </c>
      <c r="H629">
        <v>32768</v>
      </c>
      <c r="I629">
        <v>9</v>
      </c>
      <c r="J629" t="s">
        <v>1</v>
      </c>
      <c r="K629" t="s">
        <v>10</v>
      </c>
      <c r="L629" s="8">
        <f>InterspecUsage[[#This Row],[Used-MB]]-F619</f>
        <v>-935</v>
      </c>
      <c r="M629">
        <f>InterspecUsage[[#This Row],[Max]]-InterspecUsage[[#This Row],[Used-MB]]</f>
        <v>29666</v>
      </c>
      <c r="N629" s="5">
        <f>IF($L629&gt;0,InterspecUsage[[#This Row],[Free-of-Max]]/InterspecUsage[[#This Row],[Usage-Delta-MB]],InterspecUsage[[#This Row],[Free-of-Max]])</f>
        <v>29666</v>
      </c>
    </row>
    <row r="630" spans="1:14" x14ac:dyDescent="0.25">
      <c r="A630" s="3">
        <v>44686</v>
      </c>
      <c r="B630" t="s">
        <v>25</v>
      </c>
      <c r="C630">
        <v>90</v>
      </c>
      <c r="D630">
        <v>11800</v>
      </c>
      <c r="E630">
        <v>1147</v>
      </c>
      <c r="F630">
        <v>10653</v>
      </c>
      <c r="G630">
        <v>10</v>
      </c>
      <c r="H630">
        <v>32768</v>
      </c>
      <c r="I630">
        <v>33</v>
      </c>
      <c r="J630" t="s">
        <v>1</v>
      </c>
      <c r="K630" t="s">
        <v>2</v>
      </c>
      <c r="L630" s="8">
        <f>InterspecUsage[[#This Row],[Used-MB]]-F620</f>
        <v>0</v>
      </c>
      <c r="M630">
        <f>InterspecUsage[[#This Row],[Max]]-InterspecUsage[[#This Row],[Used-MB]]</f>
        <v>22115</v>
      </c>
      <c r="N630" s="5">
        <f>IF($L630&gt;0,InterspecUsage[[#This Row],[Free-of-Max]]/InterspecUsage[[#This Row],[Usage-Delta-MB]],InterspecUsage[[#This Row],[Free-of-Max]])</f>
        <v>22115</v>
      </c>
    </row>
    <row r="631" spans="1:14" x14ac:dyDescent="0.25">
      <c r="A631" s="3">
        <v>44686</v>
      </c>
      <c r="B631" t="s">
        <v>29</v>
      </c>
      <c r="C631">
        <v>0</v>
      </c>
      <c r="D631">
        <v>500</v>
      </c>
      <c r="E631">
        <v>499</v>
      </c>
      <c r="F631">
        <v>1</v>
      </c>
      <c r="G631">
        <v>100</v>
      </c>
      <c r="H631">
        <v>500</v>
      </c>
      <c r="I631">
        <v>0</v>
      </c>
      <c r="J631" t="s">
        <v>1</v>
      </c>
      <c r="K631" t="s">
        <v>2</v>
      </c>
      <c r="L631" s="8">
        <f>InterspecUsage[[#This Row],[Used-MB]]-F621</f>
        <v>0</v>
      </c>
      <c r="M631">
        <f>InterspecUsage[[#This Row],[Max]]-InterspecUsage[[#This Row],[Used-MB]]</f>
        <v>499</v>
      </c>
      <c r="N631" s="5">
        <f>IF($L631&gt;0,InterspecUsage[[#This Row],[Free-of-Max]]/InterspecUsage[[#This Row],[Usage-Delta-MB]],InterspecUsage[[#This Row],[Free-of-Max]])</f>
        <v>499</v>
      </c>
    </row>
    <row r="632" spans="1:14" x14ac:dyDescent="0.25">
      <c r="A632" s="3">
        <v>44690</v>
      </c>
      <c r="B632" t="s">
        <v>26</v>
      </c>
      <c r="C632">
        <v>95</v>
      </c>
      <c r="D632">
        <v>18788</v>
      </c>
      <c r="E632">
        <v>906</v>
      </c>
      <c r="F632">
        <v>17882</v>
      </c>
      <c r="G632">
        <v>5</v>
      </c>
      <c r="H632">
        <v>40960</v>
      </c>
      <c r="I632">
        <v>44</v>
      </c>
      <c r="J632" t="s">
        <v>1</v>
      </c>
      <c r="K632" t="s">
        <v>2</v>
      </c>
      <c r="L632" s="8">
        <f>InterspecUsage[[#This Row],[Used-MB]]-F622</f>
        <v>0</v>
      </c>
      <c r="M632">
        <f>InterspecUsage[[#This Row],[Max]]-InterspecUsage[[#This Row],[Used-MB]]</f>
        <v>23078</v>
      </c>
      <c r="N632" s="5">
        <f>IF($L632&gt;0,InterspecUsage[[#This Row],[Free-of-Max]]/InterspecUsage[[#This Row],[Usage-Delta-MB]],InterspecUsage[[#This Row],[Free-of-Max]])</f>
        <v>23078</v>
      </c>
    </row>
    <row r="633" spans="1:14" x14ac:dyDescent="0.25">
      <c r="A633" s="3">
        <v>44690</v>
      </c>
      <c r="B633" t="s">
        <v>24</v>
      </c>
      <c r="C633">
        <v>79</v>
      </c>
      <c r="D633">
        <v>18000</v>
      </c>
      <c r="E633">
        <v>3842</v>
      </c>
      <c r="F633">
        <v>14158</v>
      </c>
      <c r="G633">
        <v>21</v>
      </c>
      <c r="H633">
        <v>32768</v>
      </c>
      <c r="I633">
        <v>43</v>
      </c>
      <c r="J633" t="s">
        <v>1</v>
      </c>
      <c r="K633" t="s">
        <v>2</v>
      </c>
      <c r="L633" s="8">
        <f>InterspecUsage[[#This Row],[Used-MB]]-F623</f>
        <v>0</v>
      </c>
      <c r="M633">
        <f>InterspecUsage[[#This Row],[Max]]-InterspecUsage[[#This Row],[Used-MB]]</f>
        <v>18610</v>
      </c>
      <c r="N633" s="5">
        <f>IF($L633&gt;0,InterspecUsage[[#This Row],[Free-of-Max]]/InterspecUsage[[#This Row],[Usage-Delta-MB]],InterspecUsage[[#This Row],[Free-of-Max]])</f>
        <v>18610</v>
      </c>
    </row>
    <row r="634" spans="1:14" x14ac:dyDescent="0.25">
      <c r="A634" s="3">
        <v>44690</v>
      </c>
      <c r="B634" t="s">
        <v>35</v>
      </c>
      <c r="C634">
        <v>95</v>
      </c>
      <c r="D634">
        <v>23800</v>
      </c>
      <c r="E634">
        <v>1204</v>
      </c>
      <c r="F634">
        <v>22596</v>
      </c>
      <c r="G634">
        <v>5</v>
      </c>
      <c r="H634">
        <v>32768</v>
      </c>
      <c r="I634">
        <v>69</v>
      </c>
      <c r="J634" t="s">
        <v>1</v>
      </c>
      <c r="K634" t="s">
        <v>2</v>
      </c>
      <c r="L634" s="8">
        <f>InterspecUsage[[#This Row],[Used-MB]]-F624</f>
        <v>64</v>
      </c>
      <c r="M634">
        <f>InterspecUsage[[#This Row],[Max]]-InterspecUsage[[#This Row],[Used-MB]]</f>
        <v>10172</v>
      </c>
      <c r="N634" s="5">
        <f>IF($L634&gt;0,InterspecUsage[[#This Row],[Free-of-Max]]/InterspecUsage[[#This Row],[Usage-Delta-MB]],InterspecUsage[[#This Row],[Free-of-Max]])</f>
        <v>158.9375</v>
      </c>
    </row>
    <row r="635" spans="1:14" x14ac:dyDescent="0.25">
      <c r="A635" s="3">
        <v>44690</v>
      </c>
      <c r="B635" t="s">
        <v>27</v>
      </c>
      <c r="C635">
        <v>87</v>
      </c>
      <c r="D635">
        <v>131072</v>
      </c>
      <c r="E635">
        <v>17320</v>
      </c>
      <c r="F635">
        <v>113752</v>
      </c>
      <c r="G635">
        <v>13</v>
      </c>
      <c r="H635">
        <v>131072</v>
      </c>
      <c r="I635">
        <v>87</v>
      </c>
      <c r="J635" t="s">
        <v>1</v>
      </c>
      <c r="K635" t="s">
        <v>2</v>
      </c>
      <c r="L635" s="8">
        <f>InterspecUsage[[#This Row],[Used-MB]]-F625</f>
        <v>129</v>
      </c>
      <c r="M635">
        <f>InterspecUsage[[#This Row],[Max]]-InterspecUsage[[#This Row],[Used-MB]]</f>
        <v>17320</v>
      </c>
      <c r="N635" s="5">
        <f>IF($L635&gt;0,InterspecUsage[[#This Row],[Free-of-Max]]/InterspecUsage[[#This Row],[Usage-Delta-MB]],InterspecUsage[[#This Row],[Free-of-Max]])</f>
        <v>134.26356589147287</v>
      </c>
    </row>
    <row r="636" spans="1:14" x14ac:dyDescent="0.25">
      <c r="A636" s="3">
        <v>44690</v>
      </c>
      <c r="B636" t="s">
        <v>7</v>
      </c>
      <c r="C636">
        <v>96</v>
      </c>
      <c r="D636">
        <v>1200</v>
      </c>
      <c r="E636">
        <v>53</v>
      </c>
      <c r="F636">
        <v>1147</v>
      </c>
      <c r="G636">
        <v>4</v>
      </c>
      <c r="H636">
        <v>32768</v>
      </c>
      <c r="I636">
        <v>4</v>
      </c>
      <c r="J636" t="s">
        <v>1</v>
      </c>
      <c r="K636" t="s">
        <v>2</v>
      </c>
      <c r="L636" s="8">
        <f>InterspecUsage[[#This Row],[Used-MB]]-F626</f>
        <v>1</v>
      </c>
      <c r="M636">
        <f>InterspecUsage[[#This Row],[Max]]-InterspecUsage[[#This Row],[Used-MB]]</f>
        <v>31621</v>
      </c>
      <c r="N636" s="5">
        <f>IF($L636&gt;0,InterspecUsage[[#This Row],[Free-of-Max]]/InterspecUsage[[#This Row],[Usage-Delta-MB]],InterspecUsage[[#This Row],[Free-of-Max]])</f>
        <v>31621</v>
      </c>
    </row>
    <row r="637" spans="1:14" x14ac:dyDescent="0.25">
      <c r="A637" s="3">
        <v>44690</v>
      </c>
      <c r="B637" t="s">
        <v>0</v>
      </c>
      <c r="C637">
        <v>99</v>
      </c>
      <c r="D637">
        <v>3350</v>
      </c>
      <c r="E637">
        <v>24</v>
      </c>
      <c r="F637">
        <v>3326</v>
      </c>
      <c r="G637">
        <v>1</v>
      </c>
      <c r="H637">
        <v>32768</v>
      </c>
      <c r="I637">
        <v>10</v>
      </c>
      <c r="J637" t="s">
        <v>1</v>
      </c>
      <c r="K637" t="s">
        <v>2</v>
      </c>
      <c r="L637" s="8">
        <f>InterspecUsage[[#This Row],[Used-MB]]-F627</f>
        <v>0</v>
      </c>
      <c r="M637">
        <f>InterspecUsage[[#This Row],[Max]]-InterspecUsage[[#This Row],[Used-MB]]</f>
        <v>29442</v>
      </c>
      <c r="N637" s="5">
        <f>IF($L637&gt;0,InterspecUsage[[#This Row],[Free-of-Max]]/InterspecUsage[[#This Row],[Usage-Delta-MB]],InterspecUsage[[#This Row],[Free-of-Max]])</f>
        <v>29442</v>
      </c>
    </row>
    <row r="638" spans="1:14" x14ac:dyDescent="0.25">
      <c r="A638" s="3">
        <v>44690</v>
      </c>
      <c r="B638" t="s">
        <v>30</v>
      </c>
      <c r="C638">
        <v>0</v>
      </c>
      <c r="D638">
        <v>32767</v>
      </c>
      <c r="E638">
        <v>32735</v>
      </c>
      <c r="F638">
        <v>32</v>
      </c>
      <c r="G638">
        <v>100</v>
      </c>
      <c r="H638">
        <v>32768</v>
      </c>
      <c r="I638">
        <v>0</v>
      </c>
      <c r="J638" t="s">
        <v>1</v>
      </c>
      <c r="K638" t="s">
        <v>13</v>
      </c>
      <c r="L638" s="8">
        <f>InterspecUsage[[#This Row],[Used-MB]]-F628</f>
        <v>2</v>
      </c>
      <c r="M638">
        <f>InterspecUsage[[#This Row],[Max]]-InterspecUsage[[#This Row],[Used-MB]]</f>
        <v>32736</v>
      </c>
      <c r="N638" s="5">
        <f>IF($L638&gt;0,InterspecUsage[[#This Row],[Free-of-Max]]/InterspecUsage[[#This Row],[Usage-Delta-MB]],InterspecUsage[[#This Row],[Free-of-Max]])</f>
        <v>16368</v>
      </c>
    </row>
    <row r="639" spans="1:14" x14ac:dyDescent="0.25">
      <c r="A639" s="3">
        <v>44690</v>
      </c>
      <c r="B639" t="s">
        <v>28</v>
      </c>
      <c r="C639">
        <v>18</v>
      </c>
      <c r="D639">
        <v>16400</v>
      </c>
      <c r="E639">
        <v>13399</v>
      </c>
      <c r="F639">
        <v>3001</v>
      </c>
      <c r="G639">
        <v>82</v>
      </c>
      <c r="H639">
        <v>32768</v>
      </c>
      <c r="I639">
        <v>9</v>
      </c>
      <c r="J639" t="s">
        <v>1</v>
      </c>
      <c r="K639" t="s">
        <v>10</v>
      </c>
      <c r="L639" s="8">
        <f>InterspecUsage[[#This Row],[Used-MB]]-F629</f>
        <v>-101</v>
      </c>
      <c r="M639">
        <f>InterspecUsage[[#This Row],[Max]]-InterspecUsage[[#This Row],[Used-MB]]</f>
        <v>29767</v>
      </c>
      <c r="N639" s="5">
        <f>IF($L639&gt;0,InterspecUsage[[#This Row],[Free-of-Max]]/InterspecUsage[[#This Row],[Usage-Delta-MB]],InterspecUsage[[#This Row],[Free-of-Max]])</f>
        <v>29767</v>
      </c>
    </row>
    <row r="640" spans="1:14" x14ac:dyDescent="0.25">
      <c r="A640" s="3">
        <v>44690</v>
      </c>
      <c r="B640" t="s">
        <v>25</v>
      </c>
      <c r="C640">
        <v>90</v>
      </c>
      <c r="D640">
        <v>11800</v>
      </c>
      <c r="E640">
        <v>1147</v>
      </c>
      <c r="F640">
        <v>10653</v>
      </c>
      <c r="G640">
        <v>10</v>
      </c>
      <c r="H640">
        <v>32768</v>
      </c>
      <c r="I640">
        <v>33</v>
      </c>
      <c r="J640" t="s">
        <v>1</v>
      </c>
      <c r="K640" t="s">
        <v>2</v>
      </c>
      <c r="L640" s="8">
        <f>InterspecUsage[[#This Row],[Used-MB]]-F630</f>
        <v>0</v>
      </c>
      <c r="M640">
        <f>InterspecUsage[[#This Row],[Max]]-InterspecUsage[[#This Row],[Used-MB]]</f>
        <v>22115</v>
      </c>
      <c r="N640" s="5">
        <f>IF($L640&gt;0,InterspecUsage[[#This Row],[Free-of-Max]]/InterspecUsage[[#This Row],[Usage-Delta-MB]],InterspecUsage[[#This Row],[Free-of-Max]])</f>
        <v>22115</v>
      </c>
    </row>
    <row r="641" spans="1:14" x14ac:dyDescent="0.25">
      <c r="A641" s="3">
        <v>44690</v>
      </c>
      <c r="B641" t="s">
        <v>29</v>
      </c>
      <c r="C641">
        <v>0</v>
      </c>
      <c r="D641">
        <v>500</v>
      </c>
      <c r="E641">
        <v>499</v>
      </c>
      <c r="F641">
        <v>1</v>
      </c>
      <c r="G641">
        <v>100</v>
      </c>
      <c r="H641">
        <v>500</v>
      </c>
      <c r="I641">
        <v>0</v>
      </c>
      <c r="J641" t="s">
        <v>1</v>
      </c>
      <c r="K641" t="s">
        <v>2</v>
      </c>
      <c r="L641" s="8">
        <f>InterspecUsage[[#This Row],[Used-MB]]-F631</f>
        <v>0</v>
      </c>
      <c r="M641">
        <f>InterspecUsage[[#This Row],[Max]]-InterspecUsage[[#This Row],[Used-MB]]</f>
        <v>499</v>
      </c>
      <c r="N641" s="5">
        <f>IF($L641&gt;0,InterspecUsage[[#This Row],[Free-of-Max]]/InterspecUsage[[#This Row],[Usage-Delta-MB]],InterspecUsage[[#This Row],[Free-of-Max]])</f>
        <v>499</v>
      </c>
    </row>
    <row r="642" spans="1:14" x14ac:dyDescent="0.25">
      <c r="A642" s="3">
        <v>44697</v>
      </c>
      <c r="B642" t="s">
        <v>26</v>
      </c>
      <c r="C642">
        <v>95</v>
      </c>
      <c r="D642">
        <v>18788</v>
      </c>
      <c r="E642">
        <v>906</v>
      </c>
      <c r="F642">
        <v>17882</v>
      </c>
      <c r="G642">
        <v>5</v>
      </c>
      <c r="H642">
        <v>40960</v>
      </c>
      <c r="I642">
        <v>44</v>
      </c>
      <c r="J642" t="s">
        <v>1</v>
      </c>
      <c r="K642" t="s">
        <v>2</v>
      </c>
      <c r="L642" s="8">
        <f>InterspecUsage[[#This Row],[Used-MB]]-F632</f>
        <v>0</v>
      </c>
      <c r="M642">
        <f>InterspecUsage[[#This Row],[Max]]-InterspecUsage[[#This Row],[Used-MB]]</f>
        <v>23078</v>
      </c>
      <c r="N642" s="5">
        <f>IF($L642&gt;0,InterspecUsage[[#This Row],[Free-of-Max]]/InterspecUsage[[#This Row],[Usage-Delta-MB]],InterspecUsage[[#This Row],[Free-of-Max]])</f>
        <v>23078</v>
      </c>
    </row>
    <row r="643" spans="1:14" x14ac:dyDescent="0.25">
      <c r="A643" s="3">
        <v>44697</v>
      </c>
      <c r="B643" t="s">
        <v>24</v>
      </c>
      <c r="C643">
        <v>79</v>
      </c>
      <c r="D643">
        <v>18000</v>
      </c>
      <c r="E643">
        <v>3842</v>
      </c>
      <c r="F643">
        <v>14158</v>
      </c>
      <c r="G643">
        <v>21</v>
      </c>
      <c r="H643">
        <v>32768</v>
      </c>
      <c r="I643">
        <v>43</v>
      </c>
      <c r="J643" t="s">
        <v>1</v>
      </c>
      <c r="K643" t="s">
        <v>2</v>
      </c>
      <c r="L643" s="8">
        <f>InterspecUsage[[#This Row],[Used-MB]]-F633</f>
        <v>0</v>
      </c>
      <c r="M643">
        <f>InterspecUsage[[#This Row],[Max]]-InterspecUsage[[#This Row],[Used-MB]]</f>
        <v>18610</v>
      </c>
      <c r="N643" s="5">
        <f>IF($L643&gt;0,InterspecUsage[[#This Row],[Free-of-Max]]/InterspecUsage[[#This Row],[Usage-Delta-MB]],InterspecUsage[[#This Row],[Free-of-Max]])</f>
        <v>18610</v>
      </c>
    </row>
    <row r="644" spans="1:14" x14ac:dyDescent="0.25">
      <c r="A644" s="3">
        <v>44697</v>
      </c>
      <c r="B644" t="s">
        <v>35</v>
      </c>
      <c r="C644">
        <v>95</v>
      </c>
      <c r="D644">
        <v>23800</v>
      </c>
      <c r="E644">
        <v>1204</v>
      </c>
      <c r="F644">
        <v>22596</v>
      </c>
      <c r="G644">
        <v>5</v>
      </c>
      <c r="H644">
        <v>32768</v>
      </c>
      <c r="I644">
        <v>69</v>
      </c>
      <c r="J644" t="s">
        <v>1</v>
      </c>
      <c r="K644" t="s">
        <v>2</v>
      </c>
      <c r="L644" s="8">
        <f>InterspecUsage[[#This Row],[Used-MB]]-F634</f>
        <v>0</v>
      </c>
      <c r="M644">
        <f>InterspecUsage[[#This Row],[Max]]-InterspecUsage[[#This Row],[Used-MB]]</f>
        <v>10172</v>
      </c>
      <c r="N644" s="5">
        <f>IF($L644&gt;0,InterspecUsage[[#This Row],[Free-of-Max]]/InterspecUsage[[#This Row],[Usage-Delta-MB]],InterspecUsage[[#This Row],[Free-of-Max]])</f>
        <v>10172</v>
      </c>
    </row>
    <row r="645" spans="1:14" x14ac:dyDescent="0.25">
      <c r="A645" s="3">
        <v>44697</v>
      </c>
      <c r="B645" t="s">
        <v>27</v>
      </c>
      <c r="C645">
        <v>87</v>
      </c>
      <c r="D645">
        <v>131072</v>
      </c>
      <c r="E645">
        <v>17254</v>
      </c>
      <c r="F645">
        <v>113818</v>
      </c>
      <c r="G645">
        <v>13</v>
      </c>
      <c r="H645">
        <v>131072</v>
      </c>
      <c r="I645">
        <v>87</v>
      </c>
      <c r="J645" t="s">
        <v>1</v>
      </c>
      <c r="K645" t="s">
        <v>2</v>
      </c>
      <c r="L645" s="8">
        <f>InterspecUsage[[#This Row],[Used-MB]]-F635</f>
        <v>66</v>
      </c>
      <c r="M645">
        <f>InterspecUsage[[#This Row],[Max]]-InterspecUsage[[#This Row],[Used-MB]]</f>
        <v>17254</v>
      </c>
      <c r="N645" s="5">
        <f>IF($L645&gt;0,InterspecUsage[[#This Row],[Free-of-Max]]/InterspecUsage[[#This Row],[Usage-Delta-MB]],InterspecUsage[[#This Row],[Free-of-Max]])</f>
        <v>261.42424242424244</v>
      </c>
    </row>
    <row r="646" spans="1:14" x14ac:dyDescent="0.25">
      <c r="A646" s="3">
        <v>44697</v>
      </c>
      <c r="B646" t="s">
        <v>7</v>
      </c>
      <c r="C646">
        <v>96</v>
      </c>
      <c r="D646">
        <v>1200</v>
      </c>
      <c r="E646">
        <v>53</v>
      </c>
      <c r="F646">
        <v>1147</v>
      </c>
      <c r="G646">
        <v>4</v>
      </c>
      <c r="H646">
        <v>32768</v>
      </c>
      <c r="I646">
        <v>4</v>
      </c>
      <c r="J646" t="s">
        <v>1</v>
      </c>
      <c r="K646" t="s">
        <v>2</v>
      </c>
      <c r="L646" s="8">
        <f>InterspecUsage[[#This Row],[Used-MB]]-F636</f>
        <v>0</v>
      </c>
      <c r="M646">
        <f>InterspecUsage[[#This Row],[Max]]-InterspecUsage[[#This Row],[Used-MB]]</f>
        <v>31621</v>
      </c>
      <c r="N646" s="5">
        <f>IF($L646&gt;0,InterspecUsage[[#This Row],[Free-of-Max]]/InterspecUsage[[#This Row],[Usage-Delta-MB]],InterspecUsage[[#This Row],[Free-of-Max]])</f>
        <v>31621</v>
      </c>
    </row>
    <row r="647" spans="1:14" x14ac:dyDescent="0.25">
      <c r="A647" s="3">
        <v>44697</v>
      </c>
      <c r="B647" t="s">
        <v>0</v>
      </c>
      <c r="C647">
        <v>99</v>
      </c>
      <c r="D647">
        <v>3350</v>
      </c>
      <c r="E647">
        <v>24</v>
      </c>
      <c r="F647">
        <v>3326</v>
      </c>
      <c r="G647">
        <v>1</v>
      </c>
      <c r="H647">
        <v>32768</v>
      </c>
      <c r="I647">
        <v>10</v>
      </c>
      <c r="J647" t="s">
        <v>1</v>
      </c>
      <c r="K647" t="s">
        <v>2</v>
      </c>
      <c r="L647" s="8">
        <f>InterspecUsage[[#This Row],[Used-MB]]-F637</f>
        <v>0</v>
      </c>
      <c r="M647">
        <f>InterspecUsage[[#This Row],[Max]]-InterspecUsage[[#This Row],[Used-MB]]</f>
        <v>29442</v>
      </c>
      <c r="N647" s="5">
        <f>IF($L647&gt;0,InterspecUsage[[#This Row],[Free-of-Max]]/InterspecUsage[[#This Row],[Usage-Delta-MB]],InterspecUsage[[#This Row],[Free-of-Max]])</f>
        <v>29442</v>
      </c>
    </row>
    <row r="648" spans="1:14" x14ac:dyDescent="0.25">
      <c r="A648" s="3">
        <v>44697</v>
      </c>
      <c r="B648" t="s">
        <v>30</v>
      </c>
      <c r="C648">
        <v>0</v>
      </c>
      <c r="D648">
        <v>32767</v>
      </c>
      <c r="E648">
        <v>32751</v>
      </c>
      <c r="F648">
        <v>16</v>
      </c>
      <c r="G648">
        <v>100</v>
      </c>
      <c r="H648">
        <v>32768</v>
      </c>
      <c r="I648">
        <v>0</v>
      </c>
      <c r="J648" t="s">
        <v>1</v>
      </c>
      <c r="K648" t="s">
        <v>13</v>
      </c>
      <c r="L648" s="8">
        <f>InterspecUsage[[#This Row],[Used-MB]]-F638</f>
        <v>-16</v>
      </c>
      <c r="M648">
        <f>InterspecUsage[[#This Row],[Max]]-InterspecUsage[[#This Row],[Used-MB]]</f>
        <v>32752</v>
      </c>
      <c r="N648" s="5">
        <f>IF($L648&gt;0,InterspecUsage[[#This Row],[Free-of-Max]]/InterspecUsage[[#This Row],[Usage-Delta-MB]],InterspecUsage[[#This Row],[Free-of-Max]])</f>
        <v>32752</v>
      </c>
    </row>
    <row r="649" spans="1:14" x14ac:dyDescent="0.25">
      <c r="A649" s="3">
        <v>44697</v>
      </c>
      <c r="B649" t="s">
        <v>28</v>
      </c>
      <c r="C649">
        <v>18</v>
      </c>
      <c r="D649">
        <v>16400</v>
      </c>
      <c r="E649">
        <v>13502</v>
      </c>
      <c r="F649">
        <v>2898</v>
      </c>
      <c r="G649">
        <v>82</v>
      </c>
      <c r="H649">
        <v>32768</v>
      </c>
      <c r="I649">
        <v>9</v>
      </c>
      <c r="J649" t="s">
        <v>1</v>
      </c>
      <c r="K649" t="s">
        <v>10</v>
      </c>
      <c r="L649" s="8">
        <f>InterspecUsage[[#This Row],[Used-MB]]-F639</f>
        <v>-103</v>
      </c>
      <c r="M649">
        <f>InterspecUsage[[#This Row],[Max]]-InterspecUsage[[#This Row],[Used-MB]]</f>
        <v>29870</v>
      </c>
      <c r="N649" s="5">
        <f>IF($L649&gt;0,InterspecUsage[[#This Row],[Free-of-Max]]/InterspecUsage[[#This Row],[Usage-Delta-MB]],InterspecUsage[[#This Row],[Free-of-Max]])</f>
        <v>29870</v>
      </c>
    </row>
    <row r="650" spans="1:14" x14ac:dyDescent="0.25">
      <c r="A650" s="3">
        <v>44697</v>
      </c>
      <c r="B650" t="s">
        <v>25</v>
      </c>
      <c r="C650">
        <v>91</v>
      </c>
      <c r="D650">
        <v>11800</v>
      </c>
      <c r="E650">
        <v>1075</v>
      </c>
      <c r="F650">
        <v>10725</v>
      </c>
      <c r="G650">
        <v>9</v>
      </c>
      <c r="H650">
        <v>32768</v>
      </c>
      <c r="I650">
        <v>33</v>
      </c>
      <c r="J650" t="s">
        <v>1</v>
      </c>
      <c r="K650" t="s">
        <v>2</v>
      </c>
      <c r="L650" s="8">
        <f>InterspecUsage[[#This Row],[Used-MB]]-F640</f>
        <v>72</v>
      </c>
      <c r="M650">
        <f>InterspecUsage[[#This Row],[Max]]-InterspecUsage[[#This Row],[Used-MB]]</f>
        <v>22043</v>
      </c>
      <c r="N650" s="5">
        <f>IF($L650&gt;0,InterspecUsage[[#This Row],[Free-of-Max]]/InterspecUsage[[#This Row],[Usage-Delta-MB]],InterspecUsage[[#This Row],[Free-of-Max]])</f>
        <v>306.15277777777777</v>
      </c>
    </row>
    <row r="651" spans="1:14" x14ac:dyDescent="0.25">
      <c r="A651" s="3">
        <v>44697</v>
      </c>
      <c r="B651" t="s">
        <v>29</v>
      </c>
      <c r="C651">
        <v>0</v>
      </c>
      <c r="D651">
        <v>500</v>
      </c>
      <c r="E651">
        <v>499</v>
      </c>
      <c r="F651">
        <v>1</v>
      </c>
      <c r="G651">
        <v>100</v>
      </c>
      <c r="H651">
        <v>500</v>
      </c>
      <c r="I651">
        <v>0</v>
      </c>
      <c r="J651" t="s">
        <v>1</v>
      </c>
      <c r="K651" t="s">
        <v>2</v>
      </c>
      <c r="L651" s="8">
        <f>InterspecUsage[[#This Row],[Used-MB]]-F641</f>
        <v>0</v>
      </c>
      <c r="M651">
        <f>InterspecUsage[[#This Row],[Max]]-InterspecUsage[[#This Row],[Used-MB]]</f>
        <v>499</v>
      </c>
      <c r="N651" s="5">
        <f>IF($L651&gt;0,InterspecUsage[[#This Row],[Free-of-Max]]/InterspecUsage[[#This Row],[Usage-Delta-MB]],InterspecUsage[[#This Row],[Free-of-Max]])</f>
        <v>499</v>
      </c>
    </row>
    <row r="652" spans="1:14" x14ac:dyDescent="0.25">
      <c r="A652" s="3">
        <v>44705</v>
      </c>
      <c r="B652" t="s">
        <v>26</v>
      </c>
      <c r="C652">
        <v>93</v>
      </c>
      <c r="D652">
        <v>19288</v>
      </c>
      <c r="E652">
        <v>1342</v>
      </c>
      <c r="F652">
        <v>17946</v>
      </c>
      <c r="G652">
        <v>7</v>
      </c>
      <c r="H652">
        <v>40960</v>
      </c>
      <c r="I652">
        <v>44</v>
      </c>
      <c r="J652" t="s">
        <v>1</v>
      </c>
      <c r="K652" t="s">
        <v>2</v>
      </c>
      <c r="L652" s="8">
        <f>InterspecUsage[[#This Row],[Used-MB]]-F642</f>
        <v>64</v>
      </c>
      <c r="M652">
        <f>InterspecUsage[[#This Row],[Max]]-InterspecUsage[[#This Row],[Used-MB]]</f>
        <v>23014</v>
      </c>
      <c r="N652" s="5">
        <f>IF($L652&gt;0,InterspecUsage[[#This Row],[Free-of-Max]]/InterspecUsage[[#This Row],[Usage-Delta-MB]],InterspecUsage[[#This Row],[Free-of-Max]])</f>
        <v>359.59375</v>
      </c>
    </row>
    <row r="653" spans="1:14" x14ac:dyDescent="0.25">
      <c r="A653" s="3">
        <v>44705</v>
      </c>
      <c r="B653" t="s">
        <v>24</v>
      </c>
      <c r="C653">
        <v>79</v>
      </c>
      <c r="D653">
        <v>18000</v>
      </c>
      <c r="E653">
        <v>3842</v>
      </c>
      <c r="F653">
        <v>14158</v>
      </c>
      <c r="G653">
        <v>21</v>
      </c>
      <c r="H653">
        <v>32768</v>
      </c>
      <c r="I653">
        <v>43</v>
      </c>
      <c r="J653" t="s">
        <v>1</v>
      </c>
      <c r="K653" t="s">
        <v>2</v>
      </c>
      <c r="L653" s="8">
        <f>InterspecUsage[[#This Row],[Used-MB]]-F643</f>
        <v>0</v>
      </c>
      <c r="M653">
        <f>InterspecUsage[[#This Row],[Max]]-InterspecUsage[[#This Row],[Used-MB]]</f>
        <v>18610</v>
      </c>
      <c r="N653" s="5">
        <f>IF($L653&gt;0,InterspecUsage[[#This Row],[Free-of-Max]]/InterspecUsage[[#This Row],[Usage-Delta-MB]],InterspecUsage[[#This Row],[Free-of-Max]])</f>
        <v>18610</v>
      </c>
    </row>
    <row r="654" spans="1:14" x14ac:dyDescent="0.25">
      <c r="A654" s="3">
        <v>44705</v>
      </c>
      <c r="B654" t="s">
        <v>35</v>
      </c>
      <c r="C654">
        <v>95</v>
      </c>
      <c r="D654">
        <v>23800</v>
      </c>
      <c r="E654">
        <v>1076</v>
      </c>
      <c r="F654">
        <v>22724</v>
      </c>
      <c r="G654">
        <v>5</v>
      </c>
      <c r="H654">
        <v>32768</v>
      </c>
      <c r="I654">
        <v>69</v>
      </c>
      <c r="J654" t="s">
        <v>1</v>
      </c>
      <c r="K654" t="s">
        <v>2</v>
      </c>
      <c r="L654" s="8">
        <f>InterspecUsage[[#This Row],[Used-MB]]-F644</f>
        <v>128</v>
      </c>
      <c r="M654">
        <f>InterspecUsage[[#This Row],[Max]]-InterspecUsage[[#This Row],[Used-MB]]</f>
        <v>10044</v>
      </c>
      <c r="N654" s="5">
        <f>IF($L654&gt;0,InterspecUsage[[#This Row],[Free-of-Max]]/InterspecUsage[[#This Row],[Usage-Delta-MB]],InterspecUsage[[#This Row],[Free-of-Max]])</f>
        <v>78.46875</v>
      </c>
    </row>
    <row r="655" spans="1:14" x14ac:dyDescent="0.25">
      <c r="A655" s="3">
        <v>44705</v>
      </c>
      <c r="B655" t="s">
        <v>27</v>
      </c>
      <c r="C655">
        <v>87</v>
      </c>
      <c r="D655">
        <v>131072</v>
      </c>
      <c r="E655">
        <v>16485</v>
      </c>
      <c r="F655">
        <v>114587</v>
      </c>
      <c r="G655">
        <v>13</v>
      </c>
      <c r="H655">
        <v>131072</v>
      </c>
      <c r="I655">
        <v>87</v>
      </c>
      <c r="J655" t="s">
        <v>1</v>
      </c>
      <c r="K655" t="s">
        <v>2</v>
      </c>
      <c r="L655" s="8">
        <f>InterspecUsage[[#This Row],[Used-MB]]-F645</f>
        <v>769</v>
      </c>
      <c r="M655">
        <f>InterspecUsage[[#This Row],[Max]]-InterspecUsage[[#This Row],[Used-MB]]</f>
        <v>16485</v>
      </c>
      <c r="N655" s="5">
        <f>IF($L655&gt;0,InterspecUsage[[#This Row],[Free-of-Max]]/InterspecUsage[[#This Row],[Usage-Delta-MB]],InterspecUsage[[#This Row],[Free-of-Max]])</f>
        <v>21.436931079323799</v>
      </c>
    </row>
    <row r="656" spans="1:14" x14ac:dyDescent="0.25">
      <c r="A656" s="3">
        <v>44705</v>
      </c>
      <c r="B656" t="s">
        <v>7</v>
      </c>
      <c r="C656">
        <v>95</v>
      </c>
      <c r="D656">
        <v>1220</v>
      </c>
      <c r="E656">
        <v>56</v>
      </c>
      <c r="F656">
        <v>1164</v>
      </c>
      <c r="G656">
        <v>5</v>
      </c>
      <c r="H656">
        <v>32768</v>
      </c>
      <c r="I656">
        <v>4</v>
      </c>
      <c r="J656" t="s">
        <v>1</v>
      </c>
      <c r="K656" t="s">
        <v>2</v>
      </c>
      <c r="L656" s="8">
        <f>InterspecUsage[[#This Row],[Used-MB]]-F646</f>
        <v>17</v>
      </c>
      <c r="M656">
        <f>InterspecUsage[[#This Row],[Max]]-InterspecUsage[[#This Row],[Used-MB]]</f>
        <v>31604</v>
      </c>
      <c r="N656" s="5">
        <f>IF($L656&gt;0,InterspecUsage[[#This Row],[Free-of-Max]]/InterspecUsage[[#This Row],[Usage-Delta-MB]],InterspecUsage[[#This Row],[Free-of-Max]])</f>
        <v>1859.0588235294117</v>
      </c>
    </row>
    <row r="657" spans="1:14" x14ac:dyDescent="0.25">
      <c r="A657" s="3">
        <v>44705</v>
      </c>
      <c r="B657" t="s">
        <v>0</v>
      </c>
      <c r="C657">
        <v>99</v>
      </c>
      <c r="D657">
        <v>3350</v>
      </c>
      <c r="E657">
        <v>24</v>
      </c>
      <c r="F657">
        <v>3326</v>
      </c>
      <c r="G657">
        <v>1</v>
      </c>
      <c r="H657">
        <v>32768</v>
      </c>
      <c r="I657">
        <v>10</v>
      </c>
      <c r="J657" t="s">
        <v>1</v>
      </c>
      <c r="K657" t="s">
        <v>2</v>
      </c>
      <c r="L657" s="8">
        <f>InterspecUsage[[#This Row],[Used-MB]]-F647</f>
        <v>0</v>
      </c>
      <c r="M657">
        <f>InterspecUsage[[#This Row],[Max]]-InterspecUsage[[#This Row],[Used-MB]]</f>
        <v>29442</v>
      </c>
      <c r="N657" s="5">
        <f>IF($L657&gt;0,InterspecUsage[[#This Row],[Free-of-Max]]/InterspecUsage[[#This Row],[Usage-Delta-MB]],InterspecUsage[[#This Row],[Free-of-Max]])</f>
        <v>29442</v>
      </c>
    </row>
    <row r="658" spans="1:14" x14ac:dyDescent="0.25">
      <c r="A658" s="3">
        <v>44705</v>
      </c>
      <c r="B658" t="s">
        <v>30</v>
      </c>
      <c r="C658">
        <v>0</v>
      </c>
      <c r="D658">
        <v>32767</v>
      </c>
      <c r="E658">
        <v>32749</v>
      </c>
      <c r="F658">
        <v>18</v>
      </c>
      <c r="G658">
        <v>100</v>
      </c>
      <c r="H658">
        <v>32768</v>
      </c>
      <c r="I658">
        <v>0</v>
      </c>
      <c r="J658" t="s">
        <v>1</v>
      </c>
      <c r="K658" t="s">
        <v>13</v>
      </c>
      <c r="L658" s="8">
        <f>InterspecUsage[[#This Row],[Used-MB]]-F648</f>
        <v>2</v>
      </c>
      <c r="M658">
        <f>InterspecUsage[[#This Row],[Max]]-InterspecUsage[[#This Row],[Used-MB]]</f>
        <v>32750</v>
      </c>
      <c r="N658" s="5">
        <f>IF($L658&gt;0,InterspecUsage[[#This Row],[Free-of-Max]]/InterspecUsage[[#This Row],[Usage-Delta-MB]],InterspecUsage[[#This Row],[Free-of-Max]])</f>
        <v>16375</v>
      </c>
    </row>
    <row r="659" spans="1:14" x14ac:dyDescent="0.25">
      <c r="A659" s="3">
        <v>44705</v>
      </c>
      <c r="B659" t="s">
        <v>28</v>
      </c>
      <c r="C659">
        <v>18</v>
      </c>
      <c r="D659">
        <v>16400</v>
      </c>
      <c r="E659">
        <v>13488</v>
      </c>
      <c r="F659">
        <v>2912</v>
      </c>
      <c r="G659">
        <v>82</v>
      </c>
      <c r="H659">
        <v>32768</v>
      </c>
      <c r="I659">
        <v>9</v>
      </c>
      <c r="J659" t="s">
        <v>1</v>
      </c>
      <c r="K659" t="s">
        <v>10</v>
      </c>
      <c r="L659" s="8">
        <f>InterspecUsage[[#This Row],[Used-MB]]-F649</f>
        <v>14</v>
      </c>
      <c r="M659">
        <f>InterspecUsage[[#This Row],[Max]]-InterspecUsage[[#This Row],[Used-MB]]</f>
        <v>29856</v>
      </c>
      <c r="N659" s="5">
        <f>IF($L659&gt;0,InterspecUsage[[#This Row],[Free-of-Max]]/InterspecUsage[[#This Row],[Usage-Delta-MB]],InterspecUsage[[#This Row],[Free-of-Max]])</f>
        <v>2132.5714285714284</v>
      </c>
    </row>
    <row r="660" spans="1:14" x14ac:dyDescent="0.25">
      <c r="A660" s="3">
        <v>44705</v>
      </c>
      <c r="B660" t="s">
        <v>25</v>
      </c>
      <c r="C660">
        <v>92</v>
      </c>
      <c r="D660">
        <v>11800</v>
      </c>
      <c r="E660">
        <v>931</v>
      </c>
      <c r="F660">
        <v>10869</v>
      </c>
      <c r="G660">
        <v>8</v>
      </c>
      <c r="H660">
        <v>32768</v>
      </c>
      <c r="I660">
        <v>33</v>
      </c>
      <c r="J660" t="s">
        <v>1</v>
      </c>
      <c r="K660" t="s">
        <v>2</v>
      </c>
      <c r="L660" s="8">
        <f>InterspecUsage[[#This Row],[Used-MB]]-F650</f>
        <v>144</v>
      </c>
      <c r="M660">
        <f>InterspecUsage[[#This Row],[Max]]-InterspecUsage[[#This Row],[Used-MB]]</f>
        <v>21899</v>
      </c>
      <c r="N660" s="5">
        <f>IF($L660&gt;0,InterspecUsage[[#This Row],[Free-of-Max]]/InterspecUsage[[#This Row],[Usage-Delta-MB]],InterspecUsage[[#This Row],[Free-of-Max]])</f>
        <v>152.07638888888889</v>
      </c>
    </row>
    <row r="661" spans="1:14" x14ac:dyDescent="0.25">
      <c r="A661" s="3">
        <v>44705</v>
      </c>
      <c r="B661" t="s">
        <v>29</v>
      </c>
      <c r="C661">
        <v>0</v>
      </c>
      <c r="D661">
        <v>500</v>
      </c>
      <c r="E661">
        <v>499</v>
      </c>
      <c r="F661">
        <v>1</v>
      </c>
      <c r="G661">
        <v>100</v>
      </c>
      <c r="H661">
        <v>500</v>
      </c>
      <c r="I661">
        <v>0</v>
      </c>
      <c r="J661" t="s">
        <v>1</v>
      </c>
      <c r="K661" t="s">
        <v>2</v>
      </c>
      <c r="L661" s="8">
        <f>InterspecUsage[[#This Row],[Used-MB]]-F651</f>
        <v>0</v>
      </c>
      <c r="M661">
        <f>InterspecUsage[[#This Row],[Max]]-InterspecUsage[[#This Row],[Used-MB]]</f>
        <v>499</v>
      </c>
      <c r="N661" s="5">
        <f>IF($L661&gt;0,InterspecUsage[[#This Row],[Free-of-Max]]/InterspecUsage[[#This Row],[Usage-Delta-MB]],InterspecUsage[[#This Row],[Free-of-Max]])</f>
        <v>499</v>
      </c>
    </row>
    <row r="662" spans="1:14" x14ac:dyDescent="0.25">
      <c r="A662" s="3">
        <v>44719</v>
      </c>
      <c r="B662" t="s">
        <v>26</v>
      </c>
      <c r="C662">
        <v>93</v>
      </c>
      <c r="D662">
        <v>19288</v>
      </c>
      <c r="E662">
        <v>1278</v>
      </c>
      <c r="F662">
        <v>18010</v>
      </c>
      <c r="G662">
        <v>7</v>
      </c>
      <c r="H662">
        <v>40960</v>
      </c>
      <c r="I662">
        <v>44</v>
      </c>
      <c r="J662" t="s">
        <v>1</v>
      </c>
      <c r="K662" t="s">
        <v>2</v>
      </c>
      <c r="L662" s="8">
        <f>InterspecUsage[[#This Row],[Used-MB]]-F652</f>
        <v>64</v>
      </c>
      <c r="M662">
        <f>InterspecUsage[[#This Row],[Max]]-InterspecUsage[[#This Row],[Used-MB]]</f>
        <v>22950</v>
      </c>
      <c r="N662" s="5">
        <f>IF($L662&gt;0,InterspecUsage[[#This Row],[Free-of-Max]]/InterspecUsage[[#This Row],[Usage-Delta-MB]],InterspecUsage[[#This Row],[Free-of-Max]])</f>
        <v>358.59375</v>
      </c>
    </row>
    <row r="663" spans="1:14" x14ac:dyDescent="0.25">
      <c r="A663" s="3">
        <v>44719</v>
      </c>
      <c r="B663" t="s">
        <v>24</v>
      </c>
      <c r="C663">
        <v>79</v>
      </c>
      <c r="D663">
        <v>18000</v>
      </c>
      <c r="E663">
        <v>3767</v>
      </c>
      <c r="F663">
        <v>14233</v>
      </c>
      <c r="G663">
        <v>21</v>
      </c>
      <c r="H663">
        <v>32768</v>
      </c>
      <c r="I663">
        <v>43</v>
      </c>
      <c r="J663" t="s">
        <v>1</v>
      </c>
      <c r="K663" t="s">
        <v>2</v>
      </c>
      <c r="L663" s="8">
        <f>InterspecUsage[[#This Row],[Used-MB]]-F653</f>
        <v>75</v>
      </c>
      <c r="M663">
        <f>InterspecUsage[[#This Row],[Max]]-InterspecUsage[[#This Row],[Used-MB]]</f>
        <v>18535</v>
      </c>
      <c r="N663" s="5">
        <f>IF($L663&gt;0,InterspecUsage[[#This Row],[Free-of-Max]]/InterspecUsage[[#This Row],[Usage-Delta-MB]],InterspecUsage[[#This Row],[Free-of-Max]])</f>
        <v>247.13333333333333</v>
      </c>
    </row>
    <row r="664" spans="1:14" x14ac:dyDescent="0.25">
      <c r="A664" s="3">
        <v>44719</v>
      </c>
      <c r="B664" t="s">
        <v>35</v>
      </c>
      <c r="C664">
        <v>95</v>
      </c>
      <c r="D664">
        <v>24000</v>
      </c>
      <c r="E664">
        <v>1212</v>
      </c>
      <c r="F664">
        <v>22788</v>
      </c>
      <c r="G664">
        <v>5</v>
      </c>
      <c r="H664">
        <v>32768</v>
      </c>
      <c r="I664">
        <v>70</v>
      </c>
      <c r="J664" t="s">
        <v>1</v>
      </c>
      <c r="K664" t="s">
        <v>2</v>
      </c>
      <c r="L664" s="8">
        <f>InterspecUsage[[#This Row],[Used-MB]]-F654</f>
        <v>64</v>
      </c>
      <c r="M664">
        <f>InterspecUsage[[#This Row],[Max]]-InterspecUsage[[#This Row],[Used-MB]]</f>
        <v>9980</v>
      </c>
      <c r="N664" s="5">
        <f>IF($L664&gt;0,InterspecUsage[[#This Row],[Free-of-Max]]/InterspecUsage[[#This Row],[Usage-Delta-MB]],InterspecUsage[[#This Row],[Free-of-Max]])</f>
        <v>155.9375</v>
      </c>
    </row>
    <row r="665" spans="1:14" x14ac:dyDescent="0.25">
      <c r="A665" s="3">
        <v>44719</v>
      </c>
      <c r="B665" t="s">
        <v>27</v>
      </c>
      <c r="C665">
        <v>88</v>
      </c>
      <c r="D665">
        <v>131072</v>
      </c>
      <c r="E665">
        <v>16208</v>
      </c>
      <c r="F665">
        <v>114864</v>
      </c>
      <c r="G665">
        <v>12</v>
      </c>
      <c r="H665">
        <v>131072</v>
      </c>
      <c r="I665">
        <v>88</v>
      </c>
      <c r="J665" t="s">
        <v>1</v>
      </c>
      <c r="K665" t="s">
        <v>2</v>
      </c>
      <c r="L665" s="8">
        <f>InterspecUsage[[#This Row],[Used-MB]]-F655</f>
        <v>277</v>
      </c>
      <c r="M665">
        <f>InterspecUsage[[#This Row],[Max]]-InterspecUsage[[#This Row],[Used-MB]]</f>
        <v>16208</v>
      </c>
      <c r="N665" s="5">
        <f>IF($L665&gt;0,InterspecUsage[[#This Row],[Free-of-Max]]/InterspecUsage[[#This Row],[Usage-Delta-MB]],InterspecUsage[[#This Row],[Free-of-Max]])</f>
        <v>58.512635379061372</v>
      </c>
    </row>
    <row r="666" spans="1:14" x14ac:dyDescent="0.25">
      <c r="A666" s="3">
        <v>44719</v>
      </c>
      <c r="B666" t="s">
        <v>7</v>
      </c>
      <c r="C666">
        <v>95</v>
      </c>
      <c r="D666">
        <v>1240</v>
      </c>
      <c r="E666">
        <v>68</v>
      </c>
      <c r="F666">
        <v>1172</v>
      </c>
      <c r="G666">
        <v>5</v>
      </c>
      <c r="H666">
        <v>32768</v>
      </c>
      <c r="I666">
        <v>4</v>
      </c>
      <c r="J666" t="s">
        <v>1</v>
      </c>
      <c r="K666" t="s">
        <v>2</v>
      </c>
      <c r="L666" s="8">
        <f>InterspecUsage[[#This Row],[Used-MB]]-F656</f>
        <v>8</v>
      </c>
      <c r="M666">
        <f>InterspecUsage[[#This Row],[Max]]-InterspecUsage[[#This Row],[Used-MB]]</f>
        <v>31596</v>
      </c>
      <c r="N666" s="5">
        <f>IF($L666&gt;0,InterspecUsage[[#This Row],[Free-of-Max]]/InterspecUsage[[#This Row],[Usage-Delta-MB]],InterspecUsage[[#This Row],[Free-of-Max]])</f>
        <v>3949.5</v>
      </c>
    </row>
    <row r="667" spans="1:14" x14ac:dyDescent="0.25">
      <c r="A667" s="3">
        <v>44719</v>
      </c>
      <c r="B667" t="s">
        <v>0</v>
      </c>
      <c r="C667">
        <v>99</v>
      </c>
      <c r="D667">
        <v>3420</v>
      </c>
      <c r="E667">
        <v>30</v>
      </c>
      <c r="F667">
        <v>3390</v>
      </c>
      <c r="G667">
        <v>1</v>
      </c>
      <c r="H667">
        <v>32768</v>
      </c>
      <c r="I667">
        <v>10</v>
      </c>
      <c r="J667" t="s">
        <v>1</v>
      </c>
      <c r="K667" t="s">
        <v>2</v>
      </c>
      <c r="L667" s="8">
        <f>InterspecUsage[[#This Row],[Used-MB]]-F657</f>
        <v>64</v>
      </c>
      <c r="M667">
        <f>InterspecUsage[[#This Row],[Max]]-InterspecUsage[[#This Row],[Used-MB]]</f>
        <v>29378</v>
      </c>
      <c r="N667" s="5">
        <f>IF($L667&gt;0,InterspecUsage[[#This Row],[Free-of-Max]]/InterspecUsage[[#This Row],[Usage-Delta-MB]],InterspecUsage[[#This Row],[Free-of-Max]])</f>
        <v>459.03125</v>
      </c>
    </row>
    <row r="668" spans="1:14" x14ac:dyDescent="0.25">
      <c r="A668" s="3">
        <v>44719</v>
      </c>
      <c r="B668" t="s">
        <v>30</v>
      </c>
      <c r="C668">
        <v>0</v>
      </c>
      <c r="D668">
        <v>32767</v>
      </c>
      <c r="E668">
        <v>32734</v>
      </c>
      <c r="F668">
        <v>33</v>
      </c>
      <c r="G668">
        <v>100</v>
      </c>
      <c r="H668">
        <v>32768</v>
      </c>
      <c r="I668">
        <v>0</v>
      </c>
      <c r="J668" t="s">
        <v>1</v>
      </c>
      <c r="K668" t="s">
        <v>13</v>
      </c>
      <c r="L668" s="8">
        <f>InterspecUsage[[#This Row],[Used-MB]]-F658</f>
        <v>15</v>
      </c>
      <c r="M668">
        <f>InterspecUsage[[#This Row],[Max]]-InterspecUsage[[#This Row],[Used-MB]]</f>
        <v>32735</v>
      </c>
      <c r="N668" s="5">
        <f>IF($L668&gt;0,InterspecUsage[[#This Row],[Free-of-Max]]/InterspecUsage[[#This Row],[Usage-Delta-MB]],InterspecUsage[[#This Row],[Free-of-Max]])</f>
        <v>2182.3333333333335</v>
      </c>
    </row>
    <row r="669" spans="1:14" x14ac:dyDescent="0.25">
      <c r="A669" s="3">
        <v>44719</v>
      </c>
      <c r="B669" t="s">
        <v>28</v>
      </c>
      <c r="C669">
        <v>21</v>
      </c>
      <c r="D669">
        <v>16400</v>
      </c>
      <c r="E669">
        <v>13004</v>
      </c>
      <c r="F669">
        <v>3397</v>
      </c>
      <c r="G669">
        <v>79</v>
      </c>
      <c r="H669">
        <v>32768</v>
      </c>
      <c r="I669">
        <v>10</v>
      </c>
      <c r="J669" t="s">
        <v>1</v>
      </c>
      <c r="K669" t="s">
        <v>10</v>
      </c>
      <c r="L669" s="8">
        <f>InterspecUsage[[#This Row],[Used-MB]]-F659</f>
        <v>485</v>
      </c>
      <c r="M669">
        <f>InterspecUsage[[#This Row],[Max]]-InterspecUsage[[#This Row],[Used-MB]]</f>
        <v>29371</v>
      </c>
      <c r="N669" s="5">
        <f>IF($L669&gt;0,InterspecUsage[[#This Row],[Free-of-Max]]/InterspecUsage[[#This Row],[Usage-Delta-MB]],InterspecUsage[[#This Row],[Free-of-Max]])</f>
        <v>60.55876288659794</v>
      </c>
    </row>
    <row r="670" spans="1:14" x14ac:dyDescent="0.25">
      <c r="A670" s="3">
        <v>44719</v>
      </c>
      <c r="B670" t="s">
        <v>25</v>
      </c>
      <c r="C670">
        <v>92</v>
      </c>
      <c r="D670">
        <v>11800</v>
      </c>
      <c r="E670">
        <v>931</v>
      </c>
      <c r="F670">
        <v>10869</v>
      </c>
      <c r="G670">
        <v>8</v>
      </c>
      <c r="H670">
        <v>32768</v>
      </c>
      <c r="I670">
        <v>33</v>
      </c>
      <c r="J670" t="s">
        <v>1</v>
      </c>
      <c r="K670" t="s">
        <v>2</v>
      </c>
      <c r="L670" s="8">
        <f>InterspecUsage[[#This Row],[Used-MB]]-F660</f>
        <v>0</v>
      </c>
      <c r="M670">
        <f>InterspecUsage[[#This Row],[Max]]-InterspecUsage[[#This Row],[Used-MB]]</f>
        <v>21899</v>
      </c>
      <c r="N670" s="5">
        <f>IF($L670&gt;0,InterspecUsage[[#This Row],[Free-of-Max]]/InterspecUsage[[#This Row],[Usage-Delta-MB]],InterspecUsage[[#This Row],[Free-of-Max]])</f>
        <v>21899</v>
      </c>
    </row>
    <row r="671" spans="1:14" x14ac:dyDescent="0.25">
      <c r="A671" s="3">
        <v>44719</v>
      </c>
      <c r="B671" t="s">
        <v>29</v>
      </c>
      <c r="C671">
        <v>0</v>
      </c>
      <c r="D671">
        <v>500</v>
      </c>
      <c r="E671">
        <v>499</v>
      </c>
      <c r="F671">
        <v>1</v>
      </c>
      <c r="G671">
        <v>100</v>
      </c>
      <c r="H671">
        <v>500</v>
      </c>
      <c r="I671">
        <v>0</v>
      </c>
      <c r="J671" t="s">
        <v>1</v>
      </c>
      <c r="K671" t="s">
        <v>2</v>
      </c>
      <c r="L671" s="8">
        <f>InterspecUsage[[#This Row],[Used-MB]]-F661</f>
        <v>0</v>
      </c>
      <c r="M671">
        <f>InterspecUsage[[#This Row],[Max]]-InterspecUsage[[#This Row],[Used-MB]]</f>
        <v>499</v>
      </c>
      <c r="N671" s="5">
        <f>IF($L671&gt;0,InterspecUsage[[#This Row],[Free-of-Max]]/InterspecUsage[[#This Row],[Usage-Delta-MB]],InterspecUsage[[#This Row],[Free-of-Max]])</f>
        <v>499</v>
      </c>
    </row>
    <row r="672" spans="1:14" x14ac:dyDescent="0.25">
      <c r="A672" s="3">
        <v>44726</v>
      </c>
      <c r="B672" t="s">
        <v>26</v>
      </c>
      <c r="C672">
        <v>93</v>
      </c>
      <c r="D672">
        <v>19288</v>
      </c>
      <c r="E672">
        <v>1278</v>
      </c>
      <c r="F672">
        <v>18010</v>
      </c>
      <c r="G672">
        <v>7</v>
      </c>
      <c r="H672">
        <v>40960</v>
      </c>
      <c r="I672">
        <v>44</v>
      </c>
      <c r="J672" t="s">
        <v>1</v>
      </c>
      <c r="K672" t="s">
        <v>2</v>
      </c>
      <c r="L672" s="8">
        <f>InterspecUsage[[#This Row],[Used-MB]]-F662</f>
        <v>0</v>
      </c>
      <c r="M672">
        <f>InterspecUsage[[#This Row],[Max]]-InterspecUsage[[#This Row],[Used-MB]]</f>
        <v>22950</v>
      </c>
      <c r="N672" s="5">
        <f>IF($L672&gt;0,InterspecUsage[[#This Row],[Free-of-Max]]/InterspecUsage[[#This Row],[Usage-Delta-MB]],InterspecUsage[[#This Row],[Free-of-Max]])</f>
        <v>22950</v>
      </c>
    </row>
    <row r="673" spans="1:14" x14ac:dyDescent="0.25">
      <c r="A673" s="3">
        <v>44726</v>
      </c>
      <c r="B673" t="s">
        <v>24</v>
      </c>
      <c r="C673">
        <v>79</v>
      </c>
      <c r="D673">
        <v>18000</v>
      </c>
      <c r="E673">
        <v>3738</v>
      </c>
      <c r="F673">
        <v>14262</v>
      </c>
      <c r="G673">
        <v>21</v>
      </c>
      <c r="H673">
        <v>32768</v>
      </c>
      <c r="I673">
        <v>44</v>
      </c>
      <c r="J673" t="s">
        <v>1</v>
      </c>
      <c r="K673" t="s">
        <v>2</v>
      </c>
      <c r="L673" s="8">
        <f>InterspecUsage[[#This Row],[Used-MB]]-F663</f>
        <v>29</v>
      </c>
      <c r="M673">
        <f>InterspecUsage[[#This Row],[Max]]-InterspecUsage[[#This Row],[Used-MB]]</f>
        <v>18506</v>
      </c>
      <c r="N673" s="5">
        <f>IF($L673&gt;0,InterspecUsage[[#This Row],[Free-of-Max]]/InterspecUsage[[#This Row],[Usage-Delta-MB]],InterspecUsage[[#This Row],[Free-of-Max]])</f>
        <v>638.13793103448279</v>
      </c>
    </row>
    <row r="674" spans="1:14" x14ac:dyDescent="0.25">
      <c r="A674" s="3">
        <v>44726</v>
      </c>
      <c r="B674" t="s">
        <v>35</v>
      </c>
      <c r="C674">
        <v>95</v>
      </c>
      <c r="D674">
        <v>24000</v>
      </c>
      <c r="E674">
        <v>1212</v>
      </c>
      <c r="F674">
        <v>22788</v>
      </c>
      <c r="G674">
        <v>5</v>
      </c>
      <c r="H674">
        <v>32768</v>
      </c>
      <c r="I674">
        <v>70</v>
      </c>
      <c r="J674" t="s">
        <v>1</v>
      </c>
      <c r="K674" t="s">
        <v>2</v>
      </c>
      <c r="L674" s="8">
        <f>InterspecUsage[[#This Row],[Used-MB]]-F664</f>
        <v>0</v>
      </c>
      <c r="M674">
        <f>InterspecUsage[[#This Row],[Max]]-InterspecUsage[[#This Row],[Used-MB]]</f>
        <v>9980</v>
      </c>
      <c r="N674" s="5">
        <f>IF($L674&gt;0,InterspecUsage[[#This Row],[Free-of-Max]]/InterspecUsage[[#This Row],[Usage-Delta-MB]],InterspecUsage[[#This Row],[Free-of-Max]])</f>
        <v>9980</v>
      </c>
    </row>
    <row r="675" spans="1:14" x14ac:dyDescent="0.25">
      <c r="A675" s="3">
        <v>44726</v>
      </c>
      <c r="B675" t="s">
        <v>27</v>
      </c>
      <c r="C675">
        <v>88</v>
      </c>
      <c r="D675">
        <v>131072</v>
      </c>
      <c r="E675">
        <v>16184</v>
      </c>
      <c r="F675">
        <v>114888</v>
      </c>
      <c r="G675">
        <v>12</v>
      </c>
      <c r="H675">
        <v>131072</v>
      </c>
      <c r="I675">
        <v>88</v>
      </c>
      <c r="J675" t="s">
        <v>1</v>
      </c>
      <c r="K675" t="s">
        <v>2</v>
      </c>
      <c r="L675" s="8">
        <f>InterspecUsage[[#This Row],[Used-MB]]-F665</f>
        <v>24</v>
      </c>
      <c r="M675">
        <f>InterspecUsage[[#This Row],[Max]]-InterspecUsage[[#This Row],[Used-MB]]</f>
        <v>16184</v>
      </c>
      <c r="N675" s="5">
        <f>IF($L675&gt;0,InterspecUsage[[#This Row],[Free-of-Max]]/InterspecUsage[[#This Row],[Usage-Delta-MB]],InterspecUsage[[#This Row],[Free-of-Max]])</f>
        <v>674.33333333333337</v>
      </c>
    </row>
    <row r="676" spans="1:14" x14ac:dyDescent="0.25">
      <c r="A676" s="3">
        <v>44726</v>
      </c>
      <c r="B676" t="s">
        <v>7</v>
      </c>
      <c r="C676">
        <v>95</v>
      </c>
      <c r="D676">
        <v>1240</v>
      </c>
      <c r="E676">
        <v>61</v>
      </c>
      <c r="F676">
        <v>1179</v>
      </c>
      <c r="G676">
        <v>5</v>
      </c>
      <c r="H676">
        <v>32768</v>
      </c>
      <c r="I676">
        <v>4</v>
      </c>
      <c r="J676" t="s">
        <v>1</v>
      </c>
      <c r="K676" t="s">
        <v>2</v>
      </c>
      <c r="L676" s="8">
        <f>InterspecUsage[[#This Row],[Used-MB]]-F666</f>
        <v>7</v>
      </c>
      <c r="M676">
        <f>InterspecUsage[[#This Row],[Max]]-InterspecUsage[[#This Row],[Used-MB]]</f>
        <v>31589</v>
      </c>
      <c r="N676" s="5">
        <f>IF($L676&gt;0,InterspecUsage[[#This Row],[Free-of-Max]]/InterspecUsage[[#This Row],[Usage-Delta-MB]],InterspecUsage[[#This Row],[Free-of-Max]])</f>
        <v>4512.7142857142853</v>
      </c>
    </row>
    <row r="677" spans="1:14" x14ac:dyDescent="0.25">
      <c r="A677" s="3">
        <v>44726</v>
      </c>
      <c r="B677" t="s">
        <v>0</v>
      </c>
      <c r="C677">
        <v>99</v>
      </c>
      <c r="D677">
        <v>3420</v>
      </c>
      <c r="E677">
        <v>30</v>
      </c>
      <c r="F677">
        <v>3390</v>
      </c>
      <c r="G677">
        <v>1</v>
      </c>
      <c r="H677">
        <v>32768</v>
      </c>
      <c r="I677">
        <v>10</v>
      </c>
      <c r="J677" t="s">
        <v>1</v>
      </c>
      <c r="K677" t="s">
        <v>2</v>
      </c>
      <c r="L677" s="8">
        <f>InterspecUsage[[#This Row],[Used-MB]]-F667</f>
        <v>0</v>
      </c>
      <c r="M677">
        <f>InterspecUsage[[#This Row],[Max]]-InterspecUsage[[#This Row],[Used-MB]]</f>
        <v>29378</v>
      </c>
      <c r="N677" s="5">
        <f>IF($L677&gt;0,InterspecUsage[[#This Row],[Free-of-Max]]/InterspecUsage[[#This Row],[Usage-Delta-MB]],InterspecUsage[[#This Row],[Free-of-Max]])</f>
        <v>29378</v>
      </c>
    </row>
    <row r="678" spans="1:14" x14ac:dyDescent="0.25">
      <c r="A678" s="3">
        <v>44726</v>
      </c>
      <c r="B678" t="s">
        <v>30</v>
      </c>
      <c r="C678">
        <v>0</v>
      </c>
      <c r="D678">
        <v>32767</v>
      </c>
      <c r="E678">
        <v>32751</v>
      </c>
      <c r="F678">
        <v>16</v>
      </c>
      <c r="G678">
        <v>100</v>
      </c>
      <c r="H678">
        <v>32768</v>
      </c>
      <c r="I678">
        <v>0</v>
      </c>
      <c r="J678" t="s">
        <v>1</v>
      </c>
      <c r="K678" t="s">
        <v>13</v>
      </c>
      <c r="L678" s="8">
        <f>InterspecUsage[[#This Row],[Used-MB]]-F668</f>
        <v>-17</v>
      </c>
      <c r="M678">
        <f>InterspecUsage[[#This Row],[Max]]-InterspecUsage[[#This Row],[Used-MB]]</f>
        <v>32752</v>
      </c>
      <c r="N678" s="5">
        <f>IF($L678&gt;0,InterspecUsage[[#This Row],[Free-of-Max]]/InterspecUsage[[#This Row],[Usage-Delta-MB]],InterspecUsage[[#This Row],[Free-of-Max]])</f>
        <v>32752</v>
      </c>
    </row>
    <row r="679" spans="1:14" x14ac:dyDescent="0.25">
      <c r="A679" s="3">
        <v>44726</v>
      </c>
      <c r="B679" t="s">
        <v>28</v>
      </c>
      <c r="C679">
        <v>18</v>
      </c>
      <c r="D679">
        <v>16400</v>
      </c>
      <c r="E679">
        <v>13474</v>
      </c>
      <c r="F679">
        <v>2926</v>
      </c>
      <c r="G679">
        <v>82</v>
      </c>
      <c r="H679">
        <v>32768</v>
      </c>
      <c r="I679">
        <v>9</v>
      </c>
      <c r="J679" t="s">
        <v>1</v>
      </c>
      <c r="K679" t="s">
        <v>10</v>
      </c>
      <c r="L679" s="8">
        <f>InterspecUsage[[#This Row],[Used-MB]]-F669</f>
        <v>-471</v>
      </c>
      <c r="M679">
        <f>InterspecUsage[[#This Row],[Max]]-InterspecUsage[[#This Row],[Used-MB]]</f>
        <v>29842</v>
      </c>
      <c r="N679" s="5">
        <f>IF($L679&gt;0,InterspecUsage[[#This Row],[Free-of-Max]]/InterspecUsage[[#This Row],[Usage-Delta-MB]],InterspecUsage[[#This Row],[Free-of-Max]])</f>
        <v>29842</v>
      </c>
    </row>
    <row r="680" spans="1:14" x14ac:dyDescent="0.25">
      <c r="A680" s="3">
        <v>44726</v>
      </c>
      <c r="B680" t="s">
        <v>25</v>
      </c>
      <c r="C680">
        <v>92</v>
      </c>
      <c r="D680">
        <v>11800</v>
      </c>
      <c r="E680">
        <v>932</v>
      </c>
      <c r="F680">
        <v>10868</v>
      </c>
      <c r="G680">
        <v>8</v>
      </c>
      <c r="H680">
        <v>32768</v>
      </c>
      <c r="I680">
        <v>33</v>
      </c>
      <c r="J680" t="s">
        <v>1</v>
      </c>
      <c r="K680" t="s">
        <v>2</v>
      </c>
      <c r="L680" s="8">
        <f>InterspecUsage[[#This Row],[Used-MB]]-F670</f>
        <v>-1</v>
      </c>
      <c r="M680">
        <f>InterspecUsage[[#This Row],[Max]]-InterspecUsage[[#This Row],[Used-MB]]</f>
        <v>21900</v>
      </c>
      <c r="N680" s="5">
        <f>IF($L680&gt;0,InterspecUsage[[#This Row],[Free-of-Max]]/InterspecUsage[[#This Row],[Usage-Delta-MB]],InterspecUsage[[#This Row],[Free-of-Max]])</f>
        <v>21900</v>
      </c>
    </row>
    <row r="681" spans="1:14" x14ac:dyDescent="0.25">
      <c r="A681" s="3">
        <v>44726</v>
      </c>
      <c r="B681" t="s">
        <v>29</v>
      </c>
      <c r="C681">
        <v>0</v>
      </c>
      <c r="D681">
        <v>500</v>
      </c>
      <c r="E681">
        <v>499</v>
      </c>
      <c r="F681">
        <v>1</v>
      </c>
      <c r="G681">
        <v>100</v>
      </c>
      <c r="H681">
        <v>500</v>
      </c>
      <c r="I681">
        <v>0</v>
      </c>
      <c r="J681" t="s">
        <v>1</v>
      </c>
      <c r="K681" t="s">
        <v>2</v>
      </c>
      <c r="L681" s="8">
        <f>InterspecUsage[[#This Row],[Used-MB]]-F671</f>
        <v>0</v>
      </c>
      <c r="M681">
        <f>InterspecUsage[[#This Row],[Max]]-InterspecUsage[[#This Row],[Used-MB]]</f>
        <v>499</v>
      </c>
      <c r="N681" s="5">
        <f>IF($L681&gt;0,InterspecUsage[[#This Row],[Free-of-Max]]/InterspecUsage[[#This Row],[Usage-Delta-MB]],InterspecUsage[[#This Row],[Free-of-Max]])</f>
        <v>499</v>
      </c>
    </row>
    <row r="682" spans="1:14" x14ac:dyDescent="0.25">
      <c r="A682" s="3">
        <v>44739</v>
      </c>
      <c r="B682" t="s">
        <v>26</v>
      </c>
      <c r="C682">
        <v>94</v>
      </c>
      <c r="D682">
        <v>19288</v>
      </c>
      <c r="E682">
        <v>1214</v>
      </c>
      <c r="F682">
        <v>18074</v>
      </c>
      <c r="G682">
        <v>6</v>
      </c>
      <c r="H682">
        <v>40960</v>
      </c>
      <c r="I682">
        <v>44</v>
      </c>
      <c r="J682" t="s">
        <v>1</v>
      </c>
      <c r="K682" t="s">
        <v>2</v>
      </c>
      <c r="L682" s="8">
        <f>InterspecUsage[[#This Row],[Used-MB]]-F672</f>
        <v>64</v>
      </c>
      <c r="M682">
        <f>InterspecUsage[[#This Row],[Max]]-InterspecUsage[[#This Row],[Used-MB]]</f>
        <v>22886</v>
      </c>
      <c r="N682" s="5">
        <f>IF($L682&gt;0,InterspecUsage[[#This Row],[Free-of-Max]]/InterspecUsage[[#This Row],[Usage-Delta-MB]],InterspecUsage[[#This Row],[Free-of-Max]])</f>
        <v>357.59375</v>
      </c>
    </row>
    <row r="683" spans="1:14" x14ac:dyDescent="0.25">
      <c r="A683" s="3">
        <v>44739</v>
      </c>
      <c r="B683" t="s">
        <v>24</v>
      </c>
      <c r="C683">
        <v>79</v>
      </c>
      <c r="D683">
        <v>18000</v>
      </c>
      <c r="E683">
        <v>3722</v>
      </c>
      <c r="F683">
        <v>14278</v>
      </c>
      <c r="G683">
        <v>21</v>
      </c>
      <c r="H683">
        <v>32768</v>
      </c>
      <c r="I683">
        <v>44</v>
      </c>
      <c r="J683" t="s">
        <v>1</v>
      </c>
      <c r="K683" t="s">
        <v>2</v>
      </c>
      <c r="L683" s="8">
        <f>InterspecUsage[[#This Row],[Used-MB]]-F673</f>
        <v>16</v>
      </c>
      <c r="M683">
        <f>InterspecUsage[[#This Row],[Max]]-InterspecUsage[[#This Row],[Used-MB]]</f>
        <v>18490</v>
      </c>
      <c r="N683" s="5">
        <f>IF($L683&gt;0,InterspecUsage[[#This Row],[Free-of-Max]]/InterspecUsage[[#This Row],[Usage-Delta-MB]],InterspecUsage[[#This Row],[Free-of-Max]])</f>
        <v>1155.625</v>
      </c>
    </row>
    <row r="684" spans="1:14" x14ac:dyDescent="0.25">
      <c r="A684" s="3">
        <v>44739</v>
      </c>
      <c r="B684" t="s">
        <v>35</v>
      </c>
      <c r="C684">
        <v>95</v>
      </c>
      <c r="D684">
        <v>24200</v>
      </c>
      <c r="E684">
        <v>1220</v>
      </c>
      <c r="F684">
        <v>22980</v>
      </c>
      <c r="G684">
        <v>5</v>
      </c>
      <c r="H684">
        <v>32768</v>
      </c>
      <c r="I684">
        <v>70</v>
      </c>
      <c r="J684" t="s">
        <v>1</v>
      </c>
      <c r="K684" t="s">
        <v>2</v>
      </c>
      <c r="L684" s="8">
        <f>InterspecUsage[[#This Row],[Used-MB]]-F674</f>
        <v>192</v>
      </c>
      <c r="M684">
        <f>InterspecUsage[[#This Row],[Max]]-InterspecUsage[[#This Row],[Used-MB]]</f>
        <v>9788</v>
      </c>
      <c r="N684" s="5">
        <f>IF($L684&gt;0,InterspecUsage[[#This Row],[Free-of-Max]]/InterspecUsage[[#This Row],[Usage-Delta-MB]],InterspecUsage[[#This Row],[Free-of-Max]])</f>
        <v>50.979166666666664</v>
      </c>
    </row>
    <row r="685" spans="1:14" x14ac:dyDescent="0.25">
      <c r="A685" s="3">
        <v>44739</v>
      </c>
      <c r="B685" t="s">
        <v>27</v>
      </c>
      <c r="C685">
        <v>89</v>
      </c>
      <c r="D685">
        <v>131072</v>
      </c>
      <c r="E685">
        <v>14948</v>
      </c>
      <c r="F685">
        <v>116124</v>
      </c>
      <c r="G685">
        <v>11</v>
      </c>
      <c r="H685">
        <v>131072</v>
      </c>
      <c r="I685">
        <v>89</v>
      </c>
      <c r="J685" t="s">
        <v>1</v>
      </c>
      <c r="K685" t="s">
        <v>2</v>
      </c>
      <c r="L685" s="8">
        <f>InterspecUsage[[#This Row],[Used-MB]]-F675</f>
        <v>1236</v>
      </c>
      <c r="M685">
        <f>InterspecUsage[[#This Row],[Max]]-InterspecUsage[[#This Row],[Used-MB]]</f>
        <v>14948</v>
      </c>
      <c r="N685" s="5">
        <f>IF($L685&gt;0,InterspecUsage[[#This Row],[Free-of-Max]]/InterspecUsage[[#This Row],[Usage-Delta-MB]],InterspecUsage[[#This Row],[Free-of-Max]])</f>
        <v>12.093851132686083</v>
      </c>
    </row>
    <row r="686" spans="1:14" x14ac:dyDescent="0.25">
      <c r="A686" s="3">
        <v>44739</v>
      </c>
      <c r="B686" t="s">
        <v>7</v>
      </c>
      <c r="C686">
        <v>95</v>
      </c>
      <c r="D686">
        <v>1260</v>
      </c>
      <c r="E686">
        <v>64</v>
      </c>
      <c r="F686">
        <v>1196</v>
      </c>
      <c r="G686">
        <v>5</v>
      </c>
      <c r="H686">
        <v>32768</v>
      </c>
      <c r="I686">
        <v>4</v>
      </c>
      <c r="J686" t="s">
        <v>1</v>
      </c>
      <c r="K686" t="s">
        <v>2</v>
      </c>
      <c r="L686" s="8">
        <f>InterspecUsage[[#This Row],[Used-MB]]-F676</f>
        <v>17</v>
      </c>
      <c r="M686">
        <f>InterspecUsage[[#This Row],[Max]]-InterspecUsage[[#This Row],[Used-MB]]</f>
        <v>31572</v>
      </c>
      <c r="N686" s="5">
        <f>IF($L686&gt;0,InterspecUsage[[#This Row],[Free-of-Max]]/InterspecUsage[[#This Row],[Usage-Delta-MB]],InterspecUsage[[#This Row],[Free-of-Max]])</f>
        <v>1857.1764705882354</v>
      </c>
    </row>
    <row r="687" spans="1:14" x14ac:dyDescent="0.25">
      <c r="A687" s="3">
        <v>44739</v>
      </c>
      <c r="B687" t="s">
        <v>0</v>
      </c>
      <c r="C687">
        <v>99</v>
      </c>
      <c r="D687">
        <v>3420</v>
      </c>
      <c r="E687">
        <v>30</v>
      </c>
      <c r="F687">
        <v>3390</v>
      </c>
      <c r="G687">
        <v>1</v>
      </c>
      <c r="H687">
        <v>32768</v>
      </c>
      <c r="I687">
        <v>10</v>
      </c>
      <c r="J687" t="s">
        <v>1</v>
      </c>
      <c r="K687" t="s">
        <v>2</v>
      </c>
      <c r="L687" s="8">
        <f>InterspecUsage[[#This Row],[Used-MB]]-F677</f>
        <v>0</v>
      </c>
      <c r="M687">
        <f>InterspecUsage[[#This Row],[Max]]-InterspecUsage[[#This Row],[Used-MB]]</f>
        <v>29378</v>
      </c>
      <c r="N687" s="5">
        <f>IF($L687&gt;0,InterspecUsage[[#This Row],[Free-of-Max]]/InterspecUsage[[#This Row],[Usage-Delta-MB]],InterspecUsage[[#This Row],[Free-of-Max]])</f>
        <v>29378</v>
      </c>
    </row>
    <row r="688" spans="1:14" x14ac:dyDescent="0.25">
      <c r="A688" s="3">
        <v>44739</v>
      </c>
      <c r="B688" t="s">
        <v>30</v>
      </c>
      <c r="C688">
        <v>0</v>
      </c>
      <c r="D688">
        <v>32767</v>
      </c>
      <c r="E688">
        <v>32721</v>
      </c>
      <c r="F688">
        <v>46</v>
      </c>
      <c r="G688">
        <v>100</v>
      </c>
      <c r="H688">
        <v>32768</v>
      </c>
      <c r="I688">
        <v>0</v>
      </c>
      <c r="J688" t="s">
        <v>1</v>
      </c>
      <c r="K688" t="s">
        <v>13</v>
      </c>
      <c r="L688" s="8">
        <f>InterspecUsage[[#This Row],[Used-MB]]-F678</f>
        <v>30</v>
      </c>
      <c r="M688">
        <f>InterspecUsage[[#This Row],[Max]]-InterspecUsage[[#This Row],[Used-MB]]</f>
        <v>32722</v>
      </c>
      <c r="N688" s="5">
        <f>IF($L688&gt;0,InterspecUsage[[#This Row],[Free-of-Max]]/InterspecUsage[[#This Row],[Usage-Delta-MB]],InterspecUsage[[#This Row],[Free-of-Max]])</f>
        <v>1090.7333333333333</v>
      </c>
    </row>
    <row r="689" spans="1:14" x14ac:dyDescent="0.25">
      <c r="A689" s="3">
        <v>44739</v>
      </c>
      <c r="B689" t="s">
        <v>28</v>
      </c>
      <c r="C689">
        <v>14</v>
      </c>
      <c r="D689">
        <v>16400</v>
      </c>
      <c r="E689">
        <v>14054</v>
      </c>
      <c r="F689">
        <v>2346</v>
      </c>
      <c r="G689">
        <v>86</v>
      </c>
      <c r="H689">
        <v>32768</v>
      </c>
      <c r="I689">
        <v>7</v>
      </c>
      <c r="J689" t="s">
        <v>1</v>
      </c>
      <c r="K689" t="s">
        <v>10</v>
      </c>
      <c r="L689" s="8">
        <f>InterspecUsage[[#This Row],[Used-MB]]-F679</f>
        <v>-580</v>
      </c>
      <c r="M689">
        <f>InterspecUsage[[#This Row],[Max]]-InterspecUsage[[#This Row],[Used-MB]]</f>
        <v>30422</v>
      </c>
      <c r="N689" s="5">
        <f>IF($L689&gt;0,InterspecUsage[[#This Row],[Free-of-Max]]/InterspecUsage[[#This Row],[Usage-Delta-MB]],InterspecUsage[[#This Row],[Free-of-Max]])</f>
        <v>30422</v>
      </c>
    </row>
    <row r="690" spans="1:14" x14ac:dyDescent="0.25">
      <c r="A690" s="3">
        <v>44739</v>
      </c>
      <c r="B690" t="s">
        <v>25</v>
      </c>
      <c r="C690">
        <v>92</v>
      </c>
      <c r="D690">
        <v>11800</v>
      </c>
      <c r="E690">
        <v>932</v>
      </c>
      <c r="F690">
        <v>10868</v>
      </c>
      <c r="G690">
        <v>8</v>
      </c>
      <c r="H690">
        <v>32768</v>
      </c>
      <c r="I690">
        <v>33</v>
      </c>
      <c r="J690" t="s">
        <v>1</v>
      </c>
      <c r="K690" t="s">
        <v>2</v>
      </c>
      <c r="L690" s="8">
        <f>InterspecUsage[[#This Row],[Used-MB]]-F680</f>
        <v>0</v>
      </c>
      <c r="M690">
        <f>InterspecUsage[[#This Row],[Max]]-InterspecUsage[[#This Row],[Used-MB]]</f>
        <v>21900</v>
      </c>
      <c r="N690" s="5">
        <f>IF($L690&gt;0,InterspecUsage[[#This Row],[Free-of-Max]]/InterspecUsage[[#This Row],[Usage-Delta-MB]],InterspecUsage[[#This Row],[Free-of-Max]])</f>
        <v>21900</v>
      </c>
    </row>
    <row r="691" spans="1:14" x14ac:dyDescent="0.25">
      <c r="A691" s="3">
        <v>44739</v>
      </c>
      <c r="B691" t="s">
        <v>29</v>
      </c>
      <c r="C691">
        <v>0</v>
      </c>
      <c r="D691">
        <v>500</v>
      </c>
      <c r="E691">
        <v>499</v>
      </c>
      <c r="F691">
        <v>1</v>
      </c>
      <c r="G691">
        <v>100</v>
      </c>
      <c r="H691">
        <v>500</v>
      </c>
      <c r="I691">
        <v>0</v>
      </c>
      <c r="J691" t="s">
        <v>1</v>
      </c>
      <c r="K691" t="s">
        <v>2</v>
      </c>
      <c r="L691" s="8">
        <f>InterspecUsage[[#This Row],[Used-MB]]-F681</f>
        <v>0</v>
      </c>
      <c r="M691">
        <f>InterspecUsage[[#This Row],[Max]]-InterspecUsage[[#This Row],[Used-MB]]</f>
        <v>499</v>
      </c>
      <c r="N691" s="5">
        <f>IF($L691&gt;0,InterspecUsage[[#This Row],[Free-of-Max]]/InterspecUsage[[#This Row],[Usage-Delta-MB]],InterspecUsage[[#This Row],[Free-of-Max]])</f>
        <v>499</v>
      </c>
    </row>
    <row r="692" spans="1:14" x14ac:dyDescent="0.25">
      <c r="A692" s="3">
        <v>44745</v>
      </c>
      <c r="B692" t="s">
        <v>26</v>
      </c>
      <c r="C692">
        <v>94</v>
      </c>
      <c r="D692">
        <v>19288</v>
      </c>
      <c r="E692">
        <v>1150</v>
      </c>
      <c r="F692">
        <v>18138</v>
      </c>
      <c r="G692">
        <v>6</v>
      </c>
      <c r="H692">
        <v>40960</v>
      </c>
      <c r="I692">
        <v>44</v>
      </c>
      <c r="J692" t="s">
        <v>1</v>
      </c>
      <c r="K692" t="s">
        <v>2</v>
      </c>
      <c r="L692" s="8">
        <f>InterspecUsage[[#This Row],[Used-MB]]-F682</f>
        <v>64</v>
      </c>
      <c r="M692">
        <f>InterspecUsage[[#This Row],[Max]]-InterspecUsage[[#This Row],[Used-MB]]</f>
        <v>22822</v>
      </c>
      <c r="N692" s="5">
        <f>IF($L692&gt;0,InterspecUsage[[#This Row],[Free-of-Max]]/InterspecUsage[[#This Row],[Usage-Delta-MB]],InterspecUsage[[#This Row],[Free-of-Max]])</f>
        <v>356.59375</v>
      </c>
    </row>
    <row r="693" spans="1:14" x14ac:dyDescent="0.25">
      <c r="A693" s="3">
        <v>44745</v>
      </c>
      <c r="B693" t="s">
        <v>24</v>
      </c>
      <c r="C693">
        <v>79</v>
      </c>
      <c r="D693">
        <v>18000</v>
      </c>
      <c r="E693">
        <v>3752</v>
      </c>
      <c r="F693">
        <v>14248</v>
      </c>
      <c r="G693">
        <v>21</v>
      </c>
      <c r="H693">
        <v>32768</v>
      </c>
      <c r="I693">
        <v>43</v>
      </c>
      <c r="J693" t="s">
        <v>1</v>
      </c>
      <c r="K693" t="s">
        <v>2</v>
      </c>
      <c r="L693" s="8">
        <f>InterspecUsage[[#This Row],[Used-MB]]-F683</f>
        <v>-30</v>
      </c>
      <c r="M693">
        <f>InterspecUsage[[#This Row],[Max]]-InterspecUsage[[#This Row],[Used-MB]]</f>
        <v>18520</v>
      </c>
      <c r="N693" s="5">
        <f>IF($L693&gt;0,InterspecUsage[[#This Row],[Free-of-Max]]/InterspecUsage[[#This Row],[Usage-Delta-MB]],InterspecUsage[[#This Row],[Free-of-Max]])</f>
        <v>18520</v>
      </c>
    </row>
    <row r="694" spans="1:14" x14ac:dyDescent="0.25">
      <c r="A694" s="3">
        <v>44745</v>
      </c>
      <c r="B694" t="s">
        <v>35</v>
      </c>
      <c r="C694">
        <v>95</v>
      </c>
      <c r="D694">
        <v>24200</v>
      </c>
      <c r="E694">
        <v>1220</v>
      </c>
      <c r="F694">
        <v>22980</v>
      </c>
      <c r="G694">
        <v>5</v>
      </c>
      <c r="H694">
        <v>32768</v>
      </c>
      <c r="I694">
        <v>70</v>
      </c>
      <c r="J694" t="s">
        <v>1</v>
      </c>
      <c r="K694" t="s">
        <v>2</v>
      </c>
      <c r="L694" s="8">
        <f>InterspecUsage[[#This Row],[Used-MB]]-F684</f>
        <v>0</v>
      </c>
      <c r="M694">
        <f>InterspecUsage[[#This Row],[Max]]-InterspecUsage[[#This Row],[Used-MB]]</f>
        <v>9788</v>
      </c>
      <c r="N694" s="5">
        <f>IF($L694&gt;0,InterspecUsage[[#This Row],[Free-of-Max]]/InterspecUsage[[#This Row],[Usage-Delta-MB]],InterspecUsage[[#This Row],[Free-of-Max]])</f>
        <v>9788</v>
      </c>
    </row>
    <row r="695" spans="1:14" x14ac:dyDescent="0.25">
      <c r="A695" s="3">
        <v>44745</v>
      </c>
      <c r="B695" t="s">
        <v>27</v>
      </c>
      <c r="C695">
        <v>89</v>
      </c>
      <c r="D695">
        <v>131072</v>
      </c>
      <c r="E695">
        <v>14908</v>
      </c>
      <c r="F695">
        <v>116164</v>
      </c>
      <c r="G695">
        <v>11</v>
      </c>
      <c r="H695">
        <v>131072</v>
      </c>
      <c r="I695">
        <v>89</v>
      </c>
      <c r="J695" t="s">
        <v>1</v>
      </c>
      <c r="K695" t="s">
        <v>2</v>
      </c>
      <c r="L695" s="8">
        <f>InterspecUsage[[#This Row],[Used-MB]]-F685</f>
        <v>40</v>
      </c>
      <c r="M695">
        <f>InterspecUsage[[#This Row],[Max]]-InterspecUsage[[#This Row],[Used-MB]]</f>
        <v>14908</v>
      </c>
      <c r="N695" s="5">
        <f>IF($L695&gt;0,InterspecUsage[[#This Row],[Free-of-Max]]/InterspecUsage[[#This Row],[Usage-Delta-MB]],InterspecUsage[[#This Row],[Free-of-Max]])</f>
        <v>372.7</v>
      </c>
    </row>
    <row r="696" spans="1:14" x14ac:dyDescent="0.25">
      <c r="A696" s="3">
        <v>44745</v>
      </c>
      <c r="B696" t="s">
        <v>7</v>
      </c>
      <c r="C696">
        <v>95</v>
      </c>
      <c r="D696">
        <v>1260</v>
      </c>
      <c r="E696">
        <v>64</v>
      </c>
      <c r="F696">
        <v>1196</v>
      </c>
      <c r="G696">
        <v>5</v>
      </c>
      <c r="H696">
        <v>32768</v>
      </c>
      <c r="I696">
        <v>4</v>
      </c>
      <c r="J696" t="s">
        <v>1</v>
      </c>
      <c r="K696" t="s">
        <v>2</v>
      </c>
      <c r="L696" s="8">
        <f>InterspecUsage[[#This Row],[Used-MB]]-F686</f>
        <v>0</v>
      </c>
      <c r="M696">
        <f>InterspecUsage[[#This Row],[Max]]-InterspecUsage[[#This Row],[Used-MB]]</f>
        <v>31572</v>
      </c>
      <c r="N696" s="5">
        <f>IF($L696&gt;0,InterspecUsage[[#This Row],[Free-of-Max]]/InterspecUsage[[#This Row],[Usage-Delta-MB]],InterspecUsage[[#This Row],[Free-of-Max]])</f>
        <v>31572</v>
      </c>
    </row>
    <row r="697" spans="1:14" x14ac:dyDescent="0.25">
      <c r="A697" s="3">
        <v>44745</v>
      </c>
      <c r="B697" t="s">
        <v>0</v>
      </c>
      <c r="C697">
        <v>99</v>
      </c>
      <c r="D697">
        <v>3420</v>
      </c>
      <c r="E697">
        <v>30</v>
      </c>
      <c r="F697">
        <v>3390</v>
      </c>
      <c r="G697">
        <v>1</v>
      </c>
      <c r="H697">
        <v>32768</v>
      </c>
      <c r="I697">
        <v>10</v>
      </c>
      <c r="J697" t="s">
        <v>1</v>
      </c>
      <c r="K697" t="s">
        <v>2</v>
      </c>
      <c r="L697" s="8">
        <f>InterspecUsage[[#This Row],[Used-MB]]-F687</f>
        <v>0</v>
      </c>
      <c r="M697">
        <f>InterspecUsage[[#This Row],[Max]]-InterspecUsage[[#This Row],[Used-MB]]</f>
        <v>29378</v>
      </c>
      <c r="N697" s="5">
        <f>IF($L697&gt;0,InterspecUsage[[#This Row],[Free-of-Max]]/InterspecUsage[[#This Row],[Usage-Delta-MB]],InterspecUsage[[#This Row],[Free-of-Max]])</f>
        <v>29378</v>
      </c>
    </row>
    <row r="698" spans="1:14" x14ac:dyDescent="0.25">
      <c r="A698" s="3">
        <v>44745</v>
      </c>
      <c r="B698" t="s">
        <v>30</v>
      </c>
      <c r="C698">
        <v>0</v>
      </c>
      <c r="D698">
        <v>32767</v>
      </c>
      <c r="E698">
        <v>32736</v>
      </c>
      <c r="F698">
        <v>31</v>
      </c>
      <c r="G698">
        <v>100</v>
      </c>
      <c r="H698">
        <v>32768</v>
      </c>
      <c r="I698">
        <v>0</v>
      </c>
      <c r="J698" t="s">
        <v>1</v>
      </c>
      <c r="K698" t="s">
        <v>13</v>
      </c>
      <c r="L698" s="8">
        <f>InterspecUsage[[#This Row],[Used-MB]]-F688</f>
        <v>-15</v>
      </c>
      <c r="M698">
        <f>InterspecUsage[[#This Row],[Max]]-InterspecUsage[[#This Row],[Used-MB]]</f>
        <v>32737</v>
      </c>
      <c r="N698" s="5">
        <f>IF($L698&gt;0,InterspecUsage[[#This Row],[Free-of-Max]]/InterspecUsage[[#This Row],[Usage-Delta-MB]],InterspecUsage[[#This Row],[Free-of-Max]])</f>
        <v>32737</v>
      </c>
    </row>
    <row r="699" spans="1:14" x14ac:dyDescent="0.25">
      <c r="A699" s="3">
        <v>44745</v>
      </c>
      <c r="B699" t="s">
        <v>28</v>
      </c>
      <c r="C699">
        <v>7</v>
      </c>
      <c r="D699">
        <v>16400</v>
      </c>
      <c r="E699">
        <v>15232</v>
      </c>
      <c r="F699">
        <v>1168</v>
      </c>
      <c r="G699">
        <v>93</v>
      </c>
      <c r="H699">
        <v>32768</v>
      </c>
      <c r="I699">
        <v>4</v>
      </c>
      <c r="J699" t="s">
        <v>1</v>
      </c>
      <c r="K699" t="s">
        <v>10</v>
      </c>
      <c r="L699" s="8">
        <f>InterspecUsage[[#This Row],[Used-MB]]-F689</f>
        <v>-1178</v>
      </c>
      <c r="M699">
        <f>InterspecUsage[[#This Row],[Max]]-InterspecUsage[[#This Row],[Used-MB]]</f>
        <v>31600</v>
      </c>
      <c r="N699" s="5">
        <f>IF($L699&gt;0,InterspecUsage[[#This Row],[Free-of-Max]]/InterspecUsage[[#This Row],[Usage-Delta-MB]],InterspecUsage[[#This Row],[Free-of-Max]])</f>
        <v>31600</v>
      </c>
    </row>
    <row r="700" spans="1:14" x14ac:dyDescent="0.25">
      <c r="A700" s="3">
        <v>44745</v>
      </c>
      <c r="B700" t="s">
        <v>25</v>
      </c>
      <c r="C700">
        <v>92</v>
      </c>
      <c r="D700">
        <v>11800</v>
      </c>
      <c r="E700">
        <v>932</v>
      </c>
      <c r="F700">
        <v>10868</v>
      </c>
      <c r="G700">
        <v>8</v>
      </c>
      <c r="H700">
        <v>32768</v>
      </c>
      <c r="I700">
        <v>33</v>
      </c>
      <c r="J700" t="s">
        <v>1</v>
      </c>
      <c r="K700" t="s">
        <v>2</v>
      </c>
      <c r="L700" s="8">
        <f>InterspecUsage[[#This Row],[Used-MB]]-F690</f>
        <v>0</v>
      </c>
      <c r="M700">
        <f>InterspecUsage[[#This Row],[Max]]-InterspecUsage[[#This Row],[Used-MB]]</f>
        <v>21900</v>
      </c>
      <c r="N700" s="5">
        <f>IF($L700&gt;0,InterspecUsage[[#This Row],[Free-of-Max]]/InterspecUsage[[#This Row],[Usage-Delta-MB]],InterspecUsage[[#This Row],[Free-of-Max]])</f>
        <v>21900</v>
      </c>
    </row>
    <row r="701" spans="1:14" x14ac:dyDescent="0.25">
      <c r="A701" s="3">
        <v>44745</v>
      </c>
      <c r="B701" t="s">
        <v>29</v>
      </c>
      <c r="C701">
        <v>0</v>
      </c>
      <c r="D701">
        <v>500</v>
      </c>
      <c r="E701">
        <v>499</v>
      </c>
      <c r="F701">
        <v>1</v>
      </c>
      <c r="G701">
        <v>100</v>
      </c>
      <c r="H701">
        <v>500</v>
      </c>
      <c r="I701">
        <v>0</v>
      </c>
      <c r="J701" t="s">
        <v>1</v>
      </c>
      <c r="K701" t="s">
        <v>2</v>
      </c>
      <c r="L701" s="8">
        <f>InterspecUsage[[#This Row],[Used-MB]]-F691</f>
        <v>0</v>
      </c>
      <c r="M701">
        <f>InterspecUsage[[#This Row],[Max]]-InterspecUsage[[#This Row],[Used-MB]]</f>
        <v>499</v>
      </c>
      <c r="N701" s="5">
        <f>IF($L701&gt;0,InterspecUsage[[#This Row],[Free-of-Max]]/InterspecUsage[[#This Row],[Usage-Delta-MB]],InterspecUsage[[#This Row],[Free-of-Max]])</f>
        <v>499</v>
      </c>
    </row>
    <row r="702" spans="1:14" x14ac:dyDescent="0.25">
      <c r="A702" s="3">
        <v>44760</v>
      </c>
      <c r="B702" t="s">
        <v>26</v>
      </c>
      <c r="C702">
        <v>94</v>
      </c>
      <c r="D702">
        <v>19288</v>
      </c>
      <c r="E702">
        <v>1150</v>
      </c>
      <c r="F702">
        <v>18138</v>
      </c>
      <c r="G702">
        <v>6</v>
      </c>
      <c r="H702">
        <v>40960</v>
      </c>
      <c r="I702">
        <v>44</v>
      </c>
      <c r="J702" t="s">
        <v>1</v>
      </c>
      <c r="K702" t="s">
        <v>2</v>
      </c>
      <c r="L702" s="8">
        <f>InterspecUsage[[#This Row],[Used-MB]]-F692</f>
        <v>0</v>
      </c>
      <c r="M702">
        <f>InterspecUsage[[#This Row],[Max]]-InterspecUsage[[#This Row],[Used-MB]]</f>
        <v>22822</v>
      </c>
      <c r="N702" s="5">
        <f>IF($L702&gt;0,InterspecUsage[[#This Row],[Free-of-Max]]/InterspecUsage[[#This Row],[Usage-Delta-MB]],InterspecUsage[[#This Row],[Free-of-Max]])</f>
        <v>22822</v>
      </c>
    </row>
    <row r="703" spans="1:14" x14ac:dyDescent="0.25">
      <c r="A703" s="3">
        <v>44760</v>
      </c>
      <c r="B703" t="s">
        <v>24</v>
      </c>
      <c r="C703">
        <v>81</v>
      </c>
      <c r="D703">
        <v>18000</v>
      </c>
      <c r="E703">
        <v>3353</v>
      </c>
      <c r="F703">
        <v>14647</v>
      </c>
      <c r="G703">
        <v>19</v>
      </c>
      <c r="H703">
        <v>32768</v>
      </c>
      <c r="I703">
        <v>45</v>
      </c>
      <c r="J703" t="s">
        <v>1</v>
      </c>
      <c r="K703" t="s">
        <v>2</v>
      </c>
      <c r="L703" s="8">
        <f>InterspecUsage[[#This Row],[Used-MB]]-F693</f>
        <v>399</v>
      </c>
      <c r="M703">
        <f>InterspecUsage[[#This Row],[Max]]-InterspecUsage[[#This Row],[Used-MB]]</f>
        <v>18121</v>
      </c>
      <c r="N703" s="5">
        <f>IF($L703&gt;0,InterspecUsage[[#This Row],[Free-of-Max]]/InterspecUsage[[#This Row],[Usage-Delta-MB]],InterspecUsage[[#This Row],[Free-of-Max]])</f>
        <v>45.416040100250626</v>
      </c>
    </row>
    <row r="704" spans="1:14" x14ac:dyDescent="0.25">
      <c r="A704" s="3">
        <v>44760</v>
      </c>
      <c r="B704" t="s">
        <v>35</v>
      </c>
      <c r="C704">
        <v>95</v>
      </c>
      <c r="D704">
        <v>24600</v>
      </c>
      <c r="E704">
        <v>1236</v>
      </c>
      <c r="F704">
        <v>23364</v>
      </c>
      <c r="G704">
        <v>5</v>
      </c>
      <c r="H704">
        <v>32768</v>
      </c>
      <c r="I704">
        <v>71</v>
      </c>
      <c r="J704" t="s">
        <v>1</v>
      </c>
      <c r="K704" t="s">
        <v>2</v>
      </c>
      <c r="L704" s="8">
        <f>InterspecUsage[[#This Row],[Used-MB]]-F694</f>
        <v>384</v>
      </c>
      <c r="M704">
        <f>InterspecUsage[[#This Row],[Max]]-InterspecUsage[[#This Row],[Used-MB]]</f>
        <v>9404</v>
      </c>
      <c r="N704" s="5">
        <f>IF($L704&gt;0,InterspecUsage[[#This Row],[Free-of-Max]]/InterspecUsage[[#This Row],[Usage-Delta-MB]],InterspecUsage[[#This Row],[Free-of-Max]])</f>
        <v>24.489583333333332</v>
      </c>
    </row>
    <row r="705" spans="1:14" x14ac:dyDescent="0.25">
      <c r="A705" s="3">
        <v>44760</v>
      </c>
      <c r="B705" t="s">
        <v>27</v>
      </c>
      <c r="C705">
        <v>90</v>
      </c>
      <c r="D705">
        <v>131072</v>
      </c>
      <c r="E705">
        <v>12768</v>
      </c>
      <c r="F705">
        <v>118304</v>
      </c>
      <c r="G705">
        <v>10</v>
      </c>
      <c r="H705">
        <v>131072</v>
      </c>
      <c r="I705">
        <v>90</v>
      </c>
      <c r="J705" t="s">
        <v>1</v>
      </c>
      <c r="K705" t="s">
        <v>2</v>
      </c>
      <c r="L705" s="8">
        <f>InterspecUsage[[#This Row],[Used-MB]]-F695</f>
        <v>2140</v>
      </c>
      <c r="M705">
        <f>InterspecUsage[[#This Row],[Max]]-InterspecUsage[[#This Row],[Used-MB]]</f>
        <v>12768</v>
      </c>
      <c r="N705" s="5">
        <f>IF($L705&gt;0,InterspecUsage[[#This Row],[Free-of-Max]]/InterspecUsage[[#This Row],[Usage-Delta-MB]],InterspecUsage[[#This Row],[Free-of-Max]])</f>
        <v>5.9663551401869155</v>
      </c>
    </row>
    <row r="706" spans="1:14" x14ac:dyDescent="0.25">
      <c r="A706" s="3">
        <v>44760</v>
      </c>
      <c r="B706" t="s">
        <v>7</v>
      </c>
      <c r="C706">
        <v>95</v>
      </c>
      <c r="D706">
        <v>1280</v>
      </c>
      <c r="E706">
        <v>68</v>
      </c>
      <c r="F706">
        <v>1212</v>
      </c>
      <c r="G706">
        <v>5</v>
      </c>
      <c r="H706">
        <v>32768</v>
      </c>
      <c r="I706">
        <v>4</v>
      </c>
      <c r="J706" t="s">
        <v>1</v>
      </c>
      <c r="K706" t="s">
        <v>2</v>
      </c>
      <c r="L706" s="8">
        <f>InterspecUsage[[#This Row],[Used-MB]]-F696</f>
        <v>16</v>
      </c>
      <c r="M706">
        <f>InterspecUsage[[#This Row],[Max]]-InterspecUsage[[#This Row],[Used-MB]]</f>
        <v>31556</v>
      </c>
      <c r="N706" s="5">
        <f>IF($L706&gt;0,InterspecUsage[[#This Row],[Free-of-Max]]/InterspecUsage[[#This Row],[Usage-Delta-MB]],InterspecUsage[[#This Row],[Free-of-Max]])</f>
        <v>1972.25</v>
      </c>
    </row>
    <row r="707" spans="1:14" x14ac:dyDescent="0.25">
      <c r="A707" s="3">
        <v>44760</v>
      </c>
      <c r="B707" t="s">
        <v>0</v>
      </c>
      <c r="C707">
        <v>99</v>
      </c>
      <c r="D707">
        <v>3420</v>
      </c>
      <c r="E707">
        <v>30</v>
      </c>
      <c r="F707">
        <v>3390</v>
      </c>
      <c r="G707">
        <v>1</v>
      </c>
      <c r="H707">
        <v>32768</v>
      </c>
      <c r="I707">
        <v>10</v>
      </c>
      <c r="J707" t="s">
        <v>1</v>
      </c>
      <c r="K707" t="s">
        <v>2</v>
      </c>
      <c r="L707" s="8">
        <f>InterspecUsage[[#This Row],[Used-MB]]-F697</f>
        <v>0</v>
      </c>
      <c r="M707">
        <f>InterspecUsage[[#This Row],[Max]]-InterspecUsage[[#This Row],[Used-MB]]</f>
        <v>29378</v>
      </c>
      <c r="N707" s="5">
        <f>IF($L707&gt;0,InterspecUsage[[#This Row],[Free-of-Max]]/InterspecUsage[[#This Row],[Usage-Delta-MB]],InterspecUsage[[#This Row],[Free-of-Max]])</f>
        <v>29378</v>
      </c>
    </row>
    <row r="708" spans="1:14" x14ac:dyDescent="0.25">
      <c r="A708" s="3">
        <v>44760</v>
      </c>
      <c r="B708" t="s">
        <v>30</v>
      </c>
      <c r="C708">
        <v>0</v>
      </c>
      <c r="D708">
        <v>32767</v>
      </c>
      <c r="E708">
        <v>32724</v>
      </c>
      <c r="F708">
        <v>43</v>
      </c>
      <c r="G708">
        <v>100</v>
      </c>
      <c r="H708">
        <v>32768</v>
      </c>
      <c r="I708">
        <v>0</v>
      </c>
      <c r="J708" t="s">
        <v>1</v>
      </c>
      <c r="K708" t="s">
        <v>13</v>
      </c>
      <c r="L708" s="8">
        <f>InterspecUsage[[#This Row],[Used-MB]]-F698</f>
        <v>12</v>
      </c>
      <c r="M708">
        <f>InterspecUsage[[#This Row],[Max]]-InterspecUsage[[#This Row],[Used-MB]]</f>
        <v>32725</v>
      </c>
      <c r="N708" s="5">
        <f>IF($L708&gt;0,InterspecUsage[[#This Row],[Free-of-Max]]/InterspecUsage[[#This Row],[Usage-Delta-MB]],InterspecUsage[[#This Row],[Free-of-Max]])</f>
        <v>2727.0833333333335</v>
      </c>
    </row>
    <row r="709" spans="1:14" x14ac:dyDescent="0.25">
      <c r="A709" s="3">
        <v>44760</v>
      </c>
      <c r="B709" t="s">
        <v>28</v>
      </c>
      <c r="C709">
        <v>0</v>
      </c>
      <c r="D709">
        <v>21920</v>
      </c>
      <c r="E709">
        <v>21833</v>
      </c>
      <c r="F709">
        <v>87</v>
      </c>
      <c r="G709">
        <v>100</v>
      </c>
      <c r="H709">
        <v>32768</v>
      </c>
      <c r="I709">
        <v>0</v>
      </c>
      <c r="J709" t="s">
        <v>1</v>
      </c>
      <c r="K709" t="s">
        <v>10</v>
      </c>
      <c r="L709" s="8">
        <f>InterspecUsage[[#This Row],[Used-MB]]-F699</f>
        <v>-1081</v>
      </c>
      <c r="M709">
        <f>InterspecUsage[[#This Row],[Max]]-InterspecUsage[[#This Row],[Used-MB]]</f>
        <v>32681</v>
      </c>
      <c r="N709" s="5">
        <f>IF($L709&gt;0,InterspecUsage[[#This Row],[Free-of-Max]]/InterspecUsage[[#This Row],[Usage-Delta-MB]],InterspecUsage[[#This Row],[Free-of-Max]])</f>
        <v>32681</v>
      </c>
    </row>
    <row r="710" spans="1:14" x14ac:dyDescent="0.25">
      <c r="A710" s="3">
        <v>44760</v>
      </c>
      <c r="B710" t="s">
        <v>25</v>
      </c>
      <c r="C710">
        <v>92</v>
      </c>
      <c r="D710">
        <v>11800</v>
      </c>
      <c r="E710">
        <v>924</v>
      </c>
      <c r="F710">
        <v>10876</v>
      </c>
      <c r="G710">
        <v>8</v>
      </c>
      <c r="H710">
        <v>32768</v>
      </c>
      <c r="I710">
        <v>33</v>
      </c>
      <c r="J710" t="s">
        <v>1</v>
      </c>
      <c r="K710" t="s">
        <v>2</v>
      </c>
      <c r="L710" s="8">
        <f>InterspecUsage[[#This Row],[Used-MB]]-F700</f>
        <v>8</v>
      </c>
      <c r="M710">
        <f>InterspecUsage[[#This Row],[Max]]-InterspecUsage[[#This Row],[Used-MB]]</f>
        <v>21892</v>
      </c>
      <c r="N710" s="5">
        <f>IF($L710&gt;0,InterspecUsage[[#This Row],[Free-of-Max]]/InterspecUsage[[#This Row],[Usage-Delta-MB]],InterspecUsage[[#This Row],[Free-of-Max]])</f>
        <v>2736.5</v>
      </c>
    </row>
    <row r="711" spans="1:14" x14ac:dyDescent="0.25">
      <c r="A711" s="3">
        <v>44760</v>
      </c>
      <c r="B711" t="s">
        <v>29</v>
      </c>
      <c r="C711">
        <v>0</v>
      </c>
      <c r="D711">
        <v>500</v>
      </c>
      <c r="E711">
        <v>499</v>
      </c>
      <c r="F711">
        <v>1</v>
      </c>
      <c r="G711">
        <v>100</v>
      </c>
      <c r="H711">
        <v>500</v>
      </c>
      <c r="I711">
        <v>0</v>
      </c>
      <c r="J711" t="s">
        <v>1</v>
      </c>
      <c r="K711" t="s">
        <v>2</v>
      </c>
      <c r="L711" s="8">
        <f>InterspecUsage[[#This Row],[Used-MB]]-F701</f>
        <v>0</v>
      </c>
      <c r="M711">
        <f>InterspecUsage[[#This Row],[Max]]-InterspecUsage[[#This Row],[Used-MB]]</f>
        <v>499</v>
      </c>
      <c r="N711" s="5">
        <f>IF($L711&gt;0,InterspecUsage[[#This Row],[Free-of-Max]]/InterspecUsage[[#This Row],[Usage-Delta-MB]],InterspecUsage[[#This Row],[Free-of-Max]])</f>
        <v>499</v>
      </c>
    </row>
    <row r="712" spans="1:14" x14ac:dyDescent="0.25">
      <c r="A712" s="3">
        <v>44767</v>
      </c>
      <c r="B712" t="s">
        <v>26</v>
      </c>
      <c r="C712">
        <v>94</v>
      </c>
      <c r="D712">
        <v>19288</v>
      </c>
      <c r="E712">
        <v>1084</v>
      </c>
      <c r="F712">
        <v>18204</v>
      </c>
      <c r="G712">
        <v>6</v>
      </c>
      <c r="H712">
        <v>40960</v>
      </c>
      <c r="I712">
        <v>44</v>
      </c>
      <c r="J712" t="s">
        <v>1</v>
      </c>
      <c r="K712" t="s">
        <v>2</v>
      </c>
      <c r="L712" s="8">
        <f>InterspecUsage[[#This Row],[Used-MB]]-F702</f>
        <v>66</v>
      </c>
      <c r="M712">
        <f>InterspecUsage[[#This Row],[Max]]-InterspecUsage[[#This Row],[Used-MB]]</f>
        <v>22756</v>
      </c>
      <c r="N712" s="5">
        <f>IF($L712&gt;0,InterspecUsage[[#This Row],[Free-of-Max]]/InterspecUsage[[#This Row],[Usage-Delta-MB]],InterspecUsage[[#This Row],[Free-of-Max]])</f>
        <v>344.78787878787881</v>
      </c>
    </row>
    <row r="713" spans="1:14" x14ac:dyDescent="0.25">
      <c r="A713" s="3">
        <v>44767</v>
      </c>
      <c r="B713" t="s">
        <v>24</v>
      </c>
      <c r="C713">
        <v>83</v>
      </c>
      <c r="D713">
        <v>18000</v>
      </c>
      <c r="E713">
        <v>3113</v>
      </c>
      <c r="F713">
        <v>14887</v>
      </c>
      <c r="G713">
        <v>17</v>
      </c>
      <c r="H713">
        <v>32768</v>
      </c>
      <c r="I713">
        <v>45</v>
      </c>
      <c r="J713" t="s">
        <v>1</v>
      </c>
      <c r="K713" t="s">
        <v>2</v>
      </c>
      <c r="L713" s="8">
        <f>InterspecUsage[[#This Row],[Used-MB]]-F703</f>
        <v>240</v>
      </c>
      <c r="M713">
        <f>InterspecUsage[[#This Row],[Max]]-InterspecUsage[[#This Row],[Used-MB]]</f>
        <v>17881</v>
      </c>
      <c r="N713" s="5">
        <f>IF($L713&gt;0,InterspecUsage[[#This Row],[Free-of-Max]]/InterspecUsage[[#This Row],[Usage-Delta-MB]],InterspecUsage[[#This Row],[Free-of-Max]])</f>
        <v>74.504166666666663</v>
      </c>
    </row>
    <row r="714" spans="1:14" x14ac:dyDescent="0.25">
      <c r="A714" s="3">
        <v>44767</v>
      </c>
      <c r="B714" s="7" t="s">
        <v>35</v>
      </c>
      <c r="C714">
        <v>95</v>
      </c>
      <c r="D714">
        <v>24600</v>
      </c>
      <c r="E714">
        <v>1172</v>
      </c>
      <c r="F714">
        <v>23428</v>
      </c>
      <c r="G714">
        <v>5</v>
      </c>
      <c r="H714">
        <v>32768</v>
      </c>
      <c r="I714">
        <v>71</v>
      </c>
      <c r="J714" t="s">
        <v>1</v>
      </c>
      <c r="K714" t="s">
        <v>2</v>
      </c>
      <c r="L714" s="8">
        <f>InterspecUsage[[#This Row],[Used-MB]]-F704</f>
        <v>64</v>
      </c>
      <c r="M714">
        <f>InterspecUsage[[#This Row],[Max]]-InterspecUsage[[#This Row],[Used-MB]]</f>
        <v>9340</v>
      </c>
      <c r="N714" s="5">
        <f>IF($L714&gt;0,InterspecUsage[[#This Row],[Free-of-Max]]/InterspecUsage[[#This Row],[Usage-Delta-MB]],InterspecUsage[[#This Row],[Free-of-Max]])</f>
        <v>145.9375</v>
      </c>
    </row>
    <row r="715" spans="1:14" x14ac:dyDescent="0.25">
      <c r="A715" s="3">
        <v>44767</v>
      </c>
      <c r="B715" t="s">
        <v>27</v>
      </c>
      <c r="C715">
        <v>91</v>
      </c>
      <c r="D715">
        <v>131072</v>
      </c>
      <c r="E715">
        <v>12395</v>
      </c>
      <c r="F715">
        <v>118677</v>
      </c>
      <c r="G715">
        <v>9</v>
      </c>
      <c r="H715">
        <v>131072</v>
      </c>
      <c r="I715">
        <v>91</v>
      </c>
      <c r="J715" t="s">
        <v>1</v>
      </c>
      <c r="K715" t="s">
        <v>2</v>
      </c>
      <c r="L715" s="8">
        <f>InterspecUsage[[#This Row],[Used-MB]]-F705</f>
        <v>373</v>
      </c>
      <c r="M715">
        <f>InterspecUsage[[#This Row],[Max]]-InterspecUsage[[#This Row],[Used-MB]]</f>
        <v>12395</v>
      </c>
      <c r="N715" s="5">
        <f>IF($L715&gt;0,InterspecUsage[[#This Row],[Free-of-Max]]/InterspecUsage[[#This Row],[Usage-Delta-MB]],InterspecUsage[[#This Row],[Free-of-Max]])</f>
        <v>33.230563002680967</v>
      </c>
    </row>
    <row r="716" spans="1:14" x14ac:dyDescent="0.25">
      <c r="A716" s="3">
        <v>44767</v>
      </c>
      <c r="B716" t="s">
        <v>7</v>
      </c>
      <c r="C716">
        <v>95</v>
      </c>
      <c r="D716">
        <v>1280</v>
      </c>
      <c r="E716">
        <v>60</v>
      </c>
      <c r="F716">
        <v>1220</v>
      </c>
      <c r="G716">
        <v>5</v>
      </c>
      <c r="H716">
        <v>32768</v>
      </c>
      <c r="I716">
        <v>4</v>
      </c>
      <c r="J716" t="s">
        <v>1</v>
      </c>
      <c r="K716" t="s">
        <v>2</v>
      </c>
      <c r="L716" s="8">
        <f>InterspecUsage[[#This Row],[Used-MB]]-F706</f>
        <v>8</v>
      </c>
      <c r="M716">
        <f>InterspecUsage[[#This Row],[Max]]-InterspecUsage[[#This Row],[Used-MB]]</f>
        <v>31548</v>
      </c>
      <c r="N716" s="5">
        <f>IF($L716&gt;0,InterspecUsage[[#This Row],[Free-of-Max]]/InterspecUsage[[#This Row],[Usage-Delta-MB]],InterspecUsage[[#This Row],[Free-of-Max]])</f>
        <v>3943.5</v>
      </c>
    </row>
    <row r="717" spans="1:14" x14ac:dyDescent="0.25">
      <c r="A717" s="3">
        <v>44767</v>
      </c>
      <c r="B717" t="s">
        <v>0</v>
      </c>
      <c r="C717">
        <v>99</v>
      </c>
      <c r="D717">
        <v>3490</v>
      </c>
      <c r="E717">
        <v>36</v>
      </c>
      <c r="F717">
        <v>3454</v>
      </c>
      <c r="G717">
        <v>1</v>
      </c>
      <c r="H717">
        <v>32768</v>
      </c>
      <c r="I717">
        <v>11</v>
      </c>
      <c r="J717" t="s">
        <v>1</v>
      </c>
      <c r="K717" t="s">
        <v>2</v>
      </c>
      <c r="L717" s="8">
        <f>InterspecUsage[[#This Row],[Used-MB]]-F707</f>
        <v>64</v>
      </c>
      <c r="M717">
        <f>InterspecUsage[[#This Row],[Max]]-InterspecUsage[[#This Row],[Used-MB]]</f>
        <v>29314</v>
      </c>
      <c r="N717" s="5">
        <f>IF($L717&gt;0,InterspecUsage[[#This Row],[Free-of-Max]]/InterspecUsage[[#This Row],[Usage-Delta-MB]],InterspecUsage[[#This Row],[Free-of-Max]])</f>
        <v>458.03125</v>
      </c>
    </row>
    <row r="718" spans="1:14" x14ac:dyDescent="0.25">
      <c r="A718" s="3">
        <v>44767</v>
      </c>
      <c r="B718" t="s">
        <v>30</v>
      </c>
      <c r="C718">
        <v>0</v>
      </c>
      <c r="D718">
        <v>32767</v>
      </c>
      <c r="E718">
        <v>32746</v>
      </c>
      <c r="F718">
        <v>21</v>
      </c>
      <c r="G718">
        <v>100</v>
      </c>
      <c r="H718">
        <v>32768</v>
      </c>
      <c r="I718">
        <v>0</v>
      </c>
      <c r="J718" t="s">
        <v>1</v>
      </c>
      <c r="K718" t="s">
        <v>13</v>
      </c>
      <c r="L718" s="8">
        <f>InterspecUsage[[#This Row],[Used-MB]]-F708</f>
        <v>-22</v>
      </c>
      <c r="M718">
        <f>InterspecUsage[[#This Row],[Max]]-InterspecUsage[[#This Row],[Used-MB]]</f>
        <v>32747</v>
      </c>
      <c r="N718" s="5">
        <f>IF($L718&gt;0,InterspecUsage[[#This Row],[Free-of-Max]]/InterspecUsage[[#This Row],[Usage-Delta-MB]],InterspecUsage[[#This Row],[Free-of-Max]])</f>
        <v>32747</v>
      </c>
    </row>
    <row r="719" spans="1:14" x14ac:dyDescent="0.25">
      <c r="A719" s="3">
        <v>44767</v>
      </c>
      <c r="B719" t="s">
        <v>28</v>
      </c>
      <c r="C719">
        <v>0</v>
      </c>
      <c r="D719">
        <v>21920</v>
      </c>
      <c r="E719">
        <v>21818</v>
      </c>
      <c r="F719">
        <v>102</v>
      </c>
      <c r="G719">
        <v>100</v>
      </c>
      <c r="H719">
        <v>32768</v>
      </c>
      <c r="I719">
        <v>0</v>
      </c>
      <c r="J719" t="s">
        <v>1</v>
      </c>
      <c r="K719" t="s">
        <v>10</v>
      </c>
      <c r="L719" s="8">
        <f>InterspecUsage[[#This Row],[Used-MB]]-F709</f>
        <v>15</v>
      </c>
      <c r="M719">
        <f>InterspecUsage[[#This Row],[Max]]-InterspecUsage[[#This Row],[Used-MB]]</f>
        <v>32666</v>
      </c>
      <c r="N719" s="5">
        <f>IF($L719&gt;0,InterspecUsage[[#This Row],[Free-of-Max]]/InterspecUsage[[#This Row],[Usage-Delta-MB]],InterspecUsage[[#This Row],[Free-of-Max]])</f>
        <v>2177.7333333333331</v>
      </c>
    </row>
    <row r="720" spans="1:14" x14ac:dyDescent="0.25">
      <c r="A720" s="3">
        <v>44767</v>
      </c>
      <c r="B720" t="s">
        <v>25</v>
      </c>
      <c r="C720">
        <v>92</v>
      </c>
      <c r="D720">
        <v>11800</v>
      </c>
      <c r="E720">
        <v>916</v>
      </c>
      <c r="F720">
        <v>10884</v>
      </c>
      <c r="G720">
        <v>8</v>
      </c>
      <c r="H720">
        <v>32768</v>
      </c>
      <c r="I720">
        <v>33</v>
      </c>
      <c r="J720" t="s">
        <v>1</v>
      </c>
      <c r="K720" t="s">
        <v>2</v>
      </c>
      <c r="L720" s="8">
        <f>InterspecUsage[[#This Row],[Used-MB]]-F710</f>
        <v>8</v>
      </c>
      <c r="M720">
        <f>InterspecUsage[[#This Row],[Max]]-InterspecUsage[[#This Row],[Used-MB]]</f>
        <v>21884</v>
      </c>
      <c r="N720" s="5">
        <f>IF($L720&gt;0,InterspecUsage[[#This Row],[Free-of-Max]]/InterspecUsage[[#This Row],[Usage-Delta-MB]],InterspecUsage[[#This Row],[Free-of-Max]])</f>
        <v>2735.5</v>
      </c>
    </row>
    <row r="721" spans="1:14" x14ac:dyDescent="0.25">
      <c r="A721" s="3">
        <v>44767</v>
      </c>
      <c r="B721" t="s">
        <v>29</v>
      </c>
      <c r="C721">
        <v>0</v>
      </c>
      <c r="D721">
        <v>500</v>
      </c>
      <c r="E721">
        <v>499</v>
      </c>
      <c r="F721">
        <v>1</v>
      </c>
      <c r="G721">
        <v>100</v>
      </c>
      <c r="H721">
        <v>500</v>
      </c>
      <c r="I721">
        <v>0</v>
      </c>
      <c r="J721" t="s">
        <v>1</v>
      </c>
      <c r="K721" t="s">
        <v>2</v>
      </c>
      <c r="L721" s="8">
        <f>InterspecUsage[[#This Row],[Used-MB]]-F711</f>
        <v>0</v>
      </c>
      <c r="M721">
        <f>InterspecUsage[[#This Row],[Max]]-InterspecUsage[[#This Row],[Used-MB]]</f>
        <v>499</v>
      </c>
      <c r="N721" s="5">
        <f>IF($L721&gt;0,InterspecUsage[[#This Row],[Free-of-Max]]/InterspecUsage[[#This Row],[Usage-Delta-MB]],InterspecUsage[[#This Row],[Free-of-Max]])</f>
        <v>499</v>
      </c>
    </row>
    <row r="722" spans="1:14" x14ac:dyDescent="0.25">
      <c r="A722" s="3">
        <v>44781</v>
      </c>
      <c r="B722" t="s">
        <v>26</v>
      </c>
      <c r="C722">
        <v>95</v>
      </c>
      <c r="D722">
        <v>19288</v>
      </c>
      <c r="E722">
        <v>956</v>
      </c>
      <c r="F722">
        <v>18332</v>
      </c>
      <c r="G722">
        <v>5</v>
      </c>
      <c r="H722">
        <v>40960</v>
      </c>
      <c r="I722">
        <v>45</v>
      </c>
      <c r="J722" t="s">
        <v>1</v>
      </c>
      <c r="K722" t="s">
        <v>2</v>
      </c>
      <c r="L722" s="8">
        <f>InterspecUsage[[#This Row],[Used-MB]]-F712</f>
        <v>128</v>
      </c>
      <c r="M722">
        <f>InterspecUsage[[#This Row],[Max]]-InterspecUsage[[#This Row],[Used-MB]]</f>
        <v>22628</v>
      </c>
      <c r="N722" s="5">
        <f>IF($L722&gt;0,InterspecUsage[[#This Row],[Free-of-Max]]/InterspecUsage[[#This Row],[Usage-Delta-MB]],InterspecUsage[[#This Row],[Free-of-Max]])</f>
        <v>176.78125</v>
      </c>
    </row>
    <row r="723" spans="1:14" x14ac:dyDescent="0.25">
      <c r="A723" s="3">
        <v>44781</v>
      </c>
      <c r="B723" t="s">
        <v>24</v>
      </c>
      <c r="C723">
        <v>83</v>
      </c>
      <c r="D723">
        <v>18000</v>
      </c>
      <c r="E723">
        <v>2993</v>
      </c>
      <c r="F723">
        <v>15007</v>
      </c>
      <c r="G723">
        <v>17</v>
      </c>
      <c r="H723">
        <v>32768</v>
      </c>
      <c r="I723">
        <v>46</v>
      </c>
      <c r="J723" t="s">
        <v>1</v>
      </c>
      <c r="K723" t="s">
        <v>2</v>
      </c>
      <c r="L723" s="8">
        <f>InterspecUsage[[#This Row],[Used-MB]]-F713</f>
        <v>120</v>
      </c>
      <c r="M723">
        <f>InterspecUsage[[#This Row],[Max]]-InterspecUsage[[#This Row],[Used-MB]]</f>
        <v>17761</v>
      </c>
      <c r="N723" s="5">
        <f>IF($L723&gt;0,InterspecUsage[[#This Row],[Free-of-Max]]/InterspecUsage[[#This Row],[Usage-Delta-MB]],InterspecUsage[[#This Row],[Free-of-Max]])</f>
        <v>148.00833333333333</v>
      </c>
    </row>
    <row r="724" spans="1:14" x14ac:dyDescent="0.25">
      <c r="A724" s="3">
        <v>44781</v>
      </c>
      <c r="B724" s="7" t="s">
        <v>35</v>
      </c>
      <c r="C724">
        <v>95</v>
      </c>
      <c r="D724">
        <v>24600</v>
      </c>
      <c r="E724">
        <v>1108</v>
      </c>
      <c r="F724">
        <v>23492</v>
      </c>
      <c r="G724">
        <v>5</v>
      </c>
      <c r="H724">
        <v>32768</v>
      </c>
      <c r="I724">
        <v>72</v>
      </c>
      <c r="J724" t="s">
        <v>1</v>
      </c>
      <c r="K724" t="s">
        <v>2</v>
      </c>
      <c r="L724" s="8">
        <f>InterspecUsage[[#This Row],[Used-MB]]-F714</f>
        <v>64</v>
      </c>
      <c r="M724">
        <f>InterspecUsage[[#This Row],[Max]]-InterspecUsage[[#This Row],[Used-MB]]</f>
        <v>9276</v>
      </c>
      <c r="N724" s="5">
        <f>IF($L724&gt;0,InterspecUsage[[#This Row],[Free-of-Max]]/InterspecUsage[[#This Row],[Usage-Delta-MB]],InterspecUsage[[#This Row],[Free-of-Max]])</f>
        <v>144.9375</v>
      </c>
    </row>
    <row r="725" spans="1:14" x14ac:dyDescent="0.25">
      <c r="A725" s="3">
        <v>44781</v>
      </c>
      <c r="B725" t="s">
        <v>27</v>
      </c>
      <c r="C725">
        <v>91</v>
      </c>
      <c r="D725">
        <v>131072</v>
      </c>
      <c r="E725">
        <v>11998</v>
      </c>
      <c r="F725">
        <v>119074</v>
      </c>
      <c r="G725">
        <v>9</v>
      </c>
      <c r="H725">
        <v>131072</v>
      </c>
      <c r="I725">
        <v>91</v>
      </c>
      <c r="J725" t="s">
        <v>1</v>
      </c>
      <c r="K725" t="s">
        <v>2</v>
      </c>
      <c r="L725" s="8">
        <f>InterspecUsage[[#This Row],[Used-MB]]-F715</f>
        <v>397</v>
      </c>
      <c r="M725">
        <f>InterspecUsage[[#This Row],[Max]]-InterspecUsage[[#This Row],[Used-MB]]</f>
        <v>11998</v>
      </c>
      <c r="N725" s="5">
        <f>IF($L725&gt;0,InterspecUsage[[#This Row],[Free-of-Max]]/InterspecUsage[[#This Row],[Usage-Delta-MB]],InterspecUsage[[#This Row],[Free-of-Max]])</f>
        <v>30.221662468513856</v>
      </c>
    </row>
    <row r="726" spans="1:14" x14ac:dyDescent="0.25">
      <c r="A726" s="3">
        <v>44781</v>
      </c>
      <c r="B726" t="s">
        <v>7</v>
      </c>
      <c r="C726">
        <v>95</v>
      </c>
      <c r="D726">
        <v>1290</v>
      </c>
      <c r="E726">
        <v>62</v>
      </c>
      <c r="F726">
        <v>1229</v>
      </c>
      <c r="G726">
        <v>5</v>
      </c>
      <c r="H726">
        <v>32768</v>
      </c>
      <c r="I726">
        <v>4</v>
      </c>
      <c r="J726" t="s">
        <v>1</v>
      </c>
      <c r="K726" t="s">
        <v>2</v>
      </c>
      <c r="L726" s="8">
        <f>InterspecUsage[[#This Row],[Used-MB]]-F716</f>
        <v>9</v>
      </c>
      <c r="M726">
        <f>InterspecUsage[[#This Row],[Max]]-InterspecUsage[[#This Row],[Used-MB]]</f>
        <v>31539</v>
      </c>
      <c r="N726" s="5">
        <f>IF($L726&gt;0,InterspecUsage[[#This Row],[Free-of-Max]]/InterspecUsage[[#This Row],[Usage-Delta-MB]],InterspecUsage[[#This Row],[Free-of-Max]])</f>
        <v>3504.3333333333335</v>
      </c>
    </row>
    <row r="727" spans="1:14" x14ac:dyDescent="0.25">
      <c r="A727" s="3">
        <v>44781</v>
      </c>
      <c r="B727" t="s">
        <v>0</v>
      </c>
      <c r="C727">
        <v>99</v>
      </c>
      <c r="D727">
        <v>3490</v>
      </c>
      <c r="E727">
        <v>36</v>
      </c>
      <c r="F727">
        <v>3454</v>
      </c>
      <c r="G727">
        <v>1</v>
      </c>
      <c r="H727">
        <v>32768</v>
      </c>
      <c r="I727">
        <v>11</v>
      </c>
      <c r="J727" t="s">
        <v>1</v>
      </c>
      <c r="K727" t="s">
        <v>2</v>
      </c>
      <c r="L727" s="8">
        <f>InterspecUsage[[#This Row],[Used-MB]]-F717</f>
        <v>0</v>
      </c>
      <c r="M727">
        <f>InterspecUsage[[#This Row],[Max]]-InterspecUsage[[#This Row],[Used-MB]]</f>
        <v>29314</v>
      </c>
      <c r="N727" s="5">
        <f>IF($L727&gt;0,InterspecUsage[[#This Row],[Free-of-Max]]/InterspecUsage[[#This Row],[Usage-Delta-MB]],InterspecUsage[[#This Row],[Free-of-Max]])</f>
        <v>29314</v>
      </c>
    </row>
    <row r="728" spans="1:14" x14ac:dyDescent="0.25">
      <c r="A728" s="3">
        <v>44781</v>
      </c>
      <c r="B728" t="s">
        <v>30</v>
      </c>
      <c r="C728">
        <v>0</v>
      </c>
      <c r="D728">
        <v>32767</v>
      </c>
      <c r="E728">
        <v>32746</v>
      </c>
      <c r="F728">
        <v>21</v>
      </c>
      <c r="G728">
        <v>100</v>
      </c>
      <c r="H728">
        <v>32768</v>
      </c>
      <c r="I728">
        <v>0</v>
      </c>
      <c r="J728" t="s">
        <v>1</v>
      </c>
      <c r="K728" t="s">
        <v>13</v>
      </c>
      <c r="L728" s="8">
        <f>InterspecUsage[[#This Row],[Used-MB]]-F718</f>
        <v>0</v>
      </c>
      <c r="M728">
        <f>InterspecUsage[[#This Row],[Max]]-InterspecUsage[[#This Row],[Used-MB]]</f>
        <v>32747</v>
      </c>
      <c r="N728" s="5">
        <f>IF($L728&gt;0,InterspecUsage[[#This Row],[Free-of-Max]]/InterspecUsage[[#This Row],[Usage-Delta-MB]],InterspecUsage[[#This Row],[Free-of-Max]])</f>
        <v>32747</v>
      </c>
    </row>
    <row r="729" spans="1:14" x14ac:dyDescent="0.25">
      <c r="A729" s="3">
        <v>44781</v>
      </c>
      <c r="B729" t="s">
        <v>28</v>
      </c>
      <c r="C729">
        <v>0</v>
      </c>
      <c r="D729">
        <v>21920</v>
      </c>
      <c r="E729">
        <v>21855</v>
      </c>
      <c r="F729">
        <v>65</v>
      </c>
      <c r="G729">
        <v>100</v>
      </c>
      <c r="H729">
        <v>32768</v>
      </c>
      <c r="I729">
        <v>0</v>
      </c>
      <c r="J729" t="s">
        <v>1</v>
      </c>
      <c r="K729" t="s">
        <v>10</v>
      </c>
      <c r="L729" s="8">
        <f>InterspecUsage[[#This Row],[Used-MB]]-F719</f>
        <v>-37</v>
      </c>
      <c r="M729">
        <f>InterspecUsage[[#This Row],[Max]]-InterspecUsage[[#This Row],[Used-MB]]</f>
        <v>32703</v>
      </c>
      <c r="N729" s="5">
        <f>IF($L729&gt;0,InterspecUsage[[#This Row],[Free-of-Max]]/InterspecUsage[[#This Row],[Usage-Delta-MB]],InterspecUsage[[#This Row],[Free-of-Max]])</f>
        <v>32703</v>
      </c>
    </row>
    <row r="730" spans="1:14" x14ac:dyDescent="0.25">
      <c r="A730" s="3">
        <v>44781</v>
      </c>
      <c r="B730" t="s">
        <v>25</v>
      </c>
      <c r="C730">
        <v>93</v>
      </c>
      <c r="D730">
        <v>11800</v>
      </c>
      <c r="E730">
        <v>852</v>
      </c>
      <c r="F730">
        <v>10948</v>
      </c>
      <c r="G730">
        <v>7</v>
      </c>
      <c r="H730">
        <v>32768</v>
      </c>
      <c r="I730">
        <v>33</v>
      </c>
      <c r="J730" t="s">
        <v>1</v>
      </c>
      <c r="K730" t="s">
        <v>2</v>
      </c>
      <c r="L730" s="8">
        <f>InterspecUsage[[#This Row],[Used-MB]]-F720</f>
        <v>64</v>
      </c>
      <c r="M730">
        <f>InterspecUsage[[#This Row],[Max]]-InterspecUsage[[#This Row],[Used-MB]]</f>
        <v>21820</v>
      </c>
      <c r="N730" s="5">
        <f>IF($L730&gt;0,InterspecUsage[[#This Row],[Free-of-Max]]/InterspecUsage[[#This Row],[Usage-Delta-MB]],InterspecUsage[[#This Row],[Free-of-Max]])</f>
        <v>340.9375</v>
      </c>
    </row>
    <row r="731" spans="1:14" x14ac:dyDescent="0.25">
      <c r="A731" s="3">
        <v>44781</v>
      </c>
      <c r="B731" t="s">
        <v>29</v>
      </c>
      <c r="C731">
        <v>0</v>
      </c>
      <c r="D731">
        <v>500</v>
      </c>
      <c r="E731">
        <v>499</v>
      </c>
      <c r="F731">
        <v>1</v>
      </c>
      <c r="G731">
        <v>100</v>
      </c>
      <c r="H731">
        <v>500</v>
      </c>
      <c r="I731">
        <v>0</v>
      </c>
      <c r="J731" t="s">
        <v>1</v>
      </c>
      <c r="K731" t="s">
        <v>2</v>
      </c>
      <c r="L731" s="8">
        <f>InterspecUsage[[#This Row],[Used-MB]]-F721</f>
        <v>0</v>
      </c>
      <c r="M731">
        <f>InterspecUsage[[#This Row],[Max]]-InterspecUsage[[#This Row],[Used-MB]]</f>
        <v>499</v>
      </c>
      <c r="N731" s="5">
        <f>IF($L731&gt;0,InterspecUsage[[#This Row],[Free-of-Max]]/InterspecUsage[[#This Row],[Usage-Delta-MB]],InterspecUsage[[#This Row],[Free-of-Max]])</f>
        <v>499</v>
      </c>
    </row>
    <row r="732" spans="1:14" x14ac:dyDescent="0.25">
      <c r="A732" s="3">
        <v>44786</v>
      </c>
      <c r="B732" t="s">
        <v>26</v>
      </c>
      <c r="C732">
        <v>95</v>
      </c>
      <c r="D732">
        <v>19288</v>
      </c>
      <c r="E732">
        <v>956</v>
      </c>
      <c r="F732">
        <v>18332</v>
      </c>
      <c r="G732">
        <v>5</v>
      </c>
      <c r="H732">
        <v>40960</v>
      </c>
      <c r="I732">
        <v>45</v>
      </c>
      <c r="J732" t="s">
        <v>1</v>
      </c>
      <c r="K732" t="s">
        <v>2</v>
      </c>
      <c r="L732" s="8">
        <f>InterspecUsage[[#This Row],[Used-MB]]-F722</f>
        <v>0</v>
      </c>
      <c r="M732">
        <f>InterspecUsage[[#This Row],[Max]]-InterspecUsage[[#This Row],[Used-MB]]</f>
        <v>22628</v>
      </c>
      <c r="N732" s="5">
        <f>IF($L732&gt;0,InterspecUsage[[#This Row],[Free-of-Max]]/InterspecUsage[[#This Row],[Usage-Delta-MB]],InterspecUsage[[#This Row],[Free-of-Max]])</f>
        <v>22628</v>
      </c>
    </row>
    <row r="733" spans="1:14" x14ac:dyDescent="0.25">
      <c r="A733" s="3">
        <v>44786</v>
      </c>
      <c r="B733" t="s">
        <v>24</v>
      </c>
      <c r="C733">
        <v>84</v>
      </c>
      <c r="D733">
        <v>18000</v>
      </c>
      <c r="E733">
        <v>2799</v>
      </c>
      <c r="F733">
        <v>15201</v>
      </c>
      <c r="G733">
        <v>16</v>
      </c>
      <c r="H733">
        <v>32768</v>
      </c>
      <c r="I733">
        <v>46</v>
      </c>
      <c r="J733" t="s">
        <v>1</v>
      </c>
      <c r="K733" t="s">
        <v>2</v>
      </c>
      <c r="L733" s="8">
        <f>InterspecUsage[[#This Row],[Used-MB]]-F723</f>
        <v>194</v>
      </c>
      <c r="M733">
        <f>InterspecUsage[[#This Row],[Max]]-InterspecUsage[[#This Row],[Used-MB]]</f>
        <v>17567</v>
      </c>
      <c r="N733" s="5">
        <f>IF($L733&gt;0,InterspecUsage[[#This Row],[Free-of-Max]]/InterspecUsage[[#This Row],[Usage-Delta-MB]],InterspecUsage[[#This Row],[Free-of-Max]])</f>
        <v>90.551546391752581</v>
      </c>
    </row>
    <row r="734" spans="1:14" x14ac:dyDescent="0.25">
      <c r="A734" s="3">
        <v>44786</v>
      </c>
      <c r="B734" s="7" t="s">
        <v>35</v>
      </c>
      <c r="C734">
        <v>96</v>
      </c>
      <c r="D734">
        <v>24600</v>
      </c>
      <c r="E734">
        <v>1044</v>
      </c>
      <c r="F734">
        <v>23556</v>
      </c>
      <c r="G734">
        <v>4</v>
      </c>
      <c r="H734">
        <v>32768</v>
      </c>
      <c r="I734">
        <v>72</v>
      </c>
      <c r="J734" t="s">
        <v>1</v>
      </c>
      <c r="K734" t="s">
        <v>2</v>
      </c>
      <c r="L734" s="8">
        <f>InterspecUsage[[#This Row],[Used-MB]]-F724</f>
        <v>64</v>
      </c>
      <c r="M734">
        <f>InterspecUsage[[#This Row],[Max]]-InterspecUsage[[#This Row],[Used-MB]]</f>
        <v>9212</v>
      </c>
      <c r="N734" s="5">
        <f>IF($L734&gt;0,InterspecUsage[[#This Row],[Free-of-Max]]/InterspecUsage[[#This Row],[Usage-Delta-MB]],InterspecUsage[[#This Row],[Free-of-Max]])</f>
        <v>143.9375</v>
      </c>
    </row>
    <row r="735" spans="1:14" x14ac:dyDescent="0.25">
      <c r="A735" s="3">
        <v>44786</v>
      </c>
      <c r="B735" t="s">
        <v>27</v>
      </c>
      <c r="C735">
        <v>91</v>
      </c>
      <c r="D735">
        <v>131072</v>
      </c>
      <c r="E735">
        <v>11509</v>
      </c>
      <c r="F735">
        <v>119563</v>
      </c>
      <c r="G735">
        <v>9</v>
      </c>
      <c r="H735">
        <v>131072</v>
      </c>
      <c r="I735">
        <v>91</v>
      </c>
      <c r="J735" t="s">
        <v>1</v>
      </c>
      <c r="K735" t="s">
        <v>2</v>
      </c>
      <c r="L735" s="8">
        <f>InterspecUsage[[#This Row],[Used-MB]]-F725</f>
        <v>489</v>
      </c>
      <c r="M735">
        <f>InterspecUsage[[#This Row],[Max]]-InterspecUsage[[#This Row],[Used-MB]]</f>
        <v>11509</v>
      </c>
      <c r="N735" s="5">
        <f>IF($L735&gt;0,InterspecUsage[[#This Row],[Free-of-Max]]/InterspecUsage[[#This Row],[Usage-Delta-MB]],InterspecUsage[[#This Row],[Free-of-Max]])</f>
        <v>23.535787321063395</v>
      </c>
    </row>
    <row r="736" spans="1:14" x14ac:dyDescent="0.25">
      <c r="A736" s="3">
        <v>44786</v>
      </c>
      <c r="B736" t="s">
        <v>7</v>
      </c>
      <c r="C736">
        <v>96</v>
      </c>
      <c r="D736">
        <v>1300</v>
      </c>
      <c r="E736">
        <v>56</v>
      </c>
      <c r="F736">
        <v>1244</v>
      </c>
      <c r="G736">
        <v>4</v>
      </c>
      <c r="H736">
        <v>32768</v>
      </c>
      <c r="I736">
        <v>4</v>
      </c>
      <c r="J736" t="s">
        <v>1</v>
      </c>
      <c r="K736" t="s">
        <v>2</v>
      </c>
      <c r="L736" s="8">
        <f>InterspecUsage[[#This Row],[Used-MB]]-F726</f>
        <v>15</v>
      </c>
      <c r="M736">
        <f>InterspecUsage[[#This Row],[Max]]-InterspecUsage[[#This Row],[Used-MB]]</f>
        <v>31524</v>
      </c>
      <c r="N736" s="5">
        <f>IF($L736&gt;0,InterspecUsage[[#This Row],[Free-of-Max]]/InterspecUsage[[#This Row],[Usage-Delta-MB]],InterspecUsage[[#This Row],[Free-of-Max]])</f>
        <v>2101.6</v>
      </c>
    </row>
    <row r="737" spans="1:14" x14ac:dyDescent="0.25">
      <c r="A737" s="3">
        <v>44786</v>
      </c>
      <c r="B737" t="s">
        <v>0</v>
      </c>
      <c r="C737">
        <v>99</v>
      </c>
      <c r="D737">
        <v>3490</v>
      </c>
      <c r="E737">
        <v>36</v>
      </c>
      <c r="F737">
        <v>3454</v>
      </c>
      <c r="G737">
        <v>1</v>
      </c>
      <c r="H737">
        <v>32768</v>
      </c>
      <c r="I737">
        <v>11</v>
      </c>
      <c r="J737" t="s">
        <v>1</v>
      </c>
      <c r="K737" t="s">
        <v>2</v>
      </c>
      <c r="L737" s="8">
        <f>InterspecUsage[[#This Row],[Used-MB]]-F727</f>
        <v>0</v>
      </c>
      <c r="M737">
        <f>InterspecUsage[[#This Row],[Max]]-InterspecUsage[[#This Row],[Used-MB]]</f>
        <v>29314</v>
      </c>
      <c r="N737" s="5">
        <f>IF($L737&gt;0,InterspecUsage[[#This Row],[Free-of-Max]]/InterspecUsage[[#This Row],[Usage-Delta-MB]],InterspecUsage[[#This Row],[Free-of-Max]])</f>
        <v>29314</v>
      </c>
    </row>
    <row r="738" spans="1:14" x14ac:dyDescent="0.25">
      <c r="A738" s="3">
        <v>44786</v>
      </c>
      <c r="B738" t="s">
        <v>30</v>
      </c>
      <c r="C738">
        <v>0</v>
      </c>
      <c r="D738">
        <v>32767</v>
      </c>
      <c r="E738">
        <v>32755</v>
      </c>
      <c r="F738">
        <v>12</v>
      </c>
      <c r="G738">
        <v>100</v>
      </c>
      <c r="H738">
        <v>32768</v>
      </c>
      <c r="I738">
        <v>0</v>
      </c>
      <c r="J738" t="s">
        <v>1</v>
      </c>
      <c r="K738" t="s">
        <v>13</v>
      </c>
      <c r="L738" s="8">
        <f>InterspecUsage[[#This Row],[Used-MB]]-F728</f>
        <v>-9</v>
      </c>
      <c r="M738">
        <f>InterspecUsage[[#This Row],[Max]]-InterspecUsage[[#This Row],[Used-MB]]</f>
        <v>32756</v>
      </c>
      <c r="N738" s="5">
        <f>IF($L738&gt;0,InterspecUsage[[#This Row],[Free-of-Max]]/InterspecUsage[[#This Row],[Usage-Delta-MB]],InterspecUsage[[#This Row],[Free-of-Max]])</f>
        <v>32756</v>
      </c>
    </row>
    <row r="739" spans="1:14" x14ac:dyDescent="0.25">
      <c r="A739" s="3">
        <v>44786</v>
      </c>
      <c r="B739" t="s">
        <v>28</v>
      </c>
      <c r="C739">
        <v>0</v>
      </c>
      <c r="D739">
        <v>21920</v>
      </c>
      <c r="E739">
        <v>21895</v>
      </c>
      <c r="F739">
        <v>25</v>
      </c>
      <c r="G739">
        <v>100</v>
      </c>
      <c r="H739">
        <v>32768</v>
      </c>
      <c r="I739">
        <v>0</v>
      </c>
      <c r="J739" t="s">
        <v>1</v>
      </c>
      <c r="K739" t="s">
        <v>10</v>
      </c>
      <c r="L739" s="8">
        <f>InterspecUsage[[#This Row],[Used-MB]]-F729</f>
        <v>-40</v>
      </c>
      <c r="M739">
        <f>InterspecUsage[[#This Row],[Max]]-InterspecUsage[[#This Row],[Used-MB]]</f>
        <v>32743</v>
      </c>
      <c r="N739" s="5">
        <f>IF($L739&gt;0,InterspecUsage[[#This Row],[Free-of-Max]]/InterspecUsage[[#This Row],[Usage-Delta-MB]],InterspecUsage[[#This Row],[Free-of-Max]])</f>
        <v>32743</v>
      </c>
    </row>
    <row r="740" spans="1:14" x14ac:dyDescent="0.25">
      <c r="A740" s="3">
        <v>44786</v>
      </c>
      <c r="B740" t="s">
        <v>25</v>
      </c>
      <c r="C740">
        <v>93</v>
      </c>
      <c r="D740">
        <v>11800</v>
      </c>
      <c r="E740">
        <v>852</v>
      </c>
      <c r="F740">
        <v>10948</v>
      </c>
      <c r="G740">
        <v>7</v>
      </c>
      <c r="H740">
        <v>32768</v>
      </c>
      <c r="I740">
        <v>33</v>
      </c>
      <c r="J740" t="s">
        <v>1</v>
      </c>
      <c r="K740" t="s">
        <v>2</v>
      </c>
      <c r="L740" s="8">
        <f>InterspecUsage[[#This Row],[Used-MB]]-F730</f>
        <v>0</v>
      </c>
      <c r="M740">
        <f>InterspecUsage[[#This Row],[Max]]-InterspecUsage[[#This Row],[Used-MB]]</f>
        <v>21820</v>
      </c>
      <c r="N740" s="5">
        <f>IF($L740&gt;0,InterspecUsage[[#This Row],[Free-of-Max]]/InterspecUsage[[#This Row],[Usage-Delta-MB]],InterspecUsage[[#This Row],[Free-of-Max]])</f>
        <v>21820</v>
      </c>
    </row>
    <row r="741" spans="1:14" x14ac:dyDescent="0.25">
      <c r="A741" s="3">
        <v>44786</v>
      </c>
      <c r="B741" t="s">
        <v>29</v>
      </c>
      <c r="C741">
        <v>0</v>
      </c>
      <c r="D741">
        <v>500</v>
      </c>
      <c r="E741">
        <v>499</v>
      </c>
      <c r="F741">
        <v>1</v>
      </c>
      <c r="G741">
        <v>100</v>
      </c>
      <c r="H741">
        <v>500</v>
      </c>
      <c r="I741">
        <v>0</v>
      </c>
      <c r="J741" t="s">
        <v>1</v>
      </c>
      <c r="K741" t="s">
        <v>2</v>
      </c>
      <c r="L741" s="8">
        <f>InterspecUsage[[#This Row],[Used-MB]]-F731</f>
        <v>0</v>
      </c>
      <c r="M741">
        <f>InterspecUsage[[#This Row],[Max]]-InterspecUsage[[#This Row],[Used-MB]]</f>
        <v>499</v>
      </c>
      <c r="N741" s="5">
        <f>IF($L741&gt;0,InterspecUsage[[#This Row],[Free-of-Max]]/InterspecUsage[[#This Row],[Usage-Delta-MB]],InterspecUsage[[#This Row],[Free-of-Max]])</f>
        <v>499</v>
      </c>
    </row>
    <row r="742" spans="1:14" x14ac:dyDescent="0.25">
      <c r="A742" s="3">
        <v>44809</v>
      </c>
      <c r="B742" t="s">
        <v>26</v>
      </c>
      <c r="C742">
        <v>93</v>
      </c>
      <c r="D742">
        <v>19788</v>
      </c>
      <c r="E742">
        <v>1328</v>
      </c>
      <c r="F742">
        <v>18460</v>
      </c>
      <c r="G742">
        <v>7</v>
      </c>
      <c r="H742">
        <v>40960</v>
      </c>
      <c r="I742">
        <v>45</v>
      </c>
      <c r="J742" t="s">
        <v>1</v>
      </c>
      <c r="K742" t="s">
        <v>2</v>
      </c>
      <c r="L742" s="8">
        <f>InterspecUsage[[#This Row],[Used-MB]]-F732</f>
        <v>128</v>
      </c>
      <c r="M742">
        <f>InterspecUsage[[#This Row],[Max]]-InterspecUsage[[#This Row],[Used-MB]]</f>
        <v>22500</v>
      </c>
      <c r="N742" s="5">
        <f>IF($L742&gt;0,InterspecUsage[[#This Row],[Free-of-Max]]/InterspecUsage[[#This Row],[Usage-Delta-MB]],InterspecUsage[[#This Row],[Free-of-Max]])</f>
        <v>175.78125</v>
      </c>
    </row>
    <row r="743" spans="1:14" x14ac:dyDescent="0.25">
      <c r="A743" s="3">
        <v>44809</v>
      </c>
      <c r="B743" t="s">
        <v>24</v>
      </c>
      <c r="C743">
        <v>85</v>
      </c>
      <c r="D743">
        <v>18000</v>
      </c>
      <c r="E743">
        <v>2729</v>
      </c>
      <c r="F743">
        <v>15271</v>
      </c>
      <c r="G743">
        <v>15</v>
      </c>
      <c r="H743">
        <v>32768</v>
      </c>
      <c r="I743">
        <v>47</v>
      </c>
      <c r="J743" t="s">
        <v>1</v>
      </c>
      <c r="K743" t="s">
        <v>2</v>
      </c>
      <c r="L743" s="8">
        <f>InterspecUsage[[#This Row],[Used-MB]]-F733</f>
        <v>70</v>
      </c>
      <c r="M743">
        <f>InterspecUsage[[#This Row],[Max]]-InterspecUsage[[#This Row],[Used-MB]]</f>
        <v>17497</v>
      </c>
      <c r="N743" s="5">
        <f>IF($L743&gt;0,InterspecUsage[[#This Row],[Free-of-Max]]/InterspecUsage[[#This Row],[Usage-Delta-MB]],InterspecUsage[[#This Row],[Free-of-Max]])</f>
        <v>249.95714285714286</v>
      </c>
    </row>
    <row r="744" spans="1:14" x14ac:dyDescent="0.25">
      <c r="A744" s="3">
        <v>44809</v>
      </c>
      <c r="B744" t="s">
        <v>35</v>
      </c>
      <c r="C744">
        <v>95</v>
      </c>
      <c r="D744">
        <v>25000</v>
      </c>
      <c r="E744">
        <v>1251</v>
      </c>
      <c r="F744">
        <v>23749</v>
      </c>
      <c r="G744">
        <v>5</v>
      </c>
      <c r="H744">
        <v>32768</v>
      </c>
      <c r="I744">
        <v>72</v>
      </c>
      <c r="J744" t="s">
        <v>1</v>
      </c>
      <c r="K744" t="s">
        <v>2</v>
      </c>
      <c r="L744" s="8">
        <f>InterspecUsage[[#This Row],[Used-MB]]-F734</f>
        <v>193</v>
      </c>
      <c r="M744">
        <f>InterspecUsage[[#This Row],[Max]]-InterspecUsage[[#This Row],[Used-MB]]</f>
        <v>9019</v>
      </c>
      <c r="N744" s="5">
        <f>IF($L744&gt;0,InterspecUsage[[#This Row],[Free-of-Max]]/InterspecUsage[[#This Row],[Usage-Delta-MB]],InterspecUsage[[#This Row],[Free-of-Max]])</f>
        <v>46.730569948186528</v>
      </c>
    </row>
    <row r="745" spans="1:14" x14ac:dyDescent="0.25">
      <c r="A745" s="3">
        <v>44809</v>
      </c>
      <c r="B745" t="s">
        <v>27</v>
      </c>
      <c r="C745">
        <v>92</v>
      </c>
      <c r="D745">
        <v>131072</v>
      </c>
      <c r="E745">
        <v>10271</v>
      </c>
      <c r="F745">
        <v>120801</v>
      </c>
      <c r="G745">
        <v>8</v>
      </c>
      <c r="H745">
        <v>131072</v>
      </c>
      <c r="I745">
        <v>92</v>
      </c>
      <c r="J745" t="s">
        <v>1</v>
      </c>
      <c r="K745" t="s">
        <v>2</v>
      </c>
      <c r="L745" s="8">
        <f>InterspecUsage[[#This Row],[Used-MB]]-F735</f>
        <v>1238</v>
      </c>
      <c r="M745">
        <f>InterspecUsage[[#This Row],[Max]]-InterspecUsage[[#This Row],[Used-MB]]</f>
        <v>10271</v>
      </c>
      <c r="N745" s="5">
        <f>IF($L745&gt;0,InterspecUsage[[#This Row],[Free-of-Max]]/InterspecUsage[[#This Row],[Usage-Delta-MB]],InterspecUsage[[#This Row],[Free-of-Max]])</f>
        <v>8.2964458804523424</v>
      </c>
    </row>
    <row r="746" spans="1:14" x14ac:dyDescent="0.25">
      <c r="A746" s="3">
        <v>44809</v>
      </c>
      <c r="B746" t="s">
        <v>7</v>
      </c>
      <c r="C746">
        <v>96</v>
      </c>
      <c r="D746">
        <v>1310</v>
      </c>
      <c r="E746">
        <v>56</v>
      </c>
      <c r="F746">
        <v>1254</v>
      </c>
      <c r="G746">
        <v>4</v>
      </c>
      <c r="H746">
        <v>32768</v>
      </c>
      <c r="I746">
        <v>4</v>
      </c>
      <c r="J746" t="s">
        <v>1</v>
      </c>
      <c r="K746" t="s">
        <v>2</v>
      </c>
      <c r="L746" s="8">
        <f>InterspecUsage[[#This Row],[Used-MB]]-F736</f>
        <v>10</v>
      </c>
      <c r="M746">
        <f>InterspecUsage[[#This Row],[Max]]-InterspecUsage[[#This Row],[Used-MB]]</f>
        <v>31514</v>
      </c>
      <c r="N746" s="5">
        <f>IF($L746&gt;0,InterspecUsage[[#This Row],[Free-of-Max]]/InterspecUsage[[#This Row],[Usage-Delta-MB]],InterspecUsage[[#This Row],[Free-of-Max]])</f>
        <v>3151.4</v>
      </c>
    </row>
    <row r="747" spans="1:14" x14ac:dyDescent="0.25">
      <c r="A747" s="3">
        <v>44809</v>
      </c>
      <c r="B747" t="s">
        <v>0</v>
      </c>
      <c r="C747">
        <v>99</v>
      </c>
      <c r="D747">
        <v>3560</v>
      </c>
      <c r="E747">
        <v>42</v>
      </c>
      <c r="F747">
        <v>3518</v>
      </c>
      <c r="G747">
        <v>1</v>
      </c>
      <c r="H747">
        <v>32768</v>
      </c>
      <c r="I747">
        <v>11</v>
      </c>
      <c r="J747" t="s">
        <v>1</v>
      </c>
      <c r="K747" t="s">
        <v>2</v>
      </c>
      <c r="L747" s="8">
        <f>InterspecUsage[[#This Row],[Used-MB]]-F737</f>
        <v>64</v>
      </c>
      <c r="M747">
        <f>InterspecUsage[[#This Row],[Max]]-InterspecUsage[[#This Row],[Used-MB]]</f>
        <v>29250</v>
      </c>
      <c r="N747" s="5">
        <f>IF($L747&gt;0,InterspecUsage[[#This Row],[Free-of-Max]]/InterspecUsage[[#This Row],[Usage-Delta-MB]],InterspecUsage[[#This Row],[Free-of-Max]])</f>
        <v>457.03125</v>
      </c>
    </row>
    <row r="748" spans="1:14" x14ac:dyDescent="0.25">
      <c r="A748" s="3">
        <v>44809</v>
      </c>
      <c r="B748" t="s">
        <v>30</v>
      </c>
      <c r="C748">
        <v>0</v>
      </c>
      <c r="D748">
        <v>32767</v>
      </c>
      <c r="E748">
        <v>32752</v>
      </c>
      <c r="F748">
        <v>15</v>
      </c>
      <c r="G748">
        <v>100</v>
      </c>
      <c r="H748">
        <v>32768</v>
      </c>
      <c r="I748">
        <v>0</v>
      </c>
      <c r="J748" t="s">
        <v>1</v>
      </c>
      <c r="K748" t="s">
        <v>13</v>
      </c>
      <c r="L748" s="8">
        <f>InterspecUsage[[#This Row],[Used-MB]]-F738</f>
        <v>3</v>
      </c>
      <c r="M748">
        <f>InterspecUsage[[#This Row],[Max]]-InterspecUsage[[#This Row],[Used-MB]]</f>
        <v>32753</v>
      </c>
      <c r="N748" s="5">
        <f>IF($L748&gt;0,InterspecUsage[[#This Row],[Free-of-Max]]/InterspecUsage[[#This Row],[Usage-Delta-MB]],InterspecUsage[[#This Row],[Free-of-Max]])</f>
        <v>10917.666666666666</v>
      </c>
    </row>
    <row r="749" spans="1:14" x14ac:dyDescent="0.25">
      <c r="A749" s="3">
        <v>44809</v>
      </c>
      <c r="B749" t="s">
        <v>28</v>
      </c>
      <c r="C749">
        <v>0</v>
      </c>
      <c r="D749">
        <v>21920</v>
      </c>
      <c r="E749">
        <v>21841</v>
      </c>
      <c r="F749">
        <v>79</v>
      </c>
      <c r="G749">
        <v>100</v>
      </c>
      <c r="H749">
        <v>32768</v>
      </c>
      <c r="I749">
        <v>0</v>
      </c>
      <c r="J749" t="s">
        <v>1</v>
      </c>
      <c r="K749" t="s">
        <v>10</v>
      </c>
      <c r="L749" s="8">
        <f>InterspecUsage[[#This Row],[Used-MB]]-F739</f>
        <v>54</v>
      </c>
      <c r="M749">
        <f>InterspecUsage[[#This Row],[Max]]-InterspecUsage[[#This Row],[Used-MB]]</f>
        <v>32689</v>
      </c>
      <c r="N749" s="5">
        <f>IF($L749&gt;0,InterspecUsage[[#This Row],[Free-of-Max]]/InterspecUsage[[#This Row],[Usage-Delta-MB]],InterspecUsage[[#This Row],[Free-of-Max]])</f>
        <v>605.35185185185185</v>
      </c>
    </row>
    <row r="750" spans="1:14" x14ac:dyDescent="0.25">
      <c r="A750" s="3">
        <v>44809</v>
      </c>
      <c r="B750" t="s">
        <v>25</v>
      </c>
      <c r="C750">
        <v>93</v>
      </c>
      <c r="D750">
        <v>11800</v>
      </c>
      <c r="E750">
        <v>851</v>
      </c>
      <c r="F750">
        <v>10949</v>
      </c>
      <c r="G750">
        <v>7</v>
      </c>
      <c r="H750">
        <v>32768</v>
      </c>
      <c r="I750">
        <v>33</v>
      </c>
      <c r="J750" t="s">
        <v>1</v>
      </c>
      <c r="K750" t="s">
        <v>2</v>
      </c>
      <c r="L750" s="8">
        <f>InterspecUsage[[#This Row],[Used-MB]]-F740</f>
        <v>1</v>
      </c>
      <c r="M750">
        <f>InterspecUsage[[#This Row],[Max]]-InterspecUsage[[#This Row],[Used-MB]]</f>
        <v>21819</v>
      </c>
      <c r="N750" s="5">
        <f>IF($L750&gt;0,InterspecUsage[[#This Row],[Free-of-Max]]/InterspecUsage[[#This Row],[Usage-Delta-MB]],InterspecUsage[[#This Row],[Free-of-Max]])</f>
        <v>21819</v>
      </c>
    </row>
    <row r="751" spans="1:14" x14ac:dyDescent="0.25">
      <c r="A751" s="3">
        <v>44809</v>
      </c>
      <c r="B751" t="s">
        <v>29</v>
      </c>
      <c r="C751">
        <v>0</v>
      </c>
      <c r="D751">
        <v>500</v>
      </c>
      <c r="E751">
        <v>499</v>
      </c>
      <c r="F751">
        <v>1</v>
      </c>
      <c r="G751">
        <v>100</v>
      </c>
      <c r="H751">
        <v>500</v>
      </c>
      <c r="I751">
        <v>0</v>
      </c>
      <c r="J751" t="s">
        <v>1</v>
      </c>
      <c r="K751" t="s">
        <v>2</v>
      </c>
      <c r="L751" s="8">
        <f>InterspecUsage[[#This Row],[Used-MB]]-F741</f>
        <v>0</v>
      </c>
      <c r="M751">
        <f>InterspecUsage[[#This Row],[Max]]-InterspecUsage[[#This Row],[Used-MB]]</f>
        <v>499</v>
      </c>
      <c r="N751" s="5">
        <f>IF($L751&gt;0,InterspecUsage[[#This Row],[Free-of-Max]]/InterspecUsage[[#This Row],[Usage-Delta-MB]],InterspecUsage[[#This Row],[Free-of-Max]])</f>
        <v>499</v>
      </c>
    </row>
    <row r="752" spans="1:14" x14ac:dyDescent="0.25">
      <c r="A752" s="3">
        <v>44817</v>
      </c>
      <c r="B752" t="s">
        <v>26</v>
      </c>
      <c r="C752">
        <v>94</v>
      </c>
      <c r="D752">
        <v>19788</v>
      </c>
      <c r="E752">
        <v>1264</v>
      </c>
      <c r="F752">
        <v>18524</v>
      </c>
      <c r="G752">
        <v>6</v>
      </c>
      <c r="H752">
        <v>40960</v>
      </c>
      <c r="I752">
        <v>45</v>
      </c>
      <c r="J752" t="s">
        <v>1</v>
      </c>
      <c r="K752" t="s">
        <v>2</v>
      </c>
      <c r="L752" s="8">
        <f>InterspecUsage[[#This Row],[Used-MB]]-F742</f>
        <v>64</v>
      </c>
      <c r="M752">
        <f>InterspecUsage[[#This Row],[Max]]-InterspecUsage[[#This Row],[Used-MB]]</f>
        <v>22436</v>
      </c>
      <c r="N752" s="5">
        <f>IF($L752&gt;0,InterspecUsage[[#This Row],[Free-of-Max]]/InterspecUsage[[#This Row],[Usage-Delta-MB]],InterspecUsage[[#This Row],[Free-of-Max]])</f>
        <v>350.5625</v>
      </c>
    </row>
    <row r="753" spans="1:14" x14ac:dyDescent="0.25">
      <c r="A753" s="3">
        <v>44817</v>
      </c>
      <c r="B753" t="s">
        <v>24</v>
      </c>
      <c r="C753">
        <v>85</v>
      </c>
      <c r="D753">
        <v>18000</v>
      </c>
      <c r="E753">
        <v>2728</v>
      </c>
      <c r="F753">
        <v>15272</v>
      </c>
      <c r="G753">
        <v>15</v>
      </c>
      <c r="H753">
        <v>32768</v>
      </c>
      <c r="I753">
        <v>47</v>
      </c>
      <c r="J753" t="s">
        <v>1</v>
      </c>
      <c r="K753" t="s">
        <v>2</v>
      </c>
      <c r="L753" s="8">
        <f>InterspecUsage[[#This Row],[Used-MB]]-F743</f>
        <v>1</v>
      </c>
      <c r="M753">
        <f>InterspecUsage[[#This Row],[Max]]-InterspecUsage[[#This Row],[Used-MB]]</f>
        <v>17496</v>
      </c>
      <c r="N753" s="5">
        <f>IF($L753&gt;0,InterspecUsage[[#This Row],[Free-of-Max]]/InterspecUsage[[#This Row],[Usage-Delta-MB]],InterspecUsage[[#This Row],[Free-of-Max]])</f>
        <v>17496</v>
      </c>
    </row>
    <row r="754" spans="1:14" x14ac:dyDescent="0.25">
      <c r="A754" s="3">
        <v>44817</v>
      </c>
      <c r="B754" t="s">
        <v>35</v>
      </c>
      <c r="C754">
        <v>95</v>
      </c>
      <c r="D754">
        <v>25000</v>
      </c>
      <c r="E754">
        <v>1191</v>
      </c>
      <c r="F754">
        <v>23809</v>
      </c>
      <c r="G754">
        <v>5</v>
      </c>
      <c r="H754">
        <v>32768</v>
      </c>
      <c r="I754">
        <v>73</v>
      </c>
      <c r="J754" t="s">
        <v>1</v>
      </c>
      <c r="K754" t="s">
        <v>2</v>
      </c>
      <c r="L754" s="8">
        <f>InterspecUsage[[#This Row],[Used-MB]]-F744</f>
        <v>60</v>
      </c>
      <c r="M754">
        <f>InterspecUsage[[#This Row],[Max]]-InterspecUsage[[#This Row],[Used-MB]]</f>
        <v>8959</v>
      </c>
      <c r="N754" s="5">
        <f>IF($L754&gt;0,InterspecUsage[[#This Row],[Free-of-Max]]/InterspecUsage[[#This Row],[Usage-Delta-MB]],InterspecUsage[[#This Row],[Free-of-Max]])</f>
        <v>149.31666666666666</v>
      </c>
    </row>
    <row r="755" spans="1:14" x14ac:dyDescent="0.25">
      <c r="A755" s="3">
        <v>44817</v>
      </c>
      <c r="B755" t="s">
        <v>27</v>
      </c>
      <c r="C755">
        <v>93</v>
      </c>
      <c r="D755">
        <v>131072</v>
      </c>
      <c r="E755">
        <v>9820</v>
      </c>
      <c r="F755">
        <v>121252</v>
      </c>
      <c r="G755">
        <v>7</v>
      </c>
      <c r="H755">
        <v>131072</v>
      </c>
      <c r="I755">
        <v>93</v>
      </c>
      <c r="J755" t="s">
        <v>1</v>
      </c>
      <c r="K755" t="s">
        <v>2</v>
      </c>
      <c r="L755" s="8">
        <f>InterspecUsage[[#This Row],[Used-MB]]-F745</f>
        <v>451</v>
      </c>
      <c r="M755">
        <f>InterspecUsage[[#This Row],[Max]]-InterspecUsage[[#This Row],[Used-MB]]</f>
        <v>9820</v>
      </c>
      <c r="N755" s="5">
        <f>IF($L755&gt;0,InterspecUsage[[#This Row],[Free-of-Max]]/InterspecUsage[[#This Row],[Usage-Delta-MB]],InterspecUsage[[#This Row],[Free-of-Max]])</f>
        <v>21.773835920177383</v>
      </c>
    </row>
    <row r="756" spans="1:14" x14ac:dyDescent="0.25">
      <c r="A756" s="3">
        <v>44817</v>
      </c>
      <c r="B756" t="s">
        <v>7</v>
      </c>
      <c r="C756">
        <v>95</v>
      </c>
      <c r="D756">
        <v>1330</v>
      </c>
      <c r="E756">
        <v>60</v>
      </c>
      <c r="F756">
        <v>1270</v>
      </c>
      <c r="G756">
        <v>5</v>
      </c>
      <c r="H756">
        <v>32768</v>
      </c>
      <c r="I756">
        <v>4</v>
      </c>
      <c r="J756" t="s">
        <v>1</v>
      </c>
      <c r="K756" t="s">
        <v>2</v>
      </c>
      <c r="L756" s="8">
        <f>InterspecUsage[[#This Row],[Used-MB]]-F746</f>
        <v>16</v>
      </c>
      <c r="M756">
        <f>InterspecUsage[[#This Row],[Max]]-InterspecUsage[[#This Row],[Used-MB]]</f>
        <v>31498</v>
      </c>
      <c r="N756" s="5">
        <f>IF($L756&gt;0,InterspecUsage[[#This Row],[Free-of-Max]]/InterspecUsage[[#This Row],[Usage-Delta-MB]],InterspecUsage[[#This Row],[Free-of-Max]])</f>
        <v>1968.625</v>
      </c>
    </row>
    <row r="757" spans="1:14" x14ac:dyDescent="0.25">
      <c r="A757" s="3">
        <v>44817</v>
      </c>
      <c r="B757" t="s">
        <v>0</v>
      </c>
      <c r="C757">
        <v>99</v>
      </c>
      <c r="D757">
        <v>3560</v>
      </c>
      <c r="E757">
        <v>42</v>
      </c>
      <c r="F757">
        <v>3518</v>
      </c>
      <c r="G757">
        <v>1</v>
      </c>
      <c r="H757">
        <v>32768</v>
      </c>
      <c r="I757">
        <v>11</v>
      </c>
      <c r="J757" t="s">
        <v>1</v>
      </c>
      <c r="K757" t="s">
        <v>2</v>
      </c>
      <c r="L757" s="8">
        <f>InterspecUsage[[#This Row],[Used-MB]]-F747</f>
        <v>0</v>
      </c>
      <c r="M757">
        <f>InterspecUsage[[#This Row],[Max]]-InterspecUsage[[#This Row],[Used-MB]]</f>
        <v>29250</v>
      </c>
      <c r="N757" s="5">
        <f>IF($L757&gt;0,InterspecUsage[[#This Row],[Free-of-Max]]/InterspecUsage[[#This Row],[Usage-Delta-MB]],InterspecUsage[[#This Row],[Free-of-Max]])</f>
        <v>29250</v>
      </c>
    </row>
    <row r="758" spans="1:14" x14ac:dyDescent="0.25">
      <c r="A758" s="3">
        <v>44817</v>
      </c>
      <c r="B758" t="s">
        <v>30</v>
      </c>
      <c r="C758">
        <v>0</v>
      </c>
      <c r="D758">
        <v>32767</v>
      </c>
      <c r="E758">
        <v>32714</v>
      </c>
      <c r="F758">
        <v>53</v>
      </c>
      <c r="G758">
        <v>100</v>
      </c>
      <c r="H758">
        <v>32768</v>
      </c>
      <c r="I758">
        <v>0</v>
      </c>
      <c r="J758" t="s">
        <v>1</v>
      </c>
      <c r="K758" t="s">
        <v>13</v>
      </c>
      <c r="L758" s="8">
        <f>InterspecUsage[[#This Row],[Used-MB]]-F748</f>
        <v>38</v>
      </c>
      <c r="M758">
        <f>InterspecUsage[[#This Row],[Max]]-InterspecUsage[[#This Row],[Used-MB]]</f>
        <v>32715</v>
      </c>
      <c r="N758" s="5">
        <f>IF($L758&gt;0,InterspecUsage[[#This Row],[Free-of-Max]]/InterspecUsage[[#This Row],[Usage-Delta-MB]],InterspecUsage[[#This Row],[Free-of-Max]])</f>
        <v>860.92105263157896</v>
      </c>
    </row>
    <row r="759" spans="1:14" x14ac:dyDescent="0.25">
      <c r="A759" s="3">
        <v>44817</v>
      </c>
      <c r="B759" t="s">
        <v>28</v>
      </c>
      <c r="C759">
        <v>1</v>
      </c>
      <c r="D759">
        <v>21920</v>
      </c>
      <c r="E759">
        <v>21796</v>
      </c>
      <c r="F759">
        <v>124</v>
      </c>
      <c r="G759">
        <v>99</v>
      </c>
      <c r="H759">
        <v>32768</v>
      </c>
      <c r="I759">
        <v>0</v>
      </c>
      <c r="J759" t="s">
        <v>1</v>
      </c>
      <c r="K759" t="s">
        <v>10</v>
      </c>
      <c r="L759" s="8">
        <f>InterspecUsage[[#This Row],[Used-MB]]-F749</f>
        <v>45</v>
      </c>
      <c r="M759">
        <f>InterspecUsage[[#This Row],[Max]]-InterspecUsage[[#This Row],[Used-MB]]</f>
        <v>32644</v>
      </c>
      <c r="N759" s="5">
        <f>IF($L759&gt;0,InterspecUsage[[#This Row],[Free-of-Max]]/InterspecUsage[[#This Row],[Usage-Delta-MB]],InterspecUsage[[#This Row],[Free-of-Max]])</f>
        <v>725.42222222222222</v>
      </c>
    </row>
    <row r="760" spans="1:14" x14ac:dyDescent="0.25">
      <c r="A760" s="3">
        <v>44817</v>
      </c>
      <c r="B760" t="s">
        <v>25</v>
      </c>
      <c r="C760">
        <v>93</v>
      </c>
      <c r="D760">
        <v>11800</v>
      </c>
      <c r="E760">
        <v>843</v>
      </c>
      <c r="F760">
        <v>10957</v>
      </c>
      <c r="G760">
        <v>7</v>
      </c>
      <c r="H760">
        <v>32768</v>
      </c>
      <c r="I760">
        <v>33</v>
      </c>
      <c r="J760" t="s">
        <v>1</v>
      </c>
      <c r="K760" t="s">
        <v>2</v>
      </c>
      <c r="L760" s="8">
        <f>InterspecUsage[[#This Row],[Used-MB]]-F750</f>
        <v>8</v>
      </c>
      <c r="M760">
        <f>InterspecUsage[[#This Row],[Max]]-InterspecUsage[[#This Row],[Used-MB]]</f>
        <v>21811</v>
      </c>
      <c r="N760" s="5">
        <f>IF($L760&gt;0,InterspecUsage[[#This Row],[Free-of-Max]]/InterspecUsage[[#This Row],[Usage-Delta-MB]],InterspecUsage[[#This Row],[Free-of-Max]])</f>
        <v>2726.375</v>
      </c>
    </row>
    <row r="761" spans="1:14" x14ac:dyDescent="0.25">
      <c r="A761" s="3">
        <v>44817</v>
      </c>
      <c r="B761" t="s">
        <v>29</v>
      </c>
      <c r="C761">
        <v>0</v>
      </c>
      <c r="D761">
        <v>500</v>
      </c>
      <c r="E761">
        <v>499</v>
      </c>
      <c r="F761">
        <v>1</v>
      </c>
      <c r="G761">
        <v>100</v>
      </c>
      <c r="H761">
        <v>500</v>
      </c>
      <c r="I761">
        <v>0</v>
      </c>
      <c r="J761" t="s">
        <v>1</v>
      </c>
      <c r="K761" t="s">
        <v>2</v>
      </c>
      <c r="L761" s="8">
        <f>InterspecUsage[[#This Row],[Used-MB]]-F751</f>
        <v>0</v>
      </c>
      <c r="M761">
        <f>InterspecUsage[[#This Row],[Max]]-InterspecUsage[[#This Row],[Used-MB]]</f>
        <v>499</v>
      </c>
      <c r="N761" s="5">
        <f>IF($L761&gt;0,InterspecUsage[[#This Row],[Free-of-Max]]/InterspecUsage[[#This Row],[Usage-Delta-MB]],InterspecUsage[[#This Row],[Free-of-Max]])</f>
        <v>499</v>
      </c>
    </row>
    <row r="762" spans="1:14" x14ac:dyDescent="0.25">
      <c r="A762" s="3">
        <v>44823</v>
      </c>
      <c r="B762" t="s">
        <v>26</v>
      </c>
      <c r="C762">
        <v>94</v>
      </c>
      <c r="D762">
        <v>19788</v>
      </c>
      <c r="E762">
        <v>1200</v>
      </c>
      <c r="F762">
        <v>18588</v>
      </c>
      <c r="G762">
        <v>6</v>
      </c>
      <c r="H762">
        <v>40960</v>
      </c>
      <c r="I762">
        <v>45</v>
      </c>
      <c r="J762" t="s">
        <v>1</v>
      </c>
      <c r="K762" t="s">
        <v>2</v>
      </c>
      <c r="L762" s="8">
        <f>InterspecUsage[[#This Row],[Used-MB]]-F752</f>
        <v>64</v>
      </c>
      <c r="M762">
        <f>InterspecUsage[[#This Row],[Max]]-InterspecUsage[[#This Row],[Used-MB]]</f>
        <v>22372</v>
      </c>
      <c r="N762" s="5">
        <f>IF($L762&gt;0,InterspecUsage[[#This Row],[Free-of-Max]]/InterspecUsage[[#This Row],[Usage-Delta-MB]],InterspecUsage[[#This Row],[Free-of-Max]])</f>
        <v>349.5625</v>
      </c>
    </row>
    <row r="763" spans="1:14" x14ac:dyDescent="0.25">
      <c r="A763" s="3">
        <v>44823</v>
      </c>
      <c r="B763" t="s">
        <v>24</v>
      </c>
      <c r="C763">
        <v>85</v>
      </c>
      <c r="D763">
        <v>18000</v>
      </c>
      <c r="E763">
        <v>2726</v>
      </c>
      <c r="F763">
        <v>15274</v>
      </c>
      <c r="G763">
        <v>15</v>
      </c>
      <c r="H763">
        <v>32768</v>
      </c>
      <c r="I763">
        <v>47</v>
      </c>
      <c r="J763" t="s">
        <v>1</v>
      </c>
      <c r="K763" t="s">
        <v>2</v>
      </c>
      <c r="L763" s="8">
        <f>InterspecUsage[[#This Row],[Used-MB]]-F753</f>
        <v>2</v>
      </c>
      <c r="M763">
        <f>InterspecUsage[[#This Row],[Max]]-InterspecUsage[[#This Row],[Used-MB]]</f>
        <v>17494</v>
      </c>
      <c r="N763" s="5">
        <f>IF($L763&gt;0,InterspecUsage[[#This Row],[Free-of-Max]]/InterspecUsage[[#This Row],[Usage-Delta-MB]],InterspecUsage[[#This Row],[Free-of-Max]])</f>
        <v>8747</v>
      </c>
    </row>
    <row r="764" spans="1:14" x14ac:dyDescent="0.25">
      <c r="A764" s="3">
        <v>44823</v>
      </c>
      <c r="B764" t="s">
        <v>35</v>
      </c>
      <c r="C764">
        <v>95</v>
      </c>
      <c r="D764">
        <v>25000</v>
      </c>
      <c r="E764">
        <v>1127</v>
      </c>
      <c r="F764">
        <v>23873</v>
      </c>
      <c r="G764">
        <v>5</v>
      </c>
      <c r="H764">
        <v>32768</v>
      </c>
      <c r="I764">
        <v>73</v>
      </c>
      <c r="J764" t="s">
        <v>1</v>
      </c>
      <c r="K764" t="s">
        <v>2</v>
      </c>
      <c r="L764" s="8">
        <f>InterspecUsage[[#This Row],[Used-MB]]-F754</f>
        <v>64</v>
      </c>
      <c r="M764">
        <f>InterspecUsage[[#This Row],[Max]]-InterspecUsage[[#This Row],[Used-MB]]</f>
        <v>8895</v>
      </c>
      <c r="N764" s="5">
        <f>IF($L764&gt;0,InterspecUsage[[#This Row],[Free-of-Max]]/InterspecUsage[[#This Row],[Usage-Delta-MB]],InterspecUsage[[#This Row],[Free-of-Max]])</f>
        <v>138.984375</v>
      </c>
    </row>
    <row r="765" spans="1:14" x14ac:dyDescent="0.25">
      <c r="A765" s="3">
        <v>44823</v>
      </c>
      <c r="B765" t="s">
        <v>27</v>
      </c>
      <c r="C765">
        <v>93</v>
      </c>
      <c r="D765">
        <v>131072</v>
      </c>
      <c r="E765">
        <v>9684</v>
      </c>
      <c r="F765">
        <v>121388</v>
      </c>
      <c r="G765">
        <v>7</v>
      </c>
      <c r="H765">
        <v>131072</v>
      </c>
      <c r="I765">
        <v>93</v>
      </c>
      <c r="J765" t="s">
        <v>1</v>
      </c>
      <c r="K765" t="s">
        <v>2</v>
      </c>
      <c r="L765" s="8">
        <f>InterspecUsage[[#This Row],[Used-MB]]-F755</f>
        <v>136</v>
      </c>
      <c r="M765">
        <f>InterspecUsage[[#This Row],[Max]]-InterspecUsage[[#This Row],[Used-MB]]</f>
        <v>9684</v>
      </c>
      <c r="N765" s="5">
        <f>IF($L765&gt;0,InterspecUsage[[#This Row],[Free-of-Max]]/InterspecUsage[[#This Row],[Usage-Delta-MB]],InterspecUsage[[#This Row],[Free-of-Max]])</f>
        <v>71.205882352941174</v>
      </c>
    </row>
    <row r="766" spans="1:14" x14ac:dyDescent="0.25">
      <c r="A766" s="3">
        <v>44823</v>
      </c>
      <c r="B766" t="s">
        <v>7</v>
      </c>
      <c r="C766">
        <v>95</v>
      </c>
      <c r="D766">
        <v>1330</v>
      </c>
      <c r="E766">
        <v>61</v>
      </c>
      <c r="F766">
        <v>1269</v>
      </c>
      <c r="G766">
        <v>5</v>
      </c>
      <c r="H766">
        <v>32768</v>
      </c>
      <c r="I766">
        <v>4</v>
      </c>
      <c r="J766" t="s">
        <v>1</v>
      </c>
      <c r="K766" t="s">
        <v>2</v>
      </c>
      <c r="L766" s="8">
        <f>InterspecUsage[[#This Row],[Used-MB]]-F756</f>
        <v>-1</v>
      </c>
      <c r="M766">
        <f>InterspecUsage[[#This Row],[Max]]-InterspecUsage[[#This Row],[Used-MB]]</f>
        <v>31499</v>
      </c>
      <c r="N766" s="5">
        <f>IF($L766&gt;0,InterspecUsage[[#This Row],[Free-of-Max]]/InterspecUsage[[#This Row],[Usage-Delta-MB]],InterspecUsage[[#This Row],[Free-of-Max]])</f>
        <v>31499</v>
      </c>
    </row>
    <row r="767" spans="1:14" x14ac:dyDescent="0.25">
      <c r="A767" s="3">
        <v>44823</v>
      </c>
      <c r="B767" t="s">
        <v>0</v>
      </c>
      <c r="C767">
        <v>99</v>
      </c>
      <c r="D767">
        <v>3560</v>
      </c>
      <c r="E767">
        <v>42</v>
      </c>
      <c r="F767">
        <v>3518</v>
      </c>
      <c r="G767">
        <v>1</v>
      </c>
      <c r="H767">
        <v>32768</v>
      </c>
      <c r="I767">
        <v>11</v>
      </c>
      <c r="J767" t="s">
        <v>1</v>
      </c>
      <c r="K767" t="s">
        <v>2</v>
      </c>
      <c r="L767" s="8">
        <f>InterspecUsage[[#This Row],[Used-MB]]-F757</f>
        <v>0</v>
      </c>
      <c r="M767">
        <f>InterspecUsage[[#This Row],[Max]]-InterspecUsage[[#This Row],[Used-MB]]</f>
        <v>29250</v>
      </c>
      <c r="N767" s="5">
        <f>IF($L767&gt;0,InterspecUsage[[#This Row],[Free-of-Max]]/InterspecUsage[[#This Row],[Usage-Delta-MB]],InterspecUsage[[#This Row],[Free-of-Max]])</f>
        <v>29250</v>
      </c>
    </row>
    <row r="768" spans="1:14" x14ac:dyDescent="0.25">
      <c r="A768" s="3">
        <v>44823</v>
      </c>
      <c r="B768" t="s">
        <v>30</v>
      </c>
      <c r="C768">
        <v>0</v>
      </c>
      <c r="D768">
        <v>32767</v>
      </c>
      <c r="E768">
        <v>32755</v>
      </c>
      <c r="F768">
        <v>12</v>
      </c>
      <c r="G768">
        <v>100</v>
      </c>
      <c r="H768">
        <v>32768</v>
      </c>
      <c r="I768">
        <v>0</v>
      </c>
      <c r="J768" t="s">
        <v>1</v>
      </c>
      <c r="K768" t="s">
        <v>13</v>
      </c>
      <c r="L768" s="8">
        <f>InterspecUsage[[#This Row],[Used-MB]]-F758</f>
        <v>-41</v>
      </c>
      <c r="M768">
        <f>InterspecUsage[[#This Row],[Max]]-InterspecUsage[[#This Row],[Used-MB]]</f>
        <v>32756</v>
      </c>
      <c r="N768" s="5">
        <f>IF($L768&gt;0,InterspecUsage[[#This Row],[Free-of-Max]]/InterspecUsage[[#This Row],[Usage-Delta-MB]],InterspecUsage[[#This Row],[Free-of-Max]])</f>
        <v>32756</v>
      </c>
    </row>
    <row r="769" spans="1:14" x14ac:dyDescent="0.25">
      <c r="A769" s="3">
        <v>44823</v>
      </c>
      <c r="B769" t="s">
        <v>28</v>
      </c>
      <c r="C769">
        <v>1</v>
      </c>
      <c r="D769">
        <v>21920</v>
      </c>
      <c r="E769">
        <v>21745</v>
      </c>
      <c r="F769">
        <v>175</v>
      </c>
      <c r="G769">
        <v>99</v>
      </c>
      <c r="H769">
        <v>32768</v>
      </c>
      <c r="I769">
        <v>1</v>
      </c>
      <c r="J769" t="s">
        <v>1</v>
      </c>
      <c r="K769" t="s">
        <v>10</v>
      </c>
      <c r="L769" s="8">
        <f>InterspecUsage[[#This Row],[Used-MB]]-F759</f>
        <v>51</v>
      </c>
      <c r="M769">
        <f>InterspecUsage[[#This Row],[Max]]-InterspecUsage[[#This Row],[Used-MB]]</f>
        <v>32593</v>
      </c>
      <c r="N769" s="5">
        <f>IF($L769&gt;0,InterspecUsage[[#This Row],[Free-of-Max]]/InterspecUsage[[#This Row],[Usage-Delta-MB]],InterspecUsage[[#This Row],[Free-of-Max]])</f>
        <v>639.07843137254906</v>
      </c>
    </row>
    <row r="770" spans="1:14" x14ac:dyDescent="0.25">
      <c r="A770" s="3">
        <v>44823</v>
      </c>
      <c r="B770" t="s">
        <v>25</v>
      </c>
      <c r="C770">
        <v>93</v>
      </c>
      <c r="D770">
        <v>11800</v>
      </c>
      <c r="E770">
        <v>843</v>
      </c>
      <c r="F770">
        <v>10957</v>
      </c>
      <c r="G770">
        <v>7</v>
      </c>
      <c r="H770">
        <v>32768</v>
      </c>
      <c r="I770">
        <v>33</v>
      </c>
      <c r="J770" t="s">
        <v>1</v>
      </c>
      <c r="K770" t="s">
        <v>2</v>
      </c>
      <c r="L770" s="8">
        <f>InterspecUsage[[#This Row],[Used-MB]]-F760</f>
        <v>0</v>
      </c>
      <c r="M770">
        <f>InterspecUsage[[#This Row],[Max]]-InterspecUsage[[#This Row],[Used-MB]]</f>
        <v>21811</v>
      </c>
      <c r="N770" s="5">
        <f>IF($L770&gt;0,InterspecUsage[[#This Row],[Free-of-Max]]/InterspecUsage[[#This Row],[Usage-Delta-MB]],InterspecUsage[[#This Row],[Free-of-Max]])</f>
        <v>21811</v>
      </c>
    </row>
    <row r="771" spans="1:14" x14ac:dyDescent="0.25">
      <c r="A771" s="3">
        <v>44823</v>
      </c>
      <c r="B771" t="s">
        <v>29</v>
      </c>
      <c r="C771">
        <v>0</v>
      </c>
      <c r="D771">
        <v>500</v>
      </c>
      <c r="E771">
        <v>499</v>
      </c>
      <c r="F771">
        <v>1</v>
      </c>
      <c r="G771">
        <v>100</v>
      </c>
      <c r="H771">
        <v>500</v>
      </c>
      <c r="I771">
        <v>0</v>
      </c>
      <c r="J771" t="s">
        <v>1</v>
      </c>
      <c r="K771" t="s">
        <v>2</v>
      </c>
      <c r="L771" s="8">
        <f>InterspecUsage[[#This Row],[Used-MB]]-F761</f>
        <v>0</v>
      </c>
      <c r="M771">
        <f>InterspecUsage[[#This Row],[Max]]-InterspecUsage[[#This Row],[Used-MB]]</f>
        <v>499</v>
      </c>
      <c r="N771" s="5">
        <f>IF($L771&gt;0,InterspecUsage[[#This Row],[Free-of-Max]]/InterspecUsage[[#This Row],[Usage-Delta-MB]],InterspecUsage[[#This Row],[Free-of-Max]])</f>
        <v>499</v>
      </c>
    </row>
    <row r="772" spans="1:14" x14ac:dyDescent="0.25">
      <c r="A772" s="3">
        <v>44830</v>
      </c>
      <c r="B772" t="s">
        <v>26</v>
      </c>
      <c r="C772">
        <v>94</v>
      </c>
      <c r="D772">
        <v>19788</v>
      </c>
      <c r="E772">
        <v>1136</v>
      </c>
      <c r="F772">
        <v>18652</v>
      </c>
      <c r="G772">
        <v>6</v>
      </c>
      <c r="H772">
        <v>40960</v>
      </c>
      <c r="I772">
        <v>46</v>
      </c>
      <c r="J772" t="s">
        <v>1</v>
      </c>
      <c r="K772" t="s">
        <v>2</v>
      </c>
      <c r="L772" s="8">
        <f>InterspecUsage[[#This Row],[Used-MB]]-F762</f>
        <v>64</v>
      </c>
      <c r="M772">
        <f>InterspecUsage[[#This Row],[Max]]-InterspecUsage[[#This Row],[Used-MB]]</f>
        <v>22308</v>
      </c>
      <c r="N772" s="5">
        <f>IF($L772&gt;0,InterspecUsage[[#This Row],[Free-of-Max]]/InterspecUsage[[#This Row],[Usage-Delta-MB]],InterspecUsage[[#This Row],[Free-of-Max]])</f>
        <v>348.5625</v>
      </c>
    </row>
    <row r="773" spans="1:14" x14ac:dyDescent="0.25">
      <c r="A773" s="3">
        <v>44830</v>
      </c>
      <c r="B773" t="s">
        <v>24</v>
      </c>
      <c r="C773">
        <v>85</v>
      </c>
      <c r="D773">
        <v>18000</v>
      </c>
      <c r="E773">
        <v>2726</v>
      </c>
      <c r="F773">
        <v>15274</v>
      </c>
      <c r="G773">
        <v>15</v>
      </c>
      <c r="H773">
        <v>32768</v>
      </c>
      <c r="I773">
        <v>47</v>
      </c>
      <c r="J773" t="s">
        <v>1</v>
      </c>
      <c r="K773" t="s">
        <v>2</v>
      </c>
      <c r="L773" s="8">
        <f>InterspecUsage[[#This Row],[Used-MB]]-F763</f>
        <v>0</v>
      </c>
      <c r="M773">
        <f>InterspecUsage[[#This Row],[Max]]-InterspecUsage[[#This Row],[Used-MB]]</f>
        <v>17494</v>
      </c>
      <c r="N773" s="5">
        <f>IF($L773&gt;0,InterspecUsage[[#This Row],[Free-of-Max]]/InterspecUsage[[#This Row],[Usage-Delta-MB]],InterspecUsage[[#This Row],[Free-of-Max]])</f>
        <v>17494</v>
      </c>
    </row>
    <row r="774" spans="1:14" x14ac:dyDescent="0.25">
      <c r="A774" s="3">
        <v>44830</v>
      </c>
      <c r="B774" t="s">
        <v>35</v>
      </c>
      <c r="C774">
        <v>95</v>
      </c>
      <c r="D774">
        <v>25000</v>
      </c>
      <c r="E774">
        <v>1127</v>
      </c>
      <c r="F774">
        <v>23873</v>
      </c>
      <c r="G774">
        <v>5</v>
      </c>
      <c r="H774">
        <v>32768</v>
      </c>
      <c r="I774">
        <v>73</v>
      </c>
      <c r="J774" t="s">
        <v>1</v>
      </c>
      <c r="K774" t="s">
        <v>2</v>
      </c>
      <c r="L774" s="8">
        <f>InterspecUsage[[#This Row],[Used-MB]]-F764</f>
        <v>0</v>
      </c>
      <c r="M774">
        <f>InterspecUsage[[#This Row],[Max]]-InterspecUsage[[#This Row],[Used-MB]]</f>
        <v>8895</v>
      </c>
      <c r="N774" s="5">
        <f>IF($L774&gt;0,InterspecUsage[[#This Row],[Free-of-Max]]/InterspecUsage[[#This Row],[Usage-Delta-MB]],InterspecUsage[[#This Row],[Free-of-Max]])</f>
        <v>8895</v>
      </c>
    </row>
    <row r="775" spans="1:14" x14ac:dyDescent="0.25">
      <c r="A775" s="3">
        <v>44830</v>
      </c>
      <c r="B775" t="s">
        <v>27</v>
      </c>
      <c r="C775">
        <v>93</v>
      </c>
      <c r="D775">
        <v>131072</v>
      </c>
      <c r="E775">
        <v>9555</v>
      </c>
      <c r="F775">
        <v>121517</v>
      </c>
      <c r="G775">
        <v>7</v>
      </c>
      <c r="H775">
        <v>131072</v>
      </c>
      <c r="I775">
        <v>93</v>
      </c>
      <c r="J775" t="s">
        <v>1</v>
      </c>
      <c r="K775" t="s">
        <v>2</v>
      </c>
      <c r="L775" s="8">
        <f>InterspecUsage[[#This Row],[Used-MB]]-F765</f>
        <v>129</v>
      </c>
      <c r="M775">
        <f>InterspecUsage[[#This Row],[Max]]-InterspecUsage[[#This Row],[Used-MB]]</f>
        <v>9555</v>
      </c>
      <c r="N775" s="5">
        <f>IF($L775&gt;0,InterspecUsage[[#This Row],[Free-of-Max]]/InterspecUsage[[#This Row],[Usage-Delta-MB]],InterspecUsage[[#This Row],[Free-of-Max]])</f>
        <v>74.069767441860463</v>
      </c>
    </row>
    <row r="776" spans="1:14" x14ac:dyDescent="0.25">
      <c r="A776" s="3">
        <v>44830</v>
      </c>
      <c r="B776" t="s">
        <v>7</v>
      </c>
      <c r="C776">
        <v>95</v>
      </c>
      <c r="D776">
        <v>1350</v>
      </c>
      <c r="E776">
        <v>72</v>
      </c>
      <c r="F776">
        <v>1278</v>
      </c>
      <c r="G776">
        <v>5</v>
      </c>
      <c r="H776">
        <v>32768</v>
      </c>
      <c r="I776">
        <v>4</v>
      </c>
      <c r="J776" t="s">
        <v>1</v>
      </c>
      <c r="K776" t="s">
        <v>2</v>
      </c>
      <c r="L776" s="8">
        <f>InterspecUsage[[#This Row],[Used-MB]]-F766</f>
        <v>9</v>
      </c>
      <c r="M776">
        <f>InterspecUsage[[#This Row],[Max]]-InterspecUsage[[#This Row],[Used-MB]]</f>
        <v>31490</v>
      </c>
      <c r="N776" s="5">
        <f>IF($L776&gt;0,InterspecUsage[[#This Row],[Free-of-Max]]/InterspecUsage[[#This Row],[Usage-Delta-MB]],InterspecUsage[[#This Row],[Free-of-Max]])</f>
        <v>3498.8888888888887</v>
      </c>
    </row>
    <row r="777" spans="1:14" x14ac:dyDescent="0.25">
      <c r="A777" s="3">
        <v>44830</v>
      </c>
      <c r="B777" t="s">
        <v>0</v>
      </c>
      <c r="C777">
        <v>99</v>
      </c>
      <c r="D777">
        <v>3560</v>
      </c>
      <c r="E777">
        <v>42</v>
      </c>
      <c r="F777">
        <v>3518</v>
      </c>
      <c r="G777">
        <v>1</v>
      </c>
      <c r="H777">
        <v>32768</v>
      </c>
      <c r="I777">
        <v>11</v>
      </c>
      <c r="J777" t="s">
        <v>1</v>
      </c>
      <c r="K777" t="s">
        <v>2</v>
      </c>
      <c r="L777" s="8">
        <f>InterspecUsage[[#This Row],[Used-MB]]-F767</f>
        <v>0</v>
      </c>
      <c r="M777">
        <f>InterspecUsage[[#This Row],[Max]]-InterspecUsage[[#This Row],[Used-MB]]</f>
        <v>29250</v>
      </c>
      <c r="N777" s="5">
        <f>IF($L777&gt;0,InterspecUsage[[#This Row],[Free-of-Max]]/InterspecUsage[[#This Row],[Usage-Delta-MB]],InterspecUsage[[#This Row],[Free-of-Max]])</f>
        <v>29250</v>
      </c>
    </row>
    <row r="778" spans="1:14" x14ac:dyDescent="0.25">
      <c r="A778" s="3">
        <v>44830</v>
      </c>
      <c r="B778" t="s">
        <v>30</v>
      </c>
      <c r="C778">
        <v>0</v>
      </c>
      <c r="D778">
        <v>32767</v>
      </c>
      <c r="E778">
        <v>32723</v>
      </c>
      <c r="F778">
        <v>44</v>
      </c>
      <c r="G778">
        <v>100</v>
      </c>
      <c r="H778">
        <v>32768</v>
      </c>
      <c r="I778">
        <v>0</v>
      </c>
      <c r="J778" t="s">
        <v>1</v>
      </c>
      <c r="K778" t="s">
        <v>13</v>
      </c>
      <c r="L778" s="8">
        <f>InterspecUsage[[#This Row],[Used-MB]]-F768</f>
        <v>32</v>
      </c>
      <c r="M778">
        <f>InterspecUsage[[#This Row],[Max]]-InterspecUsage[[#This Row],[Used-MB]]</f>
        <v>32724</v>
      </c>
      <c r="N778" s="5">
        <f>IF($L778&gt;0,InterspecUsage[[#This Row],[Free-of-Max]]/InterspecUsage[[#This Row],[Usage-Delta-MB]],InterspecUsage[[#This Row],[Free-of-Max]])</f>
        <v>1022.625</v>
      </c>
    </row>
    <row r="779" spans="1:14" x14ac:dyDescent="0.25">
      <c r="A779" s="3">
        <v>44830</v>
      </c>
      <c r="B779" t="s">
        <v>28</v>
      </c>
      <c r="C779">
        <v>3</v>
      </c>
      <c r="D779">
        <v>21920</v>
      </c>
      <c r="E779">
        <v>21319</v>
      </c>
      <c r="F779">
        <v>601</v>
      </c>
      <c r="G779">
        <v>97</v>
      </c>
      <c r="H779">
        <v>32768</v>
      </c>
      <c r="I779">
        <v>2</v>
      </c>
      <c r="J779" t="s">
        <v>1</v>
      </c>
      <c r="K779" t="s">
        <v>10</v>
      </c>
      <c r="L779" s="8">
        <f>InterspecUsage[[#This Row],[Used-MB]]-F769</f>
        <v>426</v>
      </c>
      <c r="M779">
        <f>InterspecUsage[[#This Row],[Max]]-InterspecUsage[[#This Row],[Used-MB]]</f>
        <v>32167</v>
      </c>
      <c r="N779" s="5">
        <f>IF($L779&gt;0,InterspecUsage[[#This Row],[Free-of-Max]]/InterspecUsage[[#This Row],[Usage-Delta-MB]],InterspecUsage[[#This Row],[Free-of-Max]])</f>
        <v>75.509389671361504</v>
      </c>
    </row>
    <row r="780" spans="1:14" x14ac:dyDescent="0.25">
      <c r="A780" s="3">
        <v>44830</v>
      </c>
      <c r="B780" t="s">
        <v>25</v>
      </c>
      <c r="C780">
        <v>93</v>
      </c>
      <c r="D780">
        <v>11800</v>
      </c>
      <c r="E780">
        <v>771</v>
      </c>
      <c r="F780">
        <v>11029</v>
      </c>
      <c r="G780">
        <v>7</v>
      </c>
      <c r="H780">
        <v>32768</v>
      </c>
      <c r="I780">
        <v>34</v>
      </c>
      <c r="J780" t="s">
        <v>1</v>
      </c>
      <c r="K780" t="s">
        <v>2</v>
      </c>
      <c r="L780" s="8">
        <f>InterspecUsage[[#This Row],[Used-MB]]-F770</f>
        <v>72</v>
      </c>
      <c r="M780">
        <f>InterspecUsage[[#This Row],[Max]]-InterspecUsage[[#This Row],[Used-MB]]</f>
        <v>21739</v>
      </c>
      <c r="N780" s="5">
        <f>IF($L780&gt;0,InterspecUsage[[#This Row],[Free-of-Max]]/InterspecUsage[[#This Row],[Usage-Delta-MB]],InterspecUsage[[#This Row],[Free-of-Max]])</f>
        <v>301.93055555555554</v>
      </c>
    </row>
    <row r="781" spans="1:14" x14ac:dyDescent="0.25">
      <c r="A781" s="3">
        <v>44830</v>
      </c>
      <c r="B781" t="s">
        <v>29</v>
      </c>
      <c r="C781">
        <v>0</v>
      </c>
      <c r="D781">
        <v>500</v>
      </c>
      <c r="E781">
        <v>499</v>
      </c>
      <c r="F781">
        <v>1</v>
      </c>
      <c r="G781">
        <v>100</v>
      </c>
      <c r="H781">
        <v>500</v>
      </c>
      <c r="I781">
        <v>0</v>
      </c>
      <c r="J781" t="s">
        <v>1</v>
      </c>
      <c r="K781" t="s">
        <v>2</v>
      </c>
      <c r="L781" s="8">
        <f>InterspecUsage[[#This Row],[Used-MB]]-F771</f>
        <v>0</v>
      </c>
      <c r="M781">
        <f>InterspecUsage[[#This Row],[Max]]-InterspecUsage[[#This Row],[Used-MB]]</f>
        <v>499</v>
      </c>
      <c r="N781" s="5">
        <f>IF($L781&gt;0,InterspecUsage[[#This Row],[Free-of-Max]]/InterspecUsage[[#This Row],[Usage-Delta-MB]],InterspecUsage[[#This Row],[Free-of-Max]])</f>
        <v>499</v>
      </c>
    </row>
    <row r="782" spans="1:14" x14ac:dyDescent="0.25">
      <c r="A782" s="3">
        <v>44837</v>
      </c>
      <c r="B782" t="s">
        <v>26</v>
      </c>
      <c r="C782">
        <v>94</v>
      </c>
      <c r="D782">
        <v>19788</v>
      </c>
      <c r="E782">
        <v>1136</v>
      </c>
      <c r="F782">
        <v>18652</v>
      </c>
      <c r="G782">
        <v>6</v>
      </c>
      <c r="H782">
        <v>40960</v>
      </c>
      <c r="I782">
        <v>46</v>
      </c>
      <c r="J782" t="s">
        <v>1</v>
      </c>
      <c r="K782" t="s">
        <v>2</v>
      </c>
      <c r="L782" s="8">
        <f>InterspecUsage[[#This Row],[Used-MB]]-F772</f>
        <v>0</v>
      </c>
      <c r="M782">
        <f>InterspecUsage[[#This Row],[Max]]-InterspecUsage[[#This Row],[Used-MB]]</f>
        <v>22308</v>
      </c>
      <c r="N782" s="5">
        <f>IF($L782&gt;0,InterspecUsage[[#This Row],[Free-of-Max]]/InterspecUsage[[#This Row],[Usage-Delta-MB]],InterspecUsage[[#This Row],[Free-of-Max]])</f>
        <v>22308</v>
      </c>
    </row>
    <row r="783" spans="1:14" x14ac:dyDescent="0.25">
      <c r="A783" s="3">
        <v>44837</v>
      </c>
      <c r="B783" t="s">
        <v>24</v>
      </c>
      <c r="C783">
        <v>85</v>
      </c>
      <c r="D783">
        <v>18000</v>
      </c>
      <c r="E783">
        <v>2670</v>
      </c>
      <c r="F783">
        <v>15330</v>
      </c>
      <c r="G783">
        <v>15</v>
      </c>
      <c r="H783">
        <v>32768</v>
      </c>
      <c r="I783">
        <v>47</v>
      </c>
      <c r="J783" t="s">
        <v>1</v>
      </c>
      <c r="K783" t="s">
        <v>2</v>
      </c>
      <c r="L783" s="8">
        <f>InterspecUsage[[#This Row],[Used-MB]]-F773</f>
        <v>56</v>
      </c>
      <c r="M783">
        <f>InterspecUsage[[#This Row],[Max]]-InterspecUsage[[#This Row],[Used-MB]]</f>
        <v>17438</v>
      </c>
      <c r="N783" s="5">
        <f>IF($L783&gt;0,InterspecUsage[[#This Row],[Free-of-Max]]/InterspecUsage[[#This Row],[Usage-Delta-MB]],InterspecUsage[[#This Row],[Free-of-Max]])</f>
        <v>311.39285714285717</v>
      </c>
    </row>
    <row r="784" spans="1:14" x14ac:dyDescent="0.25">
      <c r="A784" s="3">
        <v>44837</v>
      </c>
      <c r="B784" t="s">
        <v>35</v>
      </c>
      <c r="C784">
        <v>96</v>
      </c>
      <c r="D784">
        <v>25000</v>
      </c>
      <c r="E784">
        <v>1063</v>
      </c>
      <c r="F784">
        <v>23937</v>
      </c>
      <c r="G784">
        <v>4</v>
      </c>
      <c r="H784">
        <v>32768</v>
      </c>
      <c r="I784">
        <v>73</v>
      </c>
      <c r="J784" t="s">
        <v>1</v>
      </c>
      <c r="K784" t="s">
        <v>2</v>
      </c>
      <c r="L784" s="8">
        <f>InterspecUsage[[#This Row],[Used-MB]]-F774</f>
        <v>64</v>
      </c>
      <c r="M784">
        <f>InterspecUsage[[#This Row],[Max]]-InterspecUsage[[#This Row],[Used-MB]]</f>
        <v>8831</v>
      </c>
      <c r="N784" s="5">
        <f>IF($L784&gt;0,InterspecUsage[[#This Row],[Free-of-Max]]/InterspecUsage[[#This Row],[Usage-Delta-MB]],InterspecUsage[[#This Row],[Free-of-Max]])</f>
        <v>137.984375</v>
      </c>
    </row>
    <row r="785" spans="1:14" x14ac:dyDescent="0.25">
      <c r="A785" s="3">
        <v>44837</v>
      </c>
      <c r="B785" t="s">
        <v>27</v>
      </c>
      <c r="C785">
        <v>93</v>
      </c>
      <c r="D785">
        <v>131072</v>
      </c>
      <c r="E785">
        <v>9234</v>
      </c>
      <c r="F785">
        <v>121838</v>
      </c>
      <c r="G785">
        <v>7</v>
      </c>
      <c r="H785">
        <v>131072</v>
      </c>
      <c r="I785">
        <v>93</v>
      </c>
      <c r="J785" t="s">
        <v>1</v>
      </c>
      <c r="K785" t="s">
        <v>2</v>
      </c>
      <c r="L785" s="8">
        <f>InterspecUsage[[#This Row],[Used-MB]]-F775</f>
        <v>321</v>
      </c>
      <c r="M785">
        <f>InterspecUsage[[#This Row],[Max]]-InterspecUsage[[#This Row],[Used-MB]]</f>
        <v>9234</v>
      </c>
      <c r="N785" s="5">
        <f>IF($L785&gt;0,InterspecUsage[[#This Row],[Free-of-Max]]/InterspecUsage[[#This Row],[Usage-Delta-MB]],InterspecUsage[[#This Row],[Free-of-Max]])</f>
        <v>28.766355140186917</v>
      </c>
    </row>
    <row r="786" spans="1:14" x14ac:dyDescent="0.25">
      <c r="A786" s="3">
        <v>44837</v>
      </c>
      <c r="B786" t="s">
        <v>7</v>
      </c>
      <c r="C786">
        <v>95</v>
      </c>
      <c r="D786">
        <v>1350</v>
      </c>
      <c r="E786">
        <v>65</v>
      </c>
      <c r="F786">
        <v>1285</v>
      </c>
      <c r="G786">
        <v>5</v>
      </c>
      <c r="H786">
        <v>32768</v>
      </c>
      <c r="I786">
        <v>4</v>
      </c>
      <c r="J786" t="s">
        <v>1</v>
      </c>
      <c r="K786" t="s">
        <v>2</v>
      </c>
      <c r="L786" s="8">
        <f>InterspecUsage[[#This Row],[Used-MB]]-F776</f>
        <v>7</v>
      </c>
      <c r="M786">
        <f>InterspecUsage[[#This Row],[Max]]-InterspecUsage[[#This Row],[Used-MB]]</f>
        <v>31483</v>
      </c>
      <c r="N786" s="5">
        <f>IF($L786&gt;0,InterspecUsage[[#This Row],[Free-of-Max]]/InterspecUsage[[#This Row],[Usage-Delta-MB]],InterspecUsage[[#This Row],[Free-of-Max]])</f>
        <v>4497.5714285714284</v>
      </c>
    </row>
    <row r="787" spans="1:14" x14ac:dyDescent="0.25">
      <c r="A787" s="3">
        <v>44837</v>
      </c>
      <c r="B787" t="s">
        <v>0</v>
      </c>
      <c r="C787">
        <v>99</v>
      </c>
      <c r="D787">
        <v>3560</v>
      </c>
      <c r="E787">
        <v>42</v>
      </c>
      <c r="F787">
        <v>3518</v>
      </c>
      <c r="G787">
        <v>1</v>
      </c>
      <c r="H787">
        <v>32768</v>
      </c>
      <c r="I787">
        <v>11</v>
      </c>
      <c r="J787" t="s">
        <v>1</v>
      </c>
      <c r="K787" t="s">
        <v>2</v>
      </c>
      <c r="L787" s="8">
        <f>InterspecUsage[[#This Row],[Used-MB]]-F777</f>
        <v>0</v>
      </c>
      <c r="M787">
        <f>InterspecUsage[[#This Row],[Max]]-InterspecUsage[[#This Row],[Used-MB]]</f>
        <v>29250</v>
      </c>
      <c r="N787" s="5">
        <f>IF($L787&gt;0,InterspecUsage[[#This Row],[Free-of-Max]]/InterspecUsage[[#This Row],[Usage-Delta-MB]],InterspecUsage[[#This Row],[Free-of-Max]])</f>
        <v>29250</v>
      </c>
    </row>
    <row r="788" spans="1:14" x14ac:dyDescent="0.25">
      <c r="A788" s="3">
        <v>44837</v>
      </c>
      <c r="B788" t="s">
        <v>30</v>
      </c>
      <c r="C788">
        <v>0</v>
      </c>
      <c r="D788">
        <v>32767</v>
      </c>
      <c r="E788">
        <v>32732</v>
      </c>
      <c r="F788">
        <v>35</v>
      </c>
      <c r="G788">
        <v>100</v>
      </c>
      <c r="H788">
        <v>32768</v>
      </c>
      <c r="I788">
        <v>0</v>
      </c>
      <c r="J788" t="s">
        <v>1</v>
      </c>
      <c r="K788" t="s">
        <v>13</v>
      </c>
      <c r="L788" s="8">
        <f>InterspecUsage[[#This Row],[Used-MB]]-F778</f>
        <v>-9</v>
      </c>
      <c r="M788">
        <f>InterspecUsage[[#This Row],[Max]]-InterspecUsage[[#This Row],[Used-MB]]</f>
        <v>32733</v>
      </c>
      <c r="N788" s="5">
        <f>IF($L788&gt;0,InterspecUsage[[#This Row],[Free-of-Max]]/InterspecUsage[[#This Row],[Usage-Delta-MB]],InterspecUsage[[#This Row],[Free-of-Max]])</f>
        <v>32733</v>
      </c>
    </row>
    <row r="789" spans="1:14" x14ac:dyDescent="0.25">
      <c r="A789" s="3">
        <v>44837</v>
      </c>
      <c r="B789" t="s">
        <v>28</v>
      </c>
      <c r="C789">
        <v>1</v>
      </c>
      <c r="D789">
        <v>21920</v>
      </c>
      <c r="E789">
        <v>21713</v>
      </c>
      <c r="F789">
        <v>207</v>
      </c>
      <c r="G789">
        <v>99</v>
      </c>
      <c r="H789">
        <v>32768</v>
      </c>
      <c r="I789">
        <v>1</v>
      </c>
      <c r="J789" t="s">
        <v>1</v>
      </c>
      <c r="K789" t="s">
        <v>10</v>
      </c>
      <c r="L789" s="8">
        <f>InterspecUsage[[#This Row],[Used-MB]]-F779</f>
        <v>-394</v>
      </c>
      <c r="M789">
        <f>InterspecUsage[[#This Row],[Max]]-InterspecUsage[[#This Row],[Used-MB]]</f>
        <v>32561</v>
      </c>
      <c r="N789" s="5">
        <f>IF($L789&gt;0,InterspecUsage[[#This Row],[Free-of-Max]]/InterspecUsage[[#This Row],[Usage-Delta-MB]],InterspecUsage[[#This Row],[Free-of-Max]])</f>
        <v>32561</v>
      </c>
    </row>
    <row r="790" spans="1:14" x14ac:dyDescent="0.25">
      <c r="A790" s="3">
        <v>44837</v>
      </c>
      <c r="B790" t="s">
        <v>25</v>
      </c>
      <c r="C790">
        <v>95</v>
      </c>
      <c r="D790">
        <v>11900</v>
      </c>
      <c r="E790">
        <v>582</v>
      </c>
      <c r="F790">
        <v>11318</v>
      </c>
      <c r="G790">
        <v>5</v>
      </c>
      <c r="H790">
        <v>32768</v>
      </c>
      <c r="I790">
        <v>35</v>
      </c>
      <c r="J790" t="s">
        <v>1</v>
      </c>
      <c r="K790" t="s">
        <v>2</v>
      </c>
      <c r="L790" s="8">
        <f>InterspecUsage[[#This Row],[Used-MB]]-F780</f>
        <v>289</v>
      </c>
      <c r="M790">
        <f>InterspecUsage[[#This Row],[Max]]-InterspecUsage[[#This Row],[Used-MB]]</f>
        <v>21450</v>
      </c>
      <c r="N790" s="5">
        <f>IF($L790&gt;0,InterspecUsage[[#This Row],[Free-of-Max]]/InterspecUsage[[#This Row],[Usage-Delta-MB]],InterspecUsage[[#This Row],[Free-of-Max]])</f>
        <v>74.221453287197235</v>
      </c>
    </row>
    <row r="791" spans="1:14" x14ac:dyDescent="0.25">
      <c r="A791" s="3">
        <v>44837</v>
      </c>
      <c r="B791" t="s">
        <v>29</v>
      </c>
      <c r="C791">
        <v>0</v>
      </c>
      <c r="D791">
        <v>500</v>
      </c>
      <c r="E791">
        <v>499</v>
      </c>
      <c r="F791">
        <v>1</v>
      </c>
      <c r="G791">
        <v>100</v>
      </c>
      <c r="H791">
        <v>500</v>
      </c>
      <c r="I791">
        <v>0</v>
      </c>
      <c r="J791" t="s">
        <v>1</v>
      </c>
      <c r="K791" t="s">
        <v>2</v>
      </c>
      <c r="L791" s="8">
        <f>InterspecUsage[[#This Row],[Used-MB]]-F781</f>
        <v>0</v>
      </c>
      <c r="M791">
        <f>InterspecUsage[[#This Row],[Max]]-InterspecUsage[[#This Row],[Used-MB]]</f>
        <v>499</v>
      </c>
      <c r="N791" s="5">
        <f>IF($L791&gt;0,InterspecUsage[[#This Row],[Free-of-Max]]/InterspecUsage[[#This Row],[Usage-Delta-MB]],InterspecUsage[[#This Row],[Free-of-Max]])</f>
        <v>499</v>
      </c>
    </row>
    <row r="792" spans="1:14" x14ac:dyDescent="0.25">
      <c r="A792" s="3">
        <v>44844</v>
      </c>
      <c r="B792" t="s">
        <v>26</v>
      </c>
      <c r="C792">
        <v>95</v>
      </c>
      <c r="D792">
        <v>19788</v>
      </c>
      <c r="E792">
        <v>1072</v>
      </c>
      <c r="F792">
        <v>18716</v>
      </c>
      <c r="G792">
        <v>5</v>
      </c>
      <c r="H792">
        <v>40960</v>
      </c>
      <c r="I792">
        <v>46</v>
      </c>
      <c r="J792" t="s">
        <v>1</v>
      </c>
      <c r="K792" t="s">
        <v>2</v>
      </c>
      <c r="L792" s="8">
        <f>InterspecUsage[[#This Row],[Used-MB]]-F782</f>
        <v>64</v>
      </c>
      <c r="M792">
        <f>InterspecUsage[[#This Row],[Max]]-InterspecUsage[[#This Row],[Used-MB]]</f>
        <v>22244</v>
      </c>
      <c r="N792" s="5">
        <f>IF($L792&gt;0,InterspecUsage[[#This Row],[Free-of-Max]]/InterspecUsage[[#This Row],[Usage-Delta-MB]],InterspecUsage[[#This Row],[Free-of-Max]])</f>
        <v>347.5625</v>
      </c>
    </row>
    <row r="793" spans="1:14" x14ac:dyDescent="0.25">
      <c r="A793" s="3">
        <v>44844</v>
      </c>
      <c r="B793" t="s">
        <v>24</v>
      </c>
      <c r="C793">
        <v>85</v>
      </c>
      <c r="D793">
        <v>18000</v>
      </c>
      <c r="E793">
        <v>2668</v>
      </c>
      <c r="F793">
        <v>15332</v>
      </c>
      <c r="G793">
        <v>15</v>
      </c>
      <c r="H793">
        <v>32768</v>
      </c>
      <c r="I793">
        <v>47</v>
      </c>
      <c r="J793" t="s">
        <v>1</v>
      </c>
      <c r="K793" t="s">
        <v>2</v>
      </c>
      <c r="L793" s="8">
        <f>InterspecUsage[[#This Row],[Used-MB]]-F783</f>
        <v>2</v>
      </c>
      <c r="M793">
        <f>InterspecUsage[[#This Row],[Max]]-InterspecUsage[[#This Row],[Used-MB]]</f>
        <v>17436</v>
      </c>
      <c r="N793" s="5">
        <f>IF($L793&gt;0,InterspecUsage[[#This Row],[Free-of-Max]]/InterspecUsage[[#This Row],[Usage-Delta-MB]],InterspecUsage[[#This Row],[Free-of-Max]])</f>
        <v>8718</v>
      </c>
    </row>
    <row r="794" spans="1:14" x14ac:dyDescent="0.25">
      <c r="A794" s="3">
        <v>44844</v>
      </c>
      <c r="B794" t="s">
        <v>35</v>
      </c>
      <c r="C794">
        <v>94</v>
      </c>
      <c r="D794">
        <v>25400</v>
      </c>
      <c r="E794">
        <v>1399</v>
      </c>
      <c r="F794">
        <v>24001</v>
      </c>
      <c r="G794">
        <v>6</v>
      </c>
      <c r="H794">
        <v>32768</v>
      </c>
      <c r="I794">
        <v>73</v>
      </c>
      <c r="J794" t="s">
        <v>1</v>
      </c>
      <c r="K794" t="s">
        <v>2</v>
      </c>
      <c r="L794" s="8">
        <f>InterspecUsage[[#This Row],[Used-MB]]-F784</f>
        <v>64</v>
      </c>
      <c r="M794">
        <f>InterspecUsage[[#This Row],[Max]]-InterspecUsage[[#This Row],[Used-MB]]</f>
        <v>8767</v>
      </c>
      <c r="N794" s="5">
        <f>IF($L794&gt;0,InterspecUsage[[#This Row],[Free-of-Max]]/InterspecUsage[[#This Row],[Usage-Delta-MB]],InterspecUsage[[#This Row],[Free-of-Max]])</f>
        <v>136.984375</v>
      </c>
    </row>
    <row r="795" spans="1:14" x14ac:dyDescent="0.25">
      <c r="A795" s="3">
        <v>44844</v>
      </c>
      <c r="B795" t="s">
        <v>27</v>
      </c>
      <c r="C795">
        <v>93</v>
      </c>
      <c r="D795">
        <v>131072</v>
      </c>
      <c r="E795">
        <v>8856</v>
      </c>
      <c r="F795">
        <v>122216</v>
      </c>
      <c r="G795">
        <v>7</v>
      </c>
      <c r="H795">
        <v>131072</v>
      </c>
      <c r="I795">
        <v>93</v>
      </c>
      <c r="J795" t="s">
        <v>1</v>
      </c>
      <c r="K795" t="s">
        <v>2</v>
      </c>
      <c r="L795" s="8">
        <f>InterspecUsage[[#This Row],[Used-MB]]-F785</f>
        <v>378</v>
      </c>
      <c r="M795">
        <f>InterspecUsage[[#This Row],[Max]]-InterspecUsage[[#This Row],[Used-MB]]</f>
        <v>8856</v>
      </c>
      <c r="N795" s="5">
        <f>IF($L795&gt;0,InterspecUsage[[#This Row],[Free-of-Max]]/InterspecUsage[[#This Row],[Usage-Delta-MB]],InterspecUsage[[#This Row],[Free-of-Max]])</f>
        <v>23.428571428571427</v>
      </c>
    </row>
    <row r="796" spans="1:14" x14ac:dyDescent="0.25">
      <c r="A796" s="3">
        <v>44844</v>
      </c>
      <c r="B796" t="s">
        <v>7</v>
      </c>
      <c r="C796">
        <v>96</v>
      </c>
      <c r="D796">
        <v>1350</v>
      </c>
      <c r="E796">
        <v>57</v>
      </c>
      <c r="F796">
        <v>1293</v>
      </c>
      <c r="G796">
        <v>4</v>
      </c>
      <c r="H796">
        <v>32768</v>
      </c>
      <c r="I796">
        <v>4</v>
      </c>
      <c r="J796" t="s">
        <v>1</v>
      </c>
      <c r="K796" t="s">
        <v>2</v>
      </c>
      <c r="L796" s="8">
        <f>InterspecUsage[[#This Row],[Used-MB]]-F786</f>
        <v>8</v>
      </c>
      <c r="M796">
        <f>InterspecUsage[[#This Row],[Max]]-InterspecUsage[[#This Row],[Used-MB]]</f>
        <v>31475</v>
      </c>
      <c r="N796" s="5">
        <f>IF($L796&gt;0,InterspecUsage[[#This Row],[Free-of-Max]]/InterspecUsage[[#This Row],[Usage-Delta-MB]],InterspecUsage[[#This Row],[Free-of-Max]])</f>
        <v>3934.375</v>
      </c>
    </row>
    <row r="797" spans="1:14" x14ac:dyDescent="0.25">
      <c r="A797" s="3">
        <v>44844</v>
      </c>
      <c r="B797" t="s">
        <v>0</v>
      </c>
      <c r="C797">
        <v>99</v>
      </c>
      <c r="D797">
        <v>3560</v>
      </c>
      <c r="E797">
        <v>42</v>
      </c>
      <c r="F797">
        <v>3518</v>
      </c>
      <c r="G797">
        <v>1</v>
      </c>
      <c r="H797">
        <v>32768</v>
      </c>
      <c r="I797">
        <v>11</v>
      </c>
      <c r="J797" t="s">
        <v>1</v>
      </c>
      <c r="K797" t="s">
        <v>2</v>
      </c>
      <c r="L797" s="8">
        <f>InterspecUsage[[#This Row],[Used-MB]]-F787</f>
        <v>0</v>
      </c>
      <c r="M797">
        <f>InterspecUsage[[#This Row],[Max]]-InterspecUsage[[#This Row],[Used-MB]]</f>
        <v>29250</v>
      </c>
      <c r="N797" s="5">
        <f>IF($L797&gt;0,InterspecUsage[[#This Row],[Free-of-Max]]/InterspecUsage[[#This Row],[Usage-Delta-MB]],InterspecUsage[[#This Row],[Free-of-Max]])</f>
        <v>29250</v>
      </c>
    </row>
    <row r="798" spans="1:14" x14ac:dyDescent="0.25">
      <c r="A798" s="3">
        <v>44844</v>
      </c>
      <c r="B798" t="s">
        <v>30</v>
      </c>
      <c r="C798">
        <v>0</v>
      </c>
      <c r="D798">
        <v>32767</v>
      </c>
      <c r="E798">
        <v>32733</v>
      </c>
      <c r="F798">
        <v>34</v>
      </c>
      <c r="G798">
        <v>100</v>
      </c>
      <c r="H798">
        <v>32768</v>
      </c>
      <c r="I798">
        <v>0</v>
      </c>
      <c r="J798" t="s">
        <v>1</v>
      </c>
      <c r="K798" t="s">
        <v>13</v>
      </c>
      <c r="L798" s="8">
        <f>InterspecUsage[[#This Row],[Used-MB]]-F788</f>
        <v>-1</v>
      </c>
      <c r="M798">
        <f>InterspecUsage[[#This Row],[Max]]-InterspecUsage[[#This Row],[Used-MB]]</f>
        <v>32734</v>
      </c>
      <c r="N798" s="5">
        <f>IF($L798&gt;0,InterspecUsage[[#This Row],[Free-of-Max]]/InterspecUsage[[#This Row],[Usage-Delta-MB]],InterspecUsage[[#This Row],[Free-of-Max]])</f>
        <v>32734</v>
      </c>
    </row>
    <row r="799" spans="1:14" x14ac:dyDescent="0.25">
      <c r="A799" s="3">
        <v>44844</v>
      </c>
      <c r="B799" t="s">
        <v>28</v>
      </c>
      <c r="C799">
        <v>1</v>
      </c>
      <c r="D799">
        <v>21920</v>
      </c>
      <c r="E799">
        <v>21732</v>
      </c>
      <c r="F799">
        <v>188</v>
      </c>
      <c r="G799">
        <v>99</v>
      </c>
      <c r="H799">
        <v>32768</v>
      </c>
      <c r="I799">
        <v>1</v>
      </c>
      <c r="J799" t="s">
        <v>1</v>
      </c>
      <c r="K799" t="s">
        <v>10</v>
      </c>
      <c r="L799" s="8">
        <f>InterspecUsage[[#This Row],[Used-MB]]-F789</f>
        <v>-19</v>
      </c>
      <c r="M799">
        <f>InterspecUsage[[#This Row],[Max]]-InterspecUsage[[#This Row],[Used-MB]]</f>
        <v>32580</v>
      </c>
      <c r="N799" s="5">
        <f>IF($L799&gt;0,InterspecUsage[[#This Row],[Free-of-Max]]/InterspecUsage[[#This Row],[Usage-Delta-MB]],InterspecUsage[[#This Row],[Free-of-Max]])</f>
        <v>32580</v>
      </c>
    </row>
    <row r="800" spans="1:14" x14ac:dyDescent="0.25">
      <c r="A800" s="3">
        <v>44844</v>
      </c>
      <c r="B800" t="s">
        <v>25</v>
      </c>
      <c r="C800">
        <v>95</v>
      </c>
      <c r="D800">
        <v>11900</v>
      </c>
      <c r="E800">
        <v>582</v>
      </c>
      <c r="F800">
        <v>11318</v>
      </c>
      <c r="G800">
        <v>5</v>
      </c>
      <c r="H800">
        <v>32768</v>
      </c>
      <c r="I800">
        <v>35</v>
      </c>
      <c r="J800" t="s">
        <v>1</v>
      </c>
      <c r="K800" t="s">
        <v>2</v>
      </c>
      <c r="L800" s="8">
        <f>InterspecUsage[[#This Row],[Used-MB]]-F790</f>
        <v>0</v>
      </c>
      <c r="M800">
        <f>InterspecUsage[[#This Row],[Max]]-InterspecUsage[[#This Row],[Used-MB]]</f>
        <v>21450</v>
      </c>
      <c r="N800" s="5">
        <f>IF($L800&gt;0,InterspecUsage[[#This Row],[Free-of-Max]]/InterspecUsage[[#This Row],[Usage-Delta-MB]],InterspecUsage[[#This Row],[Free-of-Max]])</f>
        <v>21450</v>
      </c>
    </row>
    <row r="801" spans="1:14" x14ac:dyDescent="0.25">
      <c r="A801" s="3">
        <v>44844</v>
      </c>
      <c r="B801" t="s">
        <v>29</v>
      </c>
      <c r="C801">
        <v>0</v>
      </c>
      <c r="D801">
        <v>500</v>
      </c>
      <c r="E801">
        <v>499</v>
      </c>
      <c r="F801">
        <v>1</v>
      </c>
      <c r="G801">
        <v>100</v>
      </c>
      <c r="H801">
        <v>500</v>
      </c>
      <c r="I801">
        <v>0</v>
      </c>
      <c r="J801" t="s">
        <v>1</v>
      </c>
      <c r="K801" t="s">
        <v>2</v>
      </c>
      <c r="L801" s="8">
        <f>InterspecUsage[[#This Row],[Used-MB]]-F791</f>
        <v>0</v>
      </c>
      <c r="M801">
        <f>InterspecUsage[[#This Row],[Max]]-InterspecUsage[[#This Row],[Used-MB]]</f>
        <v>499</v>
      </c>
      <c r="N801" s="5">
        <f>IF($L801&gt;0,InterspecUsage[[#This Row],[Free-of-Max]]/InterspecUsage[[#This Row],[Usage-Delta-MB]],InterspecUsage[[#This Row],[Free-of-Max]])</f>
        <v>499</v>
      </c>
    </row>
    <row r="802" spans="1:14" x14ac:dyDescent="0.25">
      <c r="A802" s="3">
        <v>44865</v>
      </c>
      <c r="B802" t="s">
        <v>26</v>
      </c>
      <c r="C802">
        <v>95</v>
      </c>
      <c r="D802">
        <v>19788</v>
      </c>
      <c r="E802">
        <v>944</v>
      </c>
      <c r="F802">
        <v>18844</v>
      </c>
      <c r="G802">
        <v>5</v>
      </c>
      <c r="H802">
        <v>40960</v>
      </c>
      <c r="I802">
        <v>46</v>
      </c>
      <c r="J802" t="s">
        <v>1</v>
      </c>
      <c r="K802" t="s">
        <v>2</v>
      </c>
      <c r="L802" s="8">
        <f>InterspecUsage[[#This Row],[Used-MB]]-F792</f>
        <v>128</v>
      </c>
      <c r="M802">
        <f>InterspecUsage[[#This Row],[Max]]-InterspecUsage[[#This Row],[Used-MB]]</f>
        <v>22116</v>
      </c>
      <c r="N802" s="5">
        <f>IF($L802&gt;0,InterspecUsage[[#This Row],[Free-of-Max]]/InterspecUsage[[#This Row],[Usage-Delta-MB]],InterspecUsage[[#This Row],[Free-of-Max]])</f>
        <v>172.78125</v>
      </c>
    </row>
    <row r="803" spans="1:14" x14ac:dyDescent="0.25">
      <c r="A803" s="3">
        <v>44865</v>
      </c>
      <c r="B803" t="s">
        <v>24</v>
      </c>
      <c r="C803">
        <v>86</v>
      </c>
      <c r="D803">
        <v>18000</v>
      </c>
      <c r="E803">
        <v>2513</v>
      </c>
      <c r="F803">
        <v>15487</v>
      </c>
      <c r="G803">
        <v>14</v>
      </c>
      <c r="H803">
        <v>32768</v>
      </c>
      <c r="I803">
        <v>47</v>
      </c>
      <c r="J803" t="s">
        <v>1</v>
      </c>
      <c r="K803" t="s">
        <v>2</v>
      </c>
      <c r="L803" s="8">
        <f>InterspecUsage[[#This Row],[Used-MB]]-F793</f>
        <v>155</v>
      </c>
      <c r="M803">
        <f>InterspecUsage[[#This Row],[Max]]-InterspecUsage[[#This Row],[Used-MB]]</f>
        <v>17281</v>
      </c>
      <c r="N803" s="5">
        <f>IF($L803&gt;0,InterspecUsage[[#This Row],[Free-of-Max]]/InterspecUsage[[#This Row],[Usage-Delta-MB]],InterspecUsage[[#This Row],[Free-of-Max]])</f>
        <v>111.49032258064516</v>
      </c>
    </row>
    <row r="804" spans="1:14" x14ac:dyDescent="0.25">
      <c r="A804" s="3">
        <v>44865</v>
      </c>
      <c r="B804" t="s">
        <v>35</v>
      </c>
      <c r="C804">
        <v>95</v>
      </c>
      <c r="D804">
        <v>25400</v>
      </c>
      <c r="E804">
        <v>1207</v>
      </c>
      <c r="F804">
        <v>24193</v>
      </c>
      <c r="G804">
        <v>5</v>
      </c>
      <c r="H804">
        <v>32768</v>
      </c>
      <c r="I804">
        <v>74</v>
      </c>
      <c r="J804" t="s">
        <v>1</v>
      </c>
      <c r="K804" t="s">
        <v>2</v>
      </c>
      <c r="L804" s="8">
        <f>InterspecUsage[[#This Row],[Used-MB]]-F794</f>
        <v>192</v>
      </c>
      <c r="M804">
        <f>InterspecUsage[[#This Row],[Max]]-InterspecUsage[[#This Row],[Used-MB]]</f>
        <v>8575</v>
      </c>
      <c r="N804" s="5">
        <f>IF($L804&gt;0,InterspecUsage[[#This Row],[Free-of-Max]]/InterspecUsage[[#This Row],[Usage-Delta-MB]],InterspecUsage[[#This Row],[Free-of-Max]])</f>
        <v>44.661458333333336</v>
      </c>
    </row>
    <row r="805" spans="1:14" x14ac:dyDescent="0.25">
      <c r="A805" s="3">
        <v>44865</v>
      </c>
      <c r="B805" t="s">
        <v>27</v>
      </c>
      <c r="C805">
        <v>94</v>
      </c>
      <c r="D805">
        <v>131072</v>
      </c>
      <c r="E805">
        <v>7970</v>
      </c>
      <c r="F805">
        <v>123102</v>
      </c>
      <c r="G805">
        <v>6</v>
      </c>
      <c r="H805">
        <v>131072</v>
      </c>
      <c r="I805">
        <v>94</v>
      </c>
      <c r="J805" t="s">
        <v>1</v>
      </c>
      <c r="K805" t="s">
        <v>2</v>
      </c>
      <c r="L805" s="8">
        <f>InterspecUsage[[#This Row],[Used-MB]]-F795</f>
        <v>886</v>
      </c>
      <c r="M805">
        <f>InterspecUsage[[#This Row],[Max]]-InterspecUsage[[#This Row],[Used-MB]]</f>
        <v>7970</v>
      </c>
      <c r="N805" s="5">
        <f>IF($L805&gt;0,InterspecUsage[[#This Row],[Free-of-Max]]/InterspecUsage[[#This Row],[Usage-Delta-MB]],InterspecUsage[[#This Row],[Free-of-Max]])</f>
        <v>8.9954853273137694</v>
      </c>
    </row>
    <row r="806" spans="1:14" x14ac:dyDescent="0.25">
      <c r="A806" s="3">
        <v>44865</v>
      </c>
      <c r="B806" t="s">
        <v>7</v>
      </c>
      <c r="C806">
        <v>96</v>
      </c>
      <c r="D806">
        <v>1370</v>
      </c>
      <c r="E806">
        <v>59</v>
      </c>
      <c r="F806">
        <v>1311</v>
      </c>
      <c r="G806">
        <v>4</v>
      </c>
      <c r="H806">
        <v>32768</v>
      </c>
      <c r="I806">
        <v>4</v>
      </c>
      <c r="J806" t="s">
        <v>1</v>
      </c>
      <c r="K806" t="s">
        <v>2</v>
      </c>
      <c r="L806" s="8">
        <f>InterspecUsage[[#This Row],[Used-MB]]-F796</f>
        <v>18</v>
      </c>
      <c r="M806">
        <f>InterspecUsage[[#This Row],[Max]]-InterspecUsage[[#This Row],[Used-MB]]</f>
        <v>31457</v>
      </c>
      <c r="N806" s="5">
        <f>IF($L806&gt;0,InterspecUsage[[#This Row],[Free-of-Max]]/InterspecUsage[[#This Row],[Usage-Delta-MB]],InterspecUsage[[#This Row],[Free-of-Max]])</f>
        <v>1747.6111111111111</v>
      </c>
    </row>
    <row r="807" spans="1:14" x14ac:dyDescent="0.25">
      <c r="A807" s="3">
        <v>44865</v>
      </c>
      <c r="B807" t="s">
        <v>0</v>
      </c>
      <c r="C807">
        <v>99</v>
      </c>
      <c r="D807">
        <v>3630</v>
      </c>
      <c r="E807">
        <v>47</v>
      </c>
      <c r="F807">
        <v>3583</v>
      </c>
      <c r="G807">
        <v>1</v>
      </c>
      <c r="H807">
        <v>32768</v>
      </c>
      <c r="I807">
        <v>11</v>
      </c>
      <c r="J807" t="s">
        <v>1</v>
      </c>
      <c r="K807" t="s">
        <v>2</v>
      </c>
      <c r="L807" s="8">
        <f>InterspecUsage[[#This Row],[Used-MB]]-F797</f>
        <v>65</v>
      </c>
      <c r="M807">
        <f>InterspecUsage[[#This Row],[Max]]-InterspecUsage[[#This Row],[Used-MB]]</f>
        <v>29185</v>
      </c>
      <c r="N807" s="5">
        <f>IF($L807&gt;0,InterspecUsage[[#This Row],[Free-of-Max]]/InterspecUsage[[#This Row],[Usage-Delta-MB]],InterspecUsage[[#This Row],[Free-of-Max]])</f>
        <v>449</v>
      </c>
    </row>
    <row r="808" spans="1:14" x14ac:dyDescent="0.25">
      <c r="A808" s="3">
        <v>44865</v>
      </c>
      <c r="B808" t="s">
        <v>30</v>
      </c>
      <c r="C808">
        <v>0</v>
      </c>
      <c r="D808">
        <v>32767</v>
      </c>
      <c r="E808">
        <v>32749</v>
      </c>
      <c r="F808">
        <v>18</v>
      </c>
      <c r="G808">
        <v>100</v>
      </c>
      <c r="H808">
        <v>32768</v>
      </c>
      <c r="I808">
        <v>0</v>
      </c>
      <c r="J808" t="s">
        <v>1</v>
      </c>
      <c r="K808" t="s">
        <v>13</v>
      </c>
      <c r="L808" s="8">
        <f>InterspecUsage[[#This Row],[Used-MB]]-F798</f>
        <v>-16</v>
      </c>
      <c r="M808">
        <f>InterspecUsage[[#This Row],[Max]]-InterspecUsage[[#This Row],[Used-MB]]</f>
        <v>32750</v>
      </c>
      <c r="N808" s="5">
        <f>IF($L808&gt;0,InterspecUsage[[#This Row],[Free-of-Max]]/InterspecUsage[[#This Row],[Usage-Delta-MB]],InterspecUsage[[#This Row],[Free-of-Max]])</f>
        <v>32750</v>
      </c>
    </row>
    <row r="809" spans="1:14" x14ac:dyDescent="0.25">
      <c r="A809" s="3">
        <v>44865</v>
      </c>
      <c r="B809" t="s">
        <v>28</v>
      </c>
      <c r="C809">
        <v>6</v>
      </c>
      <c r="D809">
        <v>21920</v>
      </c>
      <c r="E809">
        <v>20648</v>
      </c>
      <c r="F809">
        <v>1272</v>
      </c>
      <c r="G809">
        <v>94</v>
      </c>
      <c r="H809">
        <v>32768</v>
      </c>
      <c r="I809">
        <v>4</v>
      </c>
      <c r="J809" t="s">
        <v>1</v>
      </c>
      <c r="K809" t="s">
        <v>10</v>
      </c>
      <c r="L809" s="8">
        <f>InterspecUsage[[#This Row],[Used-MB]]-F799</f>
        <v>1084</v>
      </c>
      <c r="M809">
        <f>InterspecUsage[[#This Row],[Max]]-InterspecUsage[[#This Row],[Used-MB]]</f>
        <v>31496</v>
      </c>
      <c r="N809" s="5">
        <f>IF($L809&gt;0,InterspecUsage[[#This Row],[Free-of-Max]]/InterspecUsage[[#This Row],[Usage-Delta-MB]],InterspecUsage[[#This Row],[Free-of-Max]])</f>
        <v>29.055350553505534</v>
      </c>
    </row>
    <row r="810" spans="1:14" x14ac:dyDescent="0.25">
      <c r="A810" s="3">
        <v>44865</v>
      </c>
      <c r="B810" t="s">
        <v>25</v>
      </c>
      <c r="C810">
        <v>95</v>
      </c>
      <c r="D810">
        <v>12000</v>
      </c>
      <c r="E810">
        <v>602</v>
      </c>
      <c r="F810">
        <v>11399</v>
      </c>
      <c r="G810">
        <v>5</v>
      </c>
      <c r="H810">
        <v>32768</v>
      </c>
      <c r="I810">
        <v>35</v>
      </c>
      <c r="J810" t="s">
        <v>1</v>
      </c>
      <c r="K810" t="s">
        <v>2</v>
      </c>
      <c r="L810" s="8">
        <f>InterspecUsage[[#This Row],[Used-MB]]-F800</f>
        <v>81</v>
      </c>
      <c r="M810">
        <f>InterspecUsage[[#This Row],[Max]]-InterspecUsage[[#This Row],[Used-MB]]</f>
        <v>21369</v>
      </c>
      <c r="N810" s="5">
        <f>IF($L810&gt;0,InterspecUsage[[#This Row],[Free-of-Max]]/InterspecUsage[[#This Row],[Usage-Delta-MB]],InterspecUsage[[#This Row],[Free-of-Max]])</f>
        <v>263.81481481481484</v>
      </c>
    </row>
    <row r="811" spans="1:14" x14ac:dyDescent="0.25">
      <c r="A811" s="3">
        <v>44865</v>
      </c>
      <c r="B811" t="s">
        <v>29</v>
      </c>
      <c r="C811">
        <v>0</v>
      </c>
      <c r="D811">
        <v>500</v>
      </c>
      <c r="E811">
        <v>499</v>
      </c>
      <c r="F811">
        <v>1</v>
      </c>
      <c r="G811">
        <v>100</v>
      </c>
      <c r="H811">
        <v>500</v>
      </c>
      <c r="I811">
        <v>0</v>
      </c>
      <c r="J811" t="s">
        <v>1</v>
      </c>
      <c r="K811" t="s">
        <v>2</v>
      </c>
      <c r="L811" s="8">
        <f>InterspecUsage[[#This Row],[Used-MB]]-F801</f>
        <v>0</v>
      </c>
      <c r="M811">
        <f>InterspecUsage[[#This Row],[Max]]-InterspecUsage[[#This Row],[Used-MB]]</f>
        <v>499</v>
      </c>
      <c r="N811" s="5">
        <f>IF($L811&gt;0,InterspecUsage[[#This Row],[Free-of-Max]]/InterspecUsage[[#This Row],[Usage-Delta-MB]],InterspecUsage[[#This Row],[Free-of-Max]])</f>
        <v>499</v>
      </c>
    </row>
    <row r="812" spans="1:14" x14ac:dyDescent="0.25">
      <c r="A812" s="3">
        <v>44879</v>
      </c>
      <c r="B812" t="s">
        <v>26</v>
      </c>
      <c r="C812">
        <v>93</v>
      </c>
      <c r="D812">
        <v>20288</v>
      </c>
      <c r="E812">
        <v>1379</v>
      </c>
      <c r="F812">
        <v>18909</v>
      </c>
      <c r="G812">
        <v>7</v>
      </c>
      <c r="H812">
        <v>40960</v>
      </c>
      <c r="I812">
        <v>46</v>
      </c>
      <c r="J812" t="s">
        <v>1</v>
      </c>
      <c r="K812" t="s">
        <v>2</v>
      </c>
      <c r="L812" s="8">
        <f>InterspecUsage[[#This Row],[Used-MB]]-F802</f>
        <v>65</v>
      </c>
      <c r="M812">
        <f>InterspecUsage[[#This Row],[Max]]-InterspecUsage[[#This Row],[Used-MB]]</f>
        <v>22051</v>
      </c>
      <c r="N812" s="5">
        <f>IF($L812&gt;0,InterspecUsage[[#This Row],[Free-of-Max]]/InterspecUsage[[#This Row],[Usage-Delta-MB]],InterspecUsage[[#This Row],[Free-of-Max]])</f>
        <v>339.24615384615385</v>
      </c>
    </row>
    <row r="813" spans="1:14" x14ac:dyDescent="0.25">
      <c r="A813" s="3">
        <v>44879</v>
      </c>
      <c r="B813" t="s">
        <v>24</v>
      </c>
      <c r="C813">
        <v>87</v>
      </c>
      <c r="D813">
        <v>18000</v>
      </c>
      <c r="E813">
        <v>2363</v>
      </c>
      <c r="F813">
        <v>15637</v>
      </c>
      <c r="G813">
        <v>13</v>
      </c>
      <c r="H813">
        <v>32768</v>
      </c>
      <c r="I813">
        <v>48</v>
      </c>
      <c r="J813" t="s">
        <v>1</v>
      </c>
      <c r="K813" t="s">
        <v>2</v>
      </c>
      <c r="L813" s="8">
        <f>InterspecUsage[[#This Row],[Used-MB]]-F803</f>
        <v>150</v>
      </c>
      <c r="M813">
        <f>InterspecUsage[[#This Row],[Max]]-InterspecUsage[[#This Row],[Used-MB]]</f>
        <v>17131</v>
      </c>
      <c r="N813" s="5">
        <f>IF($L813&gt;0,InterspecUsage[[#This Row],[Free-of-Max]]/InterspecUsage[[#This Row],[Usage-Delta-MB]],InterspecUsage[[#This Row],[Free-of-Max]])</f>
        <v>114.20666666666666</v>
      </c>
    </row>
    <row r="814" spans="1:14" x14ac:dyDescent="0.25">
      <c r="A814" s="3">
        <v>44879</v>
      </c>
      <c r="B814" t="s">
        <v>35</v>
      </c>
      <c r="C814">
        <v>96</v>
      </c>
      <c r="D814">
        <v>25800</v>
      </c>
      <c r="E814">
        <v>1159</v>
      </c>
      <c r="F814">
        <v>24641</v>
      </c>
      <c r="G814">
        <v>4</v>
      </c>
      <c r="H814">
        <v>32768</v>
      </c>
      <c r="I814">
        <v>75</v>
      </c>
      <c r="J814" t="s">
        <v>1</v>
      </c>
      <c r="K814" t="s">
        <v>2</v>
      </c>
      <c r="L814" s="8">
        <f>InterspecUsage[[#This Row],[Used-MB]]-F804</f>
        <v>448</v>
      </c>
      <c r="M814">
        <f>InterspecUsage[[#This Row],[Max]]-InterspecUsage[[#This Row],[Used-MB]]</f>
        <v>8127</v>
      </c>
      <c r="N814" s="5">
        <f>IF($L814&gt;0,InterspecUsage[[#This Row],[Free-of-Max]]/InterspecUsage[[#This Row],[Usage-Delta-MB]],InterspecUsage[[#This Row],[Free-of-Max]])</f>
        <v>18.140625</v>
      </c>
    </row>
    <row r="815" spans="1:14" x14ac:dyDescent="0.25">
      <c r="A815" s="3">
        <v>44879</v>
      </c>
      <c r="B815" t="s">
        <v>27</v>
      </c>
      <c r="C815">
        <v>96</v>
      </c>
      <c r="D815">
        <v>131072</v>
      </c>
      <c r="E815">
        <v>5522</v>
      </c>
      <c r="F815">
        <v>125550</v>
      </c>
      <c r="G815">
        <v>4</v>
      </c>
      <c r="H815">
        <v>131072</v>
      </c>
      <c r="I815">
        <v>96</v>
      </c>
      <c r="J815" t="s">
        <v>1</v>
      </c>
      <c r="K815" t="s">
        <v>2</v>
      </c>
      <c r="L815" s="8">
        <f>InterspecUsage[[#This Row],[Used-MB]]-F805</f>
        <v>2448</v>
      </c>
      <c r="M815">
        <f>InterspecUsage[[#This Row],[Max]]-InterspecUsage[[#This Row],[Used-MB]]</f>
        <v>5522</v>
      </c>
      <c r="N815" s="5">
        <f>IF($L815&gt;0,InterspecUsage[[#This Row],[Free-of-Max]]/InterspecUsage[[#This Row],[Usage-Delta-MB]],InterspecUsage[[#This Row],[Free-of-Max]])</f>
        <v>2.255718954248366</v>
      </c>
    </row>
    <row r="816" spans="1:14" x14ac:dyDescent="0.25">
      <c r="A816" s="3">
        <v>44879</v>
      </c>
      <c r="B816" t="s">
        <v>7</v>
      </c>
      <c r="C816">
        <v>95</v>
      </c>
      <c r="D816">
        <v>1390</v>
      </c>
      <c r="E816">
        <v>70</v>
      </c>
      <c r="F816">
        <v>1320</v>
      </c>
      <c r="G816">
        <v>5</v>
      </c>
      <c r="H816">
        <v>32768</v>
      </c>
      <c r="I816">
        <v>4</v>
      </c>
      <c r="J816" t="s">
        <v>1</v>
      </c>
      <c r="K816" t="s">
        <v>2</v>
      </c>
      <c r="L816" s="8">
        <f>InterspecUsage[[#This Row],[Used-MB]]-F806</f>
        <v>9</v>
      </c>
      <c r="M816">
        <f>InterspecUsage[[#This Row],[Max]]-InterspecUsage[[#This Row],[Used-MB]]</f>
        <v>31448</v>
      </c>
      <c r="N816" s="5">
        <f>IF($L816&gt;0,InterspecUsage[[#This Row],[Free-of-Max]]/InterspecUsage[[#This Row],[Usage-Delta-MB]],InterspecUsage[[#This Row],[Free-of-Max]])</f>
        <v>3494.2222222222222</v>
      </c>
    </row>
    <row r="817" spans="1:14" x14ac:dyDescent="0.25">
      <c r="A817" s="3">
        <v>44879</v>
      </c>
      <c r="B817" t="s">
        <v>0</v>
      </c>
      <c r="C817">
        <v>99</v>
      </c>
      <c r="D817">
        <v>3630</v>
      </c>
      <c r="E817">
        <v>47</v>
      </c>
      <c r="F817">
        <v>3583</v>
      </c>
      <c r="G817">
        <v>1</v>
      </c>
      <c r="H817">
        <v>32768</v>
      </c>
      <c r="I817">
        <v>11</v>
      </c>
      <c r="J817" t="s">
        <v>1</v>
      </c>
      <c r="K817" t="s">
        <v>2</v>
      </c>
      <c r="L817" s="8">
        <f>InterspecUsage[[#This Row],[Used-MB]]-F807</f>
        <v>0</v>
      </c>
      <c r="M817">
        <f>InterspecUsage[[#This Row],[Max]]-InterspecUsage[[#This Row],[Used-MB]]</f>
        <v>29185</v>
      </c>
      <c r="N817" s="5">
        <f>IF($L817&gt;0,InterspecUsage[[#This Row],[Free-of-Max]]/InterspecUsage[[#This Row],[Usage-Delta-MB]],InterspecUsage[[#This Row],[Free-of-Max]])</f>
        <v>29185</v>
      </c>
    </row>
    <row r="818" spans="1:14" x14ac:dyDescent="0.25">
      <c r="A818" s="3">
        <v>44879</v>
      </c>
      <c r="B818" t="s">
        <v>30</v>
      </c>
      <c r="C818">
        <v>0</v>
      </c>
      <c r="D818">
        <v>32767</v>
      </c>
      <c r="E818">
        <v>32736</v>
      </c>
      <c r="F818">
        <v>31</v>
      </c>
      <c r="G818">
        <v>100</v>
      </c>
      <c r="H818">
        <v>32768</v>
      </c>
      <c r="I818">
        <v>0</v>
      </c>
      <c r="J818" t="s">
        <v>1</v>
      </c>
      <c r="K818" t="s">
        <v>13</v>
      </c>
      <c r="L818" s="8">
        <f>InterspecUsage[[#This Row],[Used-MB]]-F808</f>
        <v>13</v>
      </c>
      <c r="M818">
        <f>InterspecUsage[[#This Row],[Max]]-InterspecUsage[[#This Row],[Used-MB]]</f>
        <v>32737</v>
      </c>
      <c r="N818" s="5">
        <f>IF($L818&gt;0,InterspecUsage[[#This Row],[Free-of-Max]]/InterspecUsage[[#This Row],[Usage-Delta-MB]],InterspecUsage[[#This Row],[Free-of-Max]])</f>
        <v>2518.2307692307691</v>
      </c>
    </row>
    <row r="819" spans="1:14" x14ac:dyDescent="0.25">
      <c r="A819" s="3">
        <v>44879</v>
      </c>
      <c r="B819" t="s">
        <v>28</v>
      </c>
      <c r="C819">
        <v>3</v>
      </c>
      <c r="D819">
        <v>23320</v>
      </c>
      <c r="E819">
        <v>22651</v>
      </c>
      <c r="F819">
        <v>669</v>
      </c>
      <c r="G819">
        <v>97</v>
      </c>
      <c r="H819">
        <v>32768</v>
      </c>
      <c r="I819">
        <v>2</v>
      </c>
      <c r="J819" t="s">
        <v>1</v>
      </c>
      <c r="K819" t="s">
        <v>10</v>
      </c>
      <c r="L819" s="8">
        <f>InterspecUsage[[#This Row],[Used-MB]]-F809</f>
        <v>-603</v>
      </c>
      <c r="M819">
        <f>InterspecUsage[[#This Row],[Max]]-InterspecUsage[[#This Row],[Used-MB]]</f>
        <v>32099</v>
      </c>
      <c r="N819" s="5">
        <f>IF($L819&gt;0,InterspecUsage[[#This Row],[Free-of-Max]]/InterspecUsage[[#This Row],[Usage-Delta-MB]],InterspecUsage[[#This Row],[Free-of-Max]])</f>
        <v>32099</v>
      </c>
    </row>
    <row r="820" spans="1:14" x14ac:dyDescent="0.25">
      <c r="A820" s="3">
        <v>44879</v>
      </c>
      <c r="B820" t="s">
        <v>25</v>
      </c>
      <c r="C820">
        <v>95</v>
      </c>
      <c r="D820">
        <v>12000</v>
      </c>
      <c r="E820">
        <v>601</v>
      </c>
      <c r="F820">
        <v>11399</v>
      </c>
      <c r="G820">
        <v>5</v>
      </c>
      <c r="H820">
        <v>32768</v>
      </c>
      <c r="I820">
        <v>35</v>
      </c>
      <c r="J820" t="s">
        <v>1</v>
      </c>
      <c r="K820" t="s">
        <v>2</v>
      </c>
      <c r="L820" s="8">
        <f>InterspecUsage[[#This Row],[Used-MB]]-F810</f>
        <v>0</v>
      </c>
      <c r="M820">
        <f>InterspecUsage[[#This Row],[Max]]-InterspecUsage[[#This Row],[Used-MB]]</f>
        <v>21369</v>
      </c>
      <c r="N820" s="5">
        <f>IF($L820&gt;0,InterspecUsage[[#This Row],[Free-of-Max]]/InterspecUsage[[#This Row],[Usage-Delta-MB]],InterspecUsage[[#This Row],[Free-of-Max]])</f>
        <v>21369</v>
      </c>
    </row>
    <row r="821" spans="1:14" x14ac:dyDescent="0.25">
      <c r="A821" s="3">
        <v>44879</v>
      </c>
      <c r="B821" t="s">
        <v>29</v>
      </c>
      <c r="C821">
        <v>0</v>
      </c>
      <c r="D821">
        <v>500</v>
      </c>
      <c r="E821">
        <v>499</v>
      </c>
      <c r="F821">
        <v>1</v>
      </c>
      <c r="G821">
        <v>100</v>
      </c>
      <c r="H821">
        <v>500</v>
      </c>
      <c r="I821">
        <v>0</v>
      </c>
      <c r="J821" t="s">
        <v>1</v>
      </c>
      <c r="K821" t="s">
        <v>2</v>
      </c>
      <c r="L821" s="8">
        <f>InterspecUsage[[#This Row],[Used-MB]]-F811</f>
        <v>0</v>
      </c>
      <c r="M821">
        <f>InterspecUsage[[#This Row],[Max]]-InterspecUsage[[#This Row],[Used-MB]]</f>
        <v>499</v>
      </c>
      <c r="N821" s="5">
        <f>IF($L821&gt;0,InterspecUsage[[#This Row],[Free-of-Max]]/InterspecUsage[[#This Row],[Usage-Delta-MB]],InterspecUsage[[#This Row],[Free-of-Max]])</f>
        <v>499</v>
      </c>
    </row>
    <row r="822" spans="1:14" x14ac:dyDescent="0.25">
      <c r="A822" s="3">
        <v>44893</v>
      </c>
      <c r="B822" t="s">
        <v>26</v>
      </c>
      <c r="C822">
        <v>94</v>
      </c>
      <c r="D822">
        <v>20288</v>
      </c>
      <c r="E822">
        <v>1249</v>
      </c>
      <c r="F822">
        <v>19039</v>
      </c>
      <c r="G822">
        <v>6</v>
      </c>
      <c r="H822">
        <v>40960</v>
      </c>
      <c r="I822">
        <v>46</v>
      </c>
      <c r="J822" t="s">
        <v>1</v>
      </c>
      <c r="K822" t="s">
        <v>2</v>
      </c>
      <c r="L822" s="8">
        <f>InterspecUsage[[#This Row],[Used-MB]]-F812</f>
        <v>130</v>
      </c>
      <c r="M822">
        <f>InterspecUsage[[#This Row],[Max]]-InterspecUsage[[#This Row],[Used-MB]]</f>
        <v>21921</v>
      </c>
      <c r="N822" s="5">
        <f>IF($L822&gt;0,InterspecUsage[[#This Row],[Free-of-Max]]/InterspecUsage[[#This Row],[Usage-Delta-MB]],InterspecUsage[[#This Row],[Free-of-Max]])</f>
        <v>168.62307692307692</v>
      </c>
    </row>
    <row r="823" spans="1:14" x14ac:dyDescent="0.25">
      <c r="A823" s="3">
        <v>44893</v>
      </c>
      <c r="B823" t="s">
        <v>24</v>
      </c>
      <c r="C823">
        <v>87</v>
      </c>
      <c r="D823">
        <v>18000</v>
      </c>
      <c r="E823">
        <v>2270</v>
      </c>
      <c r="F823">
        <v>15730</v>
      </c>
      <c r="G823">
        <v>13</v>
      </c>
      <c r="H823">
        <v>32768</v>
      </c>
      <c r="I823">
        <v>48</v>
      </c>
      <c r="J823" t="s">
        <v>1</v>
      </c>
      <c r="K823" t="s">
        <v>2</v>
      </c>
      <c r="L823" s="8">
        <f>InterspecUsage[[#This Row],[Used-MB]]-F813</f>
        <v>93</v>
      </c>
      <c r="M823">
        <f>InterspecUsage[[#This Row],[Max]]-InterspecUsage[[#This Row],[Used-MB]]</f>
        <v>17038</v>
      </c>
      <c r="N823" s="5">
        <f>IF($L823&gt;0,InterspecUsage[[#This Row],[Free-of-Max]]/InterspecUsage[[#This Row],[Usage-Delta-MB]],InterspecUsage[[#This Row],[Free-of-Max]])</f>
        <v>183.20430107526883</v>
      </c>
    </row>
    <row r="824" spans="1:14" x14ac:dyDescent="0.25">
      <c r="A824" s="3">
        <v>44893</v>
      </c>
      <c r="B824" t="s">
        <v>35</v>
      </c>
      <c r="C824">
        <v>95</v>
      </c>
      <c r="D824">
        <v>26200</v>
      </c>
      <c r="E824">
        <v>1367</v>
      </c>
      <c r="F824">
        <v>24833</v>
      </c>
      <c r="G824">
        <v>5</v>
      </c>
      <c r="H824">
        <v>32768</v>
      </c>
      <c r="I824">
        <v>76</v>
      </c>
      <c r="J824" t="s">
        <v>1</v>
      </c>
      <c r="K824" t="s">
        <v>2</v>
      </c>
      <c r="L824" s="8">
        <f>InterspecUsage[[#This Row],[Used-MB]]-F814</f>
        <v>192</v>
      </c>
      <c r="M824">
        <f>InterspecUsage[[#This Row],[Max]]-InterspecUsage[[#This Row],[Used-MB]]</f>
        <v>7935</v>
      </c>
      <c r="N824" s="5">
        <f>IF($L824&gt;0,InterspecUsage[[#This Row],[Free-of-Max]]/InterspecUsage[[#This Row],[Usage-Delta-MB]],InterspecUsage[[#This Row],[Free-of-Max]])</f>
        <v>41.328125</v>
      </c>
    </row>
    <row r="825" spans="1:14" x14ac:dyDescent="0.25">
      <c r="A825" s="3">
        <v>44893</v>
      </c>
      <c r="B825" t="s">
        <v>27</v>
      </c>
      <c r="C825">
        <v>77</v>
      </c>
      <c r="D825">
        <v>163840</v>
      </c>
      <c r="E825">
        <v>37186</v>
      </c>
      <c r="F825">
        <v>126654</v>
      </c>
      <c r="G825">
        <v>23</v>
      </c>
      <c r="H825">
        <v>163840</v>
      </c>
      <c r="I825">
        <v>77</v>
      </c>
      <c r="J825" t="s">
        <v>1</v>
      </c>
      <c r="K825" t="s">
        <v>2</v>
      </c>
      <c r="L825" s="8">
        <f>InterspecUsage[[#This Row],[Used-MB]]-F815</f>
        <v>1104</v>
      </c>
      <c r="M825">
        <f>InterspecUsage[[#This Row],[Max]]-InterspecUsage[[#This Row],[Used-MB]]</f>
        <v>37186</v>
      </c>
      <c r="N825" s="5">
        <f>IF($L825&gt;0,InterspecUsage[[#This Row],[Free-of-Max]]/InterspecUsage[[#This Row],[Usage-Delta-MB]],InterspecUsage[[#This Row],[Free-of-Max]])</f>
        <v>33.68297101449275</v>
      </c>
    </row>
    <row r="826" spans="1:14" x14ac:dyDescent="0.25">
      <c r="A826" s="3">
        <v>44893</v>
      </c>
      <c r="B826" t="s">
        <v>7</v>
      </c>
      <c r="C826">
        <v>95</v>
      </c>
      <c r="D826">
        <v>1410</v>
      </c>
      <c r="E826">
        <v>73</v>
      </c>
      <c r="F826">
        <v>1337</v>
      </c>
      <c r="G826">
        <v>5</v>
      </c>
      <c r="H826">
        <v>32768</v>
      </c>
      <c r="I826">
        <v>4</v>
      </c>
      <c r="J826" t="s">
        <v>1</v>
      </c>
      <c r="K826" t="s">
        <v>2</v>
      </c>
      <c r="L826" s="8">
        <f>InterspecUsage[[#This Row],[Used-MB]]-F816</f>
        <v>17</v>
      </c>
      <c r="M826">
        <f>InterspecUsage[[#This Row],[Max]]-InterspecUsage[[#This Row],[Used-MB]]</f>
        <v>31431</v>
      </c>
      <c r="N826" s="5">
        <f>IF($L826&gt;0,InterspecUsage[[#This Row],[Free-of-Max]]/InterspecUsage[[#This Row],[Usage-Delta-MB]],InterspecUsage[[#This Row],[Free-of-Max]])</f>
        <v>1848.8823529411766</v>
      </c>
    </row>
    <row r="827" spans="1:14" x14ac:dyDescent="0.25">
      <c r="A827" s="3">
        <v>44893</v>
      </c>
      <c r="B827" t="s">
        <v>0</v>
      </c>
      <c r="C827">
        <v>99</v>
      </c>
      <c r="D827">
        <v>3700</v>
      </c>
      <c r="E827">
        <v>53</v>
      </c>
      <c r="F827">
        <v>3647</v>
      </c>
      <c r="G827">
        <v>1</v>
      </c>
      <c r="H827">
        <v>32768</v>
      </c>
      <c r="I827">
        <v>11</v>
      </c>
      <c r="J827" t="s">
        <v>1</v>
      </c>
      <c r="K827" t="s">
        <v>2</v>
      </c>
      <c r="L827" s="8">
        <f>InterspecUsage[[#This Row],[Used-MB]]-F817</f>
        <v>64</v>
      </c>
      <c r="M827">
        <f>InterspecUsage[[#This Row],[Max]]-InterspecUsage[[#This Row],[Used-MB]]</f>
        <v>29121</v>
      </c>
      <c r="N827" s="5">
        <f>IF($L827&gt;0,InterspecUsage[[#This Row],[Free-of-Max]]/InterspecUsage[[#This Row],[Usage-Delta-MB]],InterspecUsage[[#This Row],[Free-of-Max]])</f>
        <v>455.015625</v>
      </c>
    </row>
    <row r="828" spans="1:14" x14ac:dyDescent="0.25">
      <c r="A828" s="3">
        <v>44893</v>
      </c>
      <c r="B828" t="s">
        <v>30</v>
      </c>
      <c r="C828">
        <v>0</v>
      </c>
      <c r="D828">
        <v>32767</v>
      </c>
      <c r="E828">
        <v>32732</v>
      </c>
      <c r="F828">
        <v>35</v>
      </c>
      <c r="G828">
        <v>100</v>
      </c>
      <c r="H828">
        <v>32768</v>
      </c>
      <c r="I828">
        <v>0</v>
      </c>
      <c r="J828" t="s">
        <v>1</v>
      </c>
      <c r="K828" t="s">
        <v>13</v>
      </c>
      <c r="L828" s="8">
        <f>InterspecUsage[[#This Row],[Used-MB]]-F818</f>
        <v>4</v>
      </c>
      <c r="M828">
        <f>InterspecUsage[[#This Row],[Max]]-InterspecUsage[[#This Row],[Used-MB]]</f>
        <v>32733</v>
      </c>
      <c r="N828" s="5">
        <f>IF($L828&gt;0,InterspecUsage[[#This Row],[Free-of-Max]]/InterspecUsage[[#This Row],[Usage-Delta-MB]],InterspecUsage[[#This Row],[Free-of-Max]])</f>
        <v>8183.25</v>
      </c>
    </row>
    <row r="829" spans="1:14" x14ac:dyDescent="0.25">
      <c r="A829" s="3">
        <v>44893</v>
      </c>
      <c r="B829" t="s">
        <v>28</v>
      </c>
      <c r="C829">
        <v>1</v>
      </c>
      <c r="D829">
        <v>23320</v>
      </c>
      <c r="E829">
        <v>22984</v>
      </c>
      <c r="F829">
        <v>336</v>
      </c>
      <c r="G829">
        <v>99</v>
      </c>
      <c r="H829">
        <v>32768</v>
      </c>
      <c r="I829">
        <v>1</v>
      </c>
      <c r="J829" t="s">
        <v>1</v>
      </c>
      <c r="K829" t="s">
        <v>10</v>
      </c>
      <c r="L829" s="8">
        <f>InterspecUsage[[#This Row],[Used-MB]]-F819</f>
        <v>-333</v>
      </c>
      <c r="M829">
        <f>InterspecUsage[[#This Row],[Max]]-InterspecUsage[[#This Row],[Used-MB]]</f>
        <v>32432</v>
      </c>
      <c r="N829" s="5">
        <f>IF($L829&gt;0,InterspecUsage[[#This Row],[Free-of-Max]]/InterspecUsage[[#This Row],[Usage-Delta-MB]],InterspecUsage[[#This Row],[Free-of-Max]])</f>
        <v>32432</v>
      </c>
    </row>
    <row r="830" spans="1:14" x14ac:dyDescent="0.25">
      <c r="A830" s="3">
        <v>44893</v>
      </c>
      <c r="B830" t="s">
        <v>25</v>
      </c>
      <c r="C830">
        <v>95</v>
      </c>
      <c r="D830">
        <v>12250</v>
      </c>
      <c r="E830">
        <v>618</v>
      </c>
      <c r="F830">
        <v>11632</v>
      </c>
      <c r="G830">
        <v>5</v>
      </c>
      <c r="H830">
        <v>32768</v>
      </c>
      <c r="I830">
        <v>35</v>
      </c>
      <c r="J830" t="s">
        <v>1</v>
      </c>
      <c r="K830" t="s">
        <v>2</v>
      </c>
      <c r="L830" s="8">
        <f>InterspecUsage[[#This Row],[Used-MB]]-F820</f>
        <v>233</v>
      </c>
      <c r="M830">
        <f>InterspecUsage[[#This Row],[Max]]-InterspecUsage[[#This Row],[Used-MB]]</f>
        <v>21136</v>
      </c>
      <c r="N830" s="5">
        <f>IF($L830&gt;0,InterspecUsage[[#This Row],[Free-of-Max]]/InterspecUsage[[#This Row],[Usage-Delta-MB]],InterspecUsage[[#This Row],[Free-of-Max]])</f>
        <v>90.712446351931334</v>
      </c>
    </row>
    <row r="831" spans="1:14" x14ac:dyDescent="0.25">
      <c r="A831" s="3">
        <v>44893</v>
      </c>
      <c r="B831" t="s">
        <v>29</v>
      </c>
      <c r="C831">
        <v>0</v>
      </c>
      <c r="D831">
        <v>500</v>
      </c>
      <c r="E831">
        <v>499</v>
      </c>
      <c r="F831">
        <v>1</v>
      </c>
      <c r="G831">
        <v>100</v>
      </c>
      <c r="H831">
        <v>500</v>
      </c>
      <c r="I831">
        <v>0</v>
      </c>
      <c r="J831" t="s">
        <v>1</v>
      </c>
      <c r="K831" t="s">
        <v>2</v>
      </c>
      <c r="L831" s="8">
        <f>InterspecUsage[[#This Row],[Used-MB]]-F821</f>
        <v>0</v>
      </c>
      <c r="M831">
        <f>InterspecUsage[[#This Row],[Max]]-InterspecUsage[[#This Row],[Used-MB]]</f>
        <v>499</v>
      </c>
      <c r="N831" s="5">
        <f>IF($L831&gt;0,InterspecUsage[[#This Row],[Free-of-Max]]/InterspecUsage[[#This Row],[Usage-Delta-MB]],InterspecUsage[[#This Row],[Free-of-Max]])</f>
        <v>499</v>
      </c>
    </row>
    <row r="832" spans="1:14" x14ac:dyDescent="0.25">
      <c r="A832" s="3">
        <v>44942</v>
      </c>
      <c r="B832" s="15" t="s">
        <v>26</v>
      </c>
      <c r="C832" s="16">
        <v>95</v>
      </c>
      <c r="D832" s="16">
        <v>20288</v>
      </c>
      <c r="E832" s="16">
        <v>993</v>
      </c>
      <c r="F832" s="16">
        <v>19295</v>
      </c>
      <c r="G832" s="16">
        <v>5</v>
      </c>
      <c r="H832" s="16">
        <v>40960</v>
      </c>
      <c r="I832" s="16">
        <v>47</v>
      </c>
      <c r="J832" s="15" t="s">
        <v>1</v>
      </c>
      <c r="K832" s="15" t="s">
        <v>2</v>
      </c>
      <c r="L832" s="8">
        <f>InterspecUsage[[#This Row],[Used-MB]]-F822</f>
        <v>256</v>
      </c>
      <c r="M832">
        <f>InterspecUsage[[#This Row],[Max]]-InterspecUsage[[#This Row],[Used-MB]]</f>
        <v>21665</v>
      </c>
      <c r="N832" s="5">
        <f>IF($L832&gt;0,InterspecUsage[[#This Row],[Free-of-Max]]/InterspecUsage[[#This Row],[Usage-Delta-MB]],InterspecUsage[[#This Row],[Free-of-Max]])</f>
        <v>84.62890625</v>
      </c>
    </row>
    <row r="833" spans="1:14" x14ac:dyDescent="0.25">
      <c r="A833" s="3">
        <v>44942</v>
      </c>
      <c r="B833" s="15" t="s">
        <v>24</v>
      </c>
      <c r="C833" s="16">
        <v>90</v>
      </c>
      <c r="D833" s="16">
        <v>18000</v>
      </c>
      <c r="E833" s="16">
        <v>1764</v>
      </c>
      <c r="F833" s="16">
        <v>16236</v>
      </c>
      <c r="G833" s="16">
        <v>10</v>
      </c>
      <c r="H833" s="16">
        <v>32768</v>
      </c>
      <c r="I833" s="16">
        <v>50</v>
      </c>
      <c r="J833" s="15" t="s">
        <v>1</v>
      </c>
      <c r="K833" s="15" t="s">
        <v>2</v>
      </c>
      <c r="L833" s="8">
        <f>InterspecUsage[[#This Row],[Used-MB]]-F823</f>
        <v>506</v>
      </c>
      <c r="M833">
        <f>InterspecUsage[[#This Row],[Max]]-InterspecUsage[[#This Row],[Used-MB]]</f>
        <v>16532</v>
      </c>
      <c r="N833" s="5">
        <f>IF($L833&gt;0,InterspecUsage[[#This Row],[Free-of-Max]]/InterspecUsage[[#This Row],[Usage-Delta-MB]],InterspecUsage[[#This Row],[Free-of-Max]])</f>
        <v>32.671936758893281</v>
      </c>
    </row>
    <row r="834" spans="1:14" x14ac:dyDescent="0.25">
      <c r="A834" s="3">
        <v>44942</v>
      </c>
      <c r="B834" s="15" t="s">
        <v>35</v>
      </c>
      <c r="C834" s="16">
        <v>96</v>
      </c>
      <c r="D834" s="16">
        <v>26200</v>
      </c>
      <c r="E834" s="16">
        <v>1174</v>
      </c>
      <c r="F834" s="16">
        <v>25026</v>
      </c>
      <c r="G834" s="16">
        <v>4</v>
      </c>
      <c r="H834" s="16">
        <v>32768</v>
      </c>
      <c r="I834" s="16">
        <v>76</v>
      </c>
      <c r="J834" s="15" t="s">
        <v>1</v>
      </c>
      <c r="K834" s="15" t="s">
        <v>2</v>
      </c>
      <c r="L834" s="8">
        <f>InterspecUsage[[#This Row],[Used-MB]]-F824</f>
        <v>193</v>
      </c>
      <c r="M834">
        <f>InterspecUsage[[#This Row],[Max]]-InterspecUsage[[#This Row],[Used-MB]]</f>
        <v>7742</v>
      </c>
      <c r="N834" s="5">
        <f>IF($L834&gt;0,InterspecUsage[[#This Row],[Free-of-Max]]/InterspecUsage[[#This Row],[Usage-Delta-MB]],InterspecUsage[[#This Row],[Free-of-Max]])</f>
        <v>40.1139896373057</v>
      </c>
    </row>
    <row r="835" spans="1:14" x14ac:dyDescent="0.25">
      <c r="A835" s="3">
        <v>44942</v>
      </c>
      <c r="B835" s="15" t="s">
        <v>27</v>
      </c>
      <c r="C835" s="16">
        <v>78</v>
      </c>
      <c r="D835" s="16">
        <v>163840</v>
      </c>
      <c r="E835" s="16">
        <v>35656</v>
      </c>
      <c r="F835" s="16">
        <v>128184</v>
      </c>
      <c r="G835" s="16">
        <v>22</v>
      </c>
      <c r="H835" s="16">
        <v>163840</v>
      </c>
      <c r="I835" s="16">
        <v>78</v>
      </c>
      <c r="J835" s="15" t="s">
        <v>1</v>
      </c>
      <c r="K835" s="15" t="s">
        <v>2</v>
      </c>
      <c r="L835" s="8">
        <f>InterspecUsage[[#This Row],[Used-MB]]-F825</f>
        <v>1530</v>
      </c>
      <c r="M835">
        <f>InterspecUsage[[#This Row],[Max]]-InterspecUsage[[#This Row],[Used-MB]]</f>
        <v>35656</v>
      </c>
      <c r="N835" s="5">
        <f>IF($L835&gt;0,InterspecUsage[[#This Row],[Free-of-Max]]/InterspecUsage[[#This Row],[Usage-Delta-MB]],InterspecUsage[[#This Row],[Free-of-Max]])</f>
        <v>23.304575163398692</v>
      </c>
    </row>
    <row r="836" spans="1:14" x14ac:dyDescent="0.25">
      <c r="A836" s="3">
        <v>44942</v>
      </c>
      <c r="B836" s="15" t="s">
        <v>7</v>
      </c>
      <c r="C836" s="16">
        <v>95</v>
      </c>
      <c r="D836" s="16">
        <v>1450</v>
      </c>
      <c r="E836" s="16">
        <v>75</v>
      </c>
      <c r="F836" s="16">
        <v>1375</v>
      </c>
      <c r="G836" s="16">
        <v>5</v>
      </c>
      <c r="H836" s="16">
        <v>32768</v>
      </c>
      <c r="I836" s="16">
        <v>4</v>
      </c>
      <c r="J836" s="15" t="s">
        <v>1</v>
      </c>
      <c r="K836" s="15" t="s">
        <v>2</v>
      </c>
      <c r="L836" s="8">
        <f>InterspecUsage[[#This Row],[Used-MB]]-F826</f>
        <v>38</v>
      </c>
      <c r="M836">
        <f>InterspecUsage[[#This Row],[Max]]-InterspecUsage[[#This Row],[Used-MB]]</f>
        <v>31393</v>
      </c>
      <c r="N836" s="5">
        <f>IF($L836&gt;0,InterspecUsage[[#This Row],[Free-of-Max]]/InterspecUsage[[#This Row],[Usage-Delta-MB]],InterspecUsage[[#This Row],[Free-of-Max]])</f>
        <v>826.13157894736844</v>
      </c>
    </row>
    <row r="837" spans="1:14" x14ac:dyDescent="0.25">
      <c r="A837" s="3">
        <v>44942</v>
      </c>
      <c r="B837" s="15" t="s">
        <v>0</v>
      </c>
      <c r="C837" s="16">
        <v>98</v>
      </c>
      <c r="D837" s="16">
        <v>3770</v>
      </c>
      <c r="E837" s="16">
        <v>59</v>
      </c>
      <c r="F837" s="16">
        <v>3711</v>
      </c>
      <c r="G837" s="16">
        <v>2</v>
      </c>
      <c r="H837" s="16">
        <v>32768</v>
      </c>
      <c r="I837" s="16">
        <v>11</v>
      </c>
      <c r="J837" s="15" t="s">
        <v>1</v>
      </c>
      <c r="K837" s="15" t="s">
        <v>2</v>
      </c>
      <c r="L837" s="8">
        <f>InterspecUsage[[#This Row],[Used-MB]]-F827</f>
        <v>64</v>
      </c>
      <c r="M837">
        <f>InterspecUsage[[#This Row],[Max]]-InterspecUsage[[#This Row],[Used-MB]]</f>
        <v>29057</v>
      </c>
      <c r="N837" s="5">
        <f>IF($L837&gt;0,InterspecUsage[[#This Row],[Free-of-Max]]/InterspecUsage[[#This Row],[Usage-Delta-MB]],InterspecUsage[[#This Row],[Free-of-Max]])</f>
        <v>454.015625</v>
      </c>
    </row>
    <row r="838" spans="1:14" x14ac:dyDescent="0.25">
      <c r="A838" s="3">
        <v>44942</v>
      </c>
      <c r="B838" s="15" t="s">
        <v>30</v>
      </c>
      <c r="C838" s="16">
        <v>0</v>
      </c>
      <c r="D838" s="16">
        <v>32767</v>
      </c>
      <c r="E838" s="16">
        <v>32735</v>
      </c>
      <c r="F838" s="16">
        <v>32</v>
      </c>
      <c r="G838" s="16">
        <v>100</v>
      </c>
      <c r="H838" s="16">
        <v>32768</v>
      </c>
      <c r="I838" s="16">
        <v>0</v>
      </c>
      <c r="J838" s="15" t="s">
        <v>1</v>
      </c>
      <c r="K838" s="15" t="s">
        <v>13</v>
      </c>
      <c r="L838" s="8">
        <f>InterspecUsage[[#This Row],[Used-MB]]-F828</f>
        <v>-3</v>
      </c>
      <c r="M838">
        <f>InterspecUsage[[#This Row],[Max]]-InterspecUsage[[#This Row],[Used-MB]]</f>
        <v>32736</v>
      </c>
      <c r="N838" s="5">
        <f>IF($L838&gt;0,InterspecUsage[[#This Row],[Free-of-Max]]/InterspecUsage[[#This Row],[Usage-Delta-MB]],InterspecUsage[[#This Row],[Free-of-Max]])</f>
        <v>32736</v>
      </c>
    </row>
    <row r="839" spans="1:14" x14ac:dyDescent="0.25">
      <c r="A839" s="3">
        <v>44942</v>
      </c>
      <c r="B839" s="15" t="s">
        <v>28</v>
      </c>
      <c r="C839" s="16">
        <v>0</v>
      </c>
      <c r="D839" s="16">
        <v>23320</v>
      </c>
      <c r="E839" s="16">
        <v>23240</v>
      </c>
      <c r="F839" s="16">
        <v>80</v>
      </c>
      <c r="G839" s="16">
        <v>100</v>
      </c>
      <c r="H839" s="16">
        <v>32768</v>
      </c>
      <c r="I839" s="16">
        <v>0</v>
      </c>
      <c r="J839" s="15" t="s">
        <v>1</v>
      </c>
      <c r="K839" s="15" t="s">
        <v>10</v>
      </c>
      <c r="L839" s="8">
        <f>InterspecUsage[[#This Row],[Used-MB]]-F829</f>
        <v>-256</v>
      </c>
      <c r="M839">
        <f>InterspecUsage[[#This Row],[Max]]-InterspecUsage[[#This Row],[Used-MB]]</f>
        <v>32688</v>
      </c>
      <c r="N839" s="5">
        <f>IF($L839&gt;0,InterspecUsage[[#This Row],[Free-of-Max]]/InterspecUsage[[#This Row],[Usage-Delta-MB]],InterspecUsage[[#This Row],[Free-of-Max]])</f>
        <v>32688</v>
      </c>
    </row>
    <row r="840" spans="1:14" x14ac:dyDescent="0.25">
      <c r="A840" s="3">
        <v>44942</v>
      </c>
      <c r="B840" s="15" t="s">
        <v>25</v>
      </c>
      <c r="C840" s="16">
        <v>95</v>
      </c>
      <c r="D840" s="16">
        <v>12250</v>
      </c>
      <c r="E840" s="16">
        <v>612</v>
      </c>
      <c r="F840" s="16">
        <v>11638</v>
      </c>
      <c r="G840" s="16">
        <v>5</v>
      </c>
      <c r="H840" s="16">
        <v>32768</v>
      </c>
      <c r="I840" s="16">
        <v>36</v>
      </c>
      <c r="J840" s="15" t="s">
        <v>1</v>
      </c>
      <c r="K840" s="15" t="s">
        <v>2</v>
      </c>
      <c r="L840" s="8">
        <f>InterspecUsage[[#This Row],[Used-MB]]-F830</f>
        <v>6</v>
      </c>
      <c r="M840">
        <f>InterspecUsage[[#This Row],[Max]]-InterspecUsage[[#This Row],[Used-MB]]</f>
        <v>21130</v>
      </c>
      <c r="N840" s="5">
        <f>IF($L840&gt;0,InterspecUsage[[#This Row],[Free-of-Max]]/InterspecUsage[[#This Row],[Usage-Delta-MB]],InterspecUsage[[#This Row],[Free-of-Max]])</f>
        <v>3521.6666666666665</v>
      </c>
    </row>
    <row r="841" spans="1:14" ht="15.75" thickBot="1" x14ac:dyDescent="0.3">
      <c r="A841" s="3">
        <v>44942</v>
      </c>
      <c r="B841" s="15" t="s">
        <v>29</v>
      </c>
      <c r="C841" s="16">
        <v>0</v>
      </c>
      <c r="D841" s="16">
        <v>500</v>
      </c>
      <c r="E841" s="16">
        <v>499</v>
      </c>
      <c r="F841" s="16">
        <v>1</v>
      </c>
      <c r="G841" s="16">
        <v>100</v>
      </c>
      <c r="H841" s="16">
        <v>500</v>
      </c>
      <c r="I841" s="16">
        <v>0</v>
      </c>
      <c r="J841" s="15" t="s">
        <v>1</v>
      </c>
      <c r="K841" s="15" t="s">
        <v>2</v>
      </c>
      <c r="L841" s="8">
        <f>InterspecUsage[[#This Row],[Used-MB]]-F831</f>
        <v>0</v>
      </c>
      <c r="M841">
        <f>InterspecUsage[[#This Row],[Max]]-InterspecUsage[[#This Row],[Used-MB]]</f>
        <v>499</v>
      </c>
      <c r="N841" s="5">
        <f>IF($L841&gt;0,InterspecUsage[[#This Row],[Free-of-Max]]/InterspecUsage[[#This Row],[Usage-Delta-MB]],InterspecUsage[[#This Row],[Free-of-Max]])</f>
        <v>499</v>
      </c>
    </row>
    <row r="842" spans="1:14" ht="15.75" thickTop="1" x14ac:dyDescent="0.25">
      <c r="A842" s="17">
        <v>45131</v>
      </c>
      <c r="B842" s="18" t="s">
        <v>26</v>
      </c>
      <c r="C842" s="19">
        <v>94</v>
      </c>
      <c r="D842" s="19">
        <v>22288</v>
      </c>
      <c r="E842" s="19">
        <v>1397</v>
      </c>
      <c r="F842" s="19">
        <v>20891</v>
      </c>
      <c r="G842" s="19">
        <v>6</v>
      </c>
      <c r="H842" s="19">
        <v>40960</v>
      </c>
      <c r="I842" s="19">
        <v>51</v>
      </c>
      <c r="J842" s="18" t="s">
        <v>1</v>
      </c>
      <c r="K842" s="18" t="s">
        <v>2</v>
      </c>
      <c r="L842" s="8">
        <f>InterspecUsage[[#This Row],[Used-MB]]-F832</f>
        <v>1596</v>
      </c>
      <c r="M842" s="20">
        <f>InterspecUsage[[#This Row],[Max]]-InterspecUsage[[#This Row],[Used-MB]]</f>
        <v>20069</v>
      </c>
      <c r="N842" s="21">
        <f>IF($L842&gt;0,InterspecUsage[[#This Row],[Free-of-Max]]/InterspecUsage[[#This Row],[Usage-Delta-MB]],InterspecUsage[[#This Row],[Free-of-Max]])</f>
        <v>12.574561403508772</v>
      </c>
    </row>
    <row r="843" spans="1:14" x14ac:dyDescent="0.25">
      <c r="A843" s="3">
        <v>45131</v>
      </c>
      <c r="B843" s="15" t="s">
        <v>24</v>
      </c>
      <c r="C843" s="16">
        <v>89</v>
      </c>
      <c r="D843" s="16">
        <v>18400</v>
      </c>
      <c r="E843" s="16">
        <v>2052</v>
      </c>
      <c r="F843" s="16">
        <v>16348</v>
      </c>
      <c r="G843" s="16">
        <v>11</v>
      </c>
      <c r="H843" s="16">
        <v>32768</v>
      </c>
      <c r="I843" s="16">
        <v>50</v>
      </c>
      <c r="J843" s="15" t="s">
        <v>1</v>
      </c>
      <c r="K843" s="15" t="s">
        <v>2</v>
      </c>
      <c r="L843" s="8">
        <f>InterspecUsage[[#This Row],[Used-MB]]-F833</f>
        <v>112</v>
      </c>
      <c r="M843">
        <f>InterspecUsage[[#This Row],[Max]]-InterspecUsage[[#This Row],[Used-MB]]</f>
        <v>16420</v>
      </c>
      <c r="N843" s="5">
        <f>IF($L843&gt;0,InterspecUsage[[#This Row],[Free-of-Max]]/InterspecUsage[[#This Row],[Usage-Delta-MB]],InterspecUsage[[#This Row],[Free-of-Max]])</f>
        <v>146.60714285714286</v>
      </c>
    </row>
    <row r="844" spans="1:14" x14ac:dyDescent="0.25">
      <c r="A844" s="3">
        <v>45131</v>
      </c>
      <c r="B844" s="15" t="s">
        <v>35</v>
      </c>
      <c r="C844" s="16">
        <v>96</v>
      </c>
      <c r="D844" s="16">
        <v>27800</v>
      </c>
      <c r="E844" s="16">
        <v>1172</v>
      </c>
      <c r="F844" s="16">
        <v>26628</v>
      </c>
      <c r="G844" s="16">
        <v>4</v>
      </c>
      <c r="H844" s="16">
        <v>32768</v>
      </c>
      <c r="I844" s="16">
        <v>81</v>
      </c>
      <c r="J844" s="15" t="s">
        <v>1</v>
      </c>
      <c r="K844" s="15" t="s">
        <v>2</v>
      </c>
      <c r="L844" s="8">
        <f>InterspecUsage[[#This Row],[Used-MB]]-F834</f>
        <v>1602</v>
      </c>
      <c r="M844">
        <f>InterspecUsage[[#This Row],[Max]]-InterspecUsage[[#This Row],[Used-MB]]</f>
        <v>6140</v>
      </c>
      <c r="N844" s="5">
        <f>IF($L844&gt;0,InterspecUsage[[#This Row],[Free-of-Max]]/InterspecUsage[[#This Row],[Usage-Delta-MB]],InterspecUsage[[#This Row],[Free-of-Max]])</f>
        <v>3.83270911360799</v>
      </c>
    </row>
    <row r="845" spans="1:14" x14ac:dyDescent="0.25">
      <c r="A845" s="3">
        <v>45131</v>
      </c>
      <c r="B845" s="15" t="s">
        <v>27</v>
      </c>
      <c r="C845" s="16">
        <v>83</v>
      </c>
      <c r="D845" s="16">
        <v>163840</v>
      </c>
      <c r="E845" s="16">
        <v>27233</v>
      </c>
      <c r="F845" s="16">
        <v>136607</v>
      </c>
      <c r="G845" s="16">
        <v>17</v>
      </c>
      <c r="H845" s="16">
        <v>163840</v>
      </c>
      <c r="I845" s="16">
        <v>83</v>
      </c>
      <c r="J845" s="15" t="s">
        <v>1</v>
      </c>
      <c r="K845" s="15" t="s">
        <v>2</v>
      </c>
      <c r="L845" s="8">
        <f>InterspecUsage[[#This Row],[Used-MB]]-F835</f>
        <v>8423</v>
      </c>
      <c r="M845">
        <f>InterspecUsage[[#This Row],[Max]]-InterspecUsage[[#This Row],[Used-MB]]</f>
        <v>27233</v>
      </c>
      <c r="N845" s="5">
        <f>IF($L845&gt;0,InterspecUsage[[#This Row],[Free-of-Max]]/InterspecUsage[[#This Row],[Usage-Delta-MB]],InterspecUsage[[#This Row],[Free-of-Max]])</f>
        <v>3.233171079187938</v>
      </c>
    </row>
    <row r="846" spans="1:14" x14ac:dyDescent="0.25">
      <c r="A846" s="3">
        <v>45131</v>
      </c>
      <c r="B846" s="15" t="s">
        <v>7</v>
      </c>
      <c r="C846" s="16">
        <v>95</v>
      </c>
      <c r="D846" s="16">
        <v>1640</v>
      </c>
      <c r="E846" s="16">
        <v>74</v>
      </c>
      <c r="F846" s="16">
        <v>1566</v>
      </c>
      <c r="G846" s="16">
        <v>5</v>
      </c>
      <c r="H846" s="16">
        <v>32768</v>
      </c>
      <c r="I846" s="16">
        <v>5</v>
      </c>
      <c r="J846" s="15" t="s">
        <v>1</v>
      </c>
      <c r="K846" s="15" t="s">
        <v>2</v>
      </c>
      <c r="L846" s="8">
        <f>InterspecUsage[[#This Row],[Used-MB]]-F836</f>
        <v>191</v>
      </c>
      <c r="M846">
        <f>InterspecUsage[[#This Row],[Max]]-InterspecUsage[[#This Row],[Used-MB]]</f>
        <v>31202</v>
      </c>
      <c r="N846" s="5">
        <f>IF($L846&gt;0,InterspecUsage[[#This Row],[Free-of-Max]]/InterspecUsage[[#This Row],[Usage-Delta-MB]],InterspecUsage[[#This Row],[Free-of-Max]])</f>
        <v>163.36125654450262</v>
      </c>
    </row>
    <row r="847" spans="1:14" x14ac:dyDescent="0.25">
      <c r="A847" s="3">
        <v>45131</v>
      </c>
      <c r="B847" s="15" t="s">
        <v>0</v>
      </c>
      <c r="C847" s="16">
        <v>100</v>
      </c>
      <c r="D847" s="16">
        <v>4050</v>
      </c>
      <c r="E847" s="16">
        <v>17</v>
      </c>
      <c r="F847" s="16">
        <v>4033</v>
      </c>
      <c r="G847" s="16">
        <v>0</v>
      </c>
      <c r="H847" s="16">
        <v>32768</v>
      </c>
      <c r="I847" s="16">
        <v>12</v>
      </c>
      <c r="J847" s="15" t="s">
        <v>1</v>
      </c>
      <c r="K847" s="15" t="s">
        <v>2</v>
      </c>
      <c r="L847" s="8">
        <f>InterspecUsage[[#This Row],[Used-MB]]-F837</f>
        <v>322</v>
      </c>
      <c r="M847">
        <f>InterspecUsage[[#This Row],[Max]]-InterspecUsage[[#This Row],[Used-MB]]</f>
        <v>28735</v>
      </c>
      <c r="N847" s="5">
        <f>IF($L847&gt;0,InterspecUsage[[#This Row],[Free-of-Max]]/InterspecUsage[[#This Row],[Usage-Delta-MB]],InterspecUsage[[#This Row],[Free-of-Max]])</f>
        <v>89.239130434782609</v>
      </c>
    </row>
    <row r="848" spans="1:14" x14ac:dyDescent="0.25">
      <c r="A848" s="3">
        <v>45131</v>
      </c>
      <c r="B848" s="15" t="s">
        <v>30</v>
      </c>
      <c r="C848" s="16">
        <v>0</v>
      </c>
      <c r="D848" s="16">
        <v>32767</v>
      </c>
      <c r="E848" s="16">
        <v>32749</v>
      </c>
      <c r="F848" s="16">
        <v>18</v>
      </c>
      <c r="G848" s="16">
        <v>100</v>
      </c>
      <c r="H848" s="16">
        <v>32768</v>
      </c>
      <c r="I848" s="16">
        <v>0</v>
      </c>
      <c r="J848" s="15" t="s">
        <v>1</v>
      </c>
      <c r="K848" s="15" t="s">
        <v>13</v>
      </c>
      <c r="L848" s="8">
        <f>InterspecUsage[[#This Row],[Used-MB]]-F838</f>
        <v>-14</v>
      </c>
      <c r="M848">
        <f>InterspecUsage[[#This Row],[Max]]-InterspecUsage[[#This Row],[Used-MB]]</f>
        <v>32750</v>
      </c>
      <c r="N848" s="5">
        <f>IF($L848&gt;0,InterspecUsage[[#This Row],[Free-of-Max]]/InterspecUsage[[#This Row],[Usage-Delta-MB]],InterspecUsage[[#This Row],[Free-of-Max]])</f>
        <v>32750</v>
      </c>
    </row>
    <row r="849" spans="1:14" x14ac:dyDescent="0.25">
      <c r="A849" s="3">
        <v>45131</v>
      </c>
      <c r="B849" s="15" t="s">
        <v>28</v>
      </c>
      <c r="C849" s="16">
        <v>1</v>
      </c>
      <c r="D849" s="16">
        <v>23320</v>
      </c>
      <c r="E849" s="16">
        <v>23077</v>
      </c>
      <c r="F849" s="16">
        <v>243</v>
      </c>
      <c r="G849" s="16">
        <v>99</v>
      </c>
      <c r="H849" s="16">
        <v>32768</v>
      </c>
      <c r="I849" s="16">
        <v>1</v>
      </c>
      <c r="J849" s="15" t="s">
        <v>1</v>
      </c>
      <c r="K849" s="15" t="s">
        <v>10</v>
      </c>
      <c r="L849" s="8">
        <f>InterspecUsage[[#This Row],[Used-MB]]-F839</f>
        <v>163</v>
      </c>
      <c r="M849">
        <f>InterspecUsage[[#This Row],[Max]]-InterspecUsage[[#This Row],[Used-MB]]</f>
        <v>32525</v>
      </c>
      <c r="N849" s="5">
        <f>IF($L849&gt;0,InterspecUsage[[#This Row],[Free-of-Max]]/InterspecUsage[[#This Row],[Usage-Delta-MB]],InterspecUsage[[#This Row],[Free-of-Max]])</f>
        <v>199.53987730061348</v>
      </c>
    </row>
    <row r="850" spans="1:14" x14ac:dyDescent="0.25">
      <c r="A850" s="3">
        <v>45131</v>
      </c>
      <c r="B850" s="15" t="s">
        <v>25</v>
      </c>
      <c r="C850" s="16">
        <v>70</v>
      </c>
      <c r="D850" s="16">
        <v>12700</v>
      </c>
      <c r="E850" s="16">
        <v>3787</v>
      </c>
      <c r="F850" s="16">
        <v>8913</v>
      </c>
      <c r="G850" s="16">
        <v>30</v>
      </c>
      <c r="H850" s="16">
        <v>32768</v>
      </c>
      <c r="I850" s="16">
        <v>27</v>
      </c>
      <c r="J850" s="15" t="s">
        <v>1</v>
      </c>
      <c r="K850" s="15" t="s">
        <v>2</v>
      </c>
      <c r="L850" s="8">
        <f>InterspecUsage[[#This Row],[Used-MB]]-F840</f>
        <v>-2725</v>
      </c>
      <c r="M850">
        <f>InterspecUsage[[#This Row],[Max]]-InterspecUsage[[#This Row],[Used-MB]]</f>
        <v>23855</v>
      </c>
      <c r="N850" s="5">
        <f>IF($L850&gt;0,InterspecUsage[[#This Row],[Free-of-Max]]/InterspecUsage[[#This Row],[Usage-Delta-MB]],InterspecUsage[[#This Row],[Free-of-Max]])</f>
        <v>23855</v>
      </c>
    </row>
    <row r="851" spans="1:14" x14ac:dyDescent="0.25">
      <c r="A851" s="3">
        <v>45131</v>
      </c>
      <c r="B851" s="15" t="s">
        <v>29</v>
      </c>
      <c r="C851" s="16">
        <v>0</v>
      </c>
      <c r="D851" s="16">
        <v>500</v>
      </c>
      <c r="E851" s="16">
        <v>499</v>
      </c>
      <c r="F851" s="16">
        <v>1</v>
      </c>
      <c r="G851" s="16">
        <v>100</v>
      </c>
      <c r="H851" s="16">
        <v>500</v>
      </c>
      <c r="I851" s="16">
        <v>0</v>
      </c>
      <c r="J851" s="15" t="s">
        <v>1</v>
      </c>
      <c r="K851" s="15" t="s">
        <v>2</v>
      </c>
      <c r="L851" s="8">
        <f>InterspecUsage[[#This Row],[Used-MB]]-F841</f>
        <v>0</v>
      </c>
      <c r="M851">
        <f>InterspecUsage[[#This Row],[Max]]-InterspecUsage[[#This Row],[Used-MB]]</f>
        <v>499</v>
      </c>
      <c r="N851" s="5">
        <f>IF($L851&gt;0,InterspecUsage[[#This Row],[Free-of-Max]]/InterspecUsage[[#This Row],[Usage-Delta-MB]],InterspecUsage[[#This Row],[Free-of-Max]])</f>
        <v>499</v>
      </c>
    </row>
    <row r="852" spans="1:14" x14ac:dyDescent="0.25">
      <c r="A852" s="3">
        <v>45138</v>
      </c>
      <c r="B852" s="15" t="s">
        <v>26</v>
      </c>
      <c r="C852" s="16">
        <v>94</v>
      </c>
      <c r="D852" s="16">
        <v>22288</v>
      </c>
      <c r="E852" s="16">
        <v>1333</v>
      </c>
      <c r="F852" s="16">
        <v>20955</v>
      </c>
      <c r="G852" s="16">
        <v>6</v>
      </c>
      <c r="H852" s="16">
        <v>40960</v>
      </c>
      <c r="I852" s="16">
        <v>51</v>
      </c>
      <c r="J852" s="15" t="s">
        <v>1</v>
      </c>
      <c r="K852" s="15" t="s">
        <v>2</v>
      </c>
      <c r="L852" s="8">
        <f>InterspecUsage[[#This Row],[Used-MB]]-F842</f>
        <v>64</v>
      </c>
      <c r="M852">
        <f>InterspecUsage[[#This Row],[Max]]-InterspecUsage[[#This Row],[Used-MB]]</f>
        <v>20005</v>
      </c>
      <c r="N852" s="5">
        <f>IF($L852&gt;0,InterspecUsage[[#This Row],[Free-of-Max]]/InterspecUsage[[#This Row],[Usage-Delta-MB]],InterspecUsage[[#This Row],[Free-of-Max]])</f>
        <v>312.578125</v>
      </c>
    </row>
    <row r="853" spans="1:14" x14ac:dyDescent="0.25">
      <c r="A853" s="3">
        <v>45138</v>
      </c>
      <c r="B853" s="15" t="s">
        <v>24</v>
      </c>
      <c r="C853" s="16">
        <v>89</v>
      </c>
      <c r="D853" s="16">
        <v>18400</v>
      </c>
      <c r="E853" s="16">
        <v>2013</v>
      </c>
      <c r="F853" s="16">
        <v>16387</v>
      </c>
      <c r="G853" s="16">
        <v>11</v>
      </c>
      <c r="H853" s="16">
        <v>32768</v>
      </c>
      <c r="I853" s="16">
        <v>50</v>
      </c>
      <c r="J853" s="15" t="s">
        <v>1</v>
      </c>
      <c r="K853" s="15" t="s">
        <v>2</v>
      </c>
      <c r="L853" s="8">
        <f>InterspecUsage[[#This Row],[Used-MB]]-F843</f>
        <v>39</v>
      </c>
      <c r="M853">
        <f>InterspecUsage[[#This Row],[Max]]-InterspecUsage[[#This Row],[Used-MB]]</f>
        <v>16381</v>
      </c>
      <c r="N853" s="5">
        <f>IF($L853&gt;0,InterspecUsage[[#This Row],[Free-of-Max]]/InterspecUsage[[#This Row],[Usage-Delta-MB]],InterspecUsage[[#This Row],[Free-of-Max]])</f>
        <v>420.02564102564105</v>
      </c>
    </row>
    <row r="854" spans="1:14" x14ac:dyDescent="0.25">
      <c r="A854" s="3">
        <v>45138</v>
      </c>
      <c r="B854" s="15" t="s">
        <v>35</v>
      </c>
      <c r="C854" s="16">
        <v>96</v>
      </c>
      <c r="D854" s="16">
        <v>27800</v>
      </c>
      <c r="E854" s="16">
        <v>1172</v>
      </c>
      <c r="F854" s="16">
        <v>26628</v>
      </c>
      <c r="G854" s="16">
        <v>4</v>
      </c>
      <c r="H854" s="16">
        <v>32768</v>
      </c>
      <c r="I854" s="16">
        <v>81</v>
      </c>
      <c r="J854" s="15" t="s">
        <v>1</v>
      </c>
      <c r="K854" s="15" t="s">
        <v>2</v>
      </c>
      <c r="L854" s="8">
        <f>InterspecUsage[[#This Row],[Used-MB]]-F844</f>
        <v>0</v>
      </c>
      <c r="M854">
        <f>InterspecUsage[[#This Row],[Max]]-InterspecUsage[[#This Row],[Used-MB]]</f>
        <v>6140</v>
      </c>
      <c r="N854" s="5">
        <f>IF($L854&gt;0,InterspecUsage[[#This Row],[Free-of-Max]]/InterspecUsage[[#This Row],[Usage-Delta-MB]],InterspecUsage[[#This Row],[Free-of-Max]])</f>
        <v>6140</v>
      </c>
    </row>
    <row r="855" spans="1:14" x14ac:dyDescent="0.25">
      <c r="A855" s="3">
        <v>45138</v>
      </c>
      <c r="B855" s="15" t="s">
        <v>27</v>
      </c>
      <c r="C855" s="16">
        <v>83</v>
      </c>
      <c r="D855" s="16">
        <v>163840</v>
      </c>
      <c r="E855" s="16">
        <v>27159</v>
      </c>
      <c r="F855" s="16">
        <v>136681</v>
      </c>
      <c r="G855" s="16">
        <v>17</v>
      </c>
      <c r="H855" s="16">
        <v>163840</v>
      </c>
      <c r="I855" s="16">
        <v>83</v>
      </c>
      <c r="J855" s="15" t="s">
        <v>1</v>
      </c>
      <c r="K855" s="15" t="s">
        <v>2</v>
      </c>
      <c r="L855" s="8">
        <f>InterspecUsage[[#This Row],[Used-MB]]-F845</f>
        <v>74</v>
      </c>
      <c r="M855">
        <f>InterspecUsage[[#This Row],[Max]]-InterspecUsage[[#This Row],[Used-MB]]</f>
        <v>27159</v>
      </c>
      <c r="N855" s="5">
        <f>IF($L855&gt;0,InterspecUsage[[#This Row],[Free-of-Max]]/InterspecUsage[[#This Row],[Usage-Delta-MB]],InterspecUsage[[#This Row],[Free-of-Max]])</f>
        <v>367.01351351351349</v>
      </c>
    </row>
    <row r="856" spans="1:14" x14ac:dyDescent="0.25">
      <c r="A856" s="3">
        <v>45138</v>
      </c>
      <c r="B856" s="15" t="s">
        <v>7</v>
      </c>
      <c r="C856" s="16">
        <v>95</v>
      </c>
      <c r="D856" s="16">
        <v>1660</v>
      </c>
      <c r="E856" s="16">
        <v>88</v>
      </c>
      <c r="F856" s="16">
        <v>1572</v>
      </c>
      <c r="G856" s="16">
        <v>5</v>
      </c>
      <c r="H856" s="16">
        <v>32768</v>
      </c>
      <c r="I856" s="16">
        <v>5</v>
      </c>
      <c r="J856" s="15" t="s">
        <v>1</v>
      </c>
      <c r="K856" s="15" t="s">
        <v>2</v>
      </c>
      <c r="L856" s="8">
        <f>InterspecUsage[[#This Row],[Used-MB]]-F846</f>
        <v>6</v>
      </c>
      <c r="M856">
        <f>InterspecUsage[[#This Row],[Max]]-InterspecUsage[[#This Row],[Used-MB]]</f>
        <v>31196</v>
      </c>
      <c r="N856" s="5">
        <f>IF($L856&gt;0,InterspecUsage[[#This Row],[Free-of-Max]]/InterspecUsage[[#This Row],[Usage-Delta-MB]],InterspecUsage[[#This Row],[Free-of-Max]])</f>
        <v>5199.333333333333</v>
      </c>
    </row>
    <row r="857" spans="1:14" x14ac:dyDescent="0.25">
      <c r="A857" s="3">
        <v>45138</v>
      </c>
      <c r="B857" s="15" t="s">
        <v>0</v>
      </c>
      <c r="C857" s="16">
        <v>100</v>
      </c>
      <c r="D857" s="16">
        <v>4050</v>
      </c>
      <c r="E857" s="16">
        <v>17</v>
      </c>
      <c r="F857" s="16">
        <v>4033</v>
      </c>
      <c r="G857" s="16">
        <v>0</v>
      </c>
      <c r="H857" s="16">
        <v>32768</v>
      </c>
      <c r="I857" s="16">
        <v>12</v>
      </c>
      <c r="J857" s="15" t="s">
        <v>1</v>
      </c>
      <c r="K857" s="15" t="s">
        <v>2</v>
      </c>
      <c r="L857" s="8">
        <f>InterspecUsage[[#This Row],[Used-MB]]-F847</f>
        <v>0</v>
      </c>
      <c r="M857">
        <f>InterspecUsage[[#This Row],[Max]]-InterspecUsage[[#This Row],[Used-MB]]</f>
        <v>28735</v>
      </c>
      <c r="N857" s="5">
        <f>IF($L857&gt;0,InterspecUsage[[#This Row],[Free-of-Max]]/InterspecUsage[[#This Row],[Usage-Delta-MB]],InterspecUsage[[#This Row],[Free-of-Max]])</f>
        <v>28735</v>
      </c>
    </row>
    <row r="858" spans="1:14" x14ac:dyDescent="0.25">
      <c r="A858" s="3">
        <v>45138</v>
      </c>
      <c r="B858" s="15" t="s">
        <v>30</v>
      </c>
      <c r="C858" s="16">
        <v>70</v>
      </c>
      <c r="D858" s="16">
        <v>32767</v>
      </c>
      <c r="E858" s="16">
        <v>9844</v>
      </c>
      <c r="F858" s="16">
        <v>22923</v>
      </c>
      <c r="G858" s="16">
        <v>30</v>
      </c>
      <c r="H858" s="16">
        <v>32768</v>
      </c>
      <c r="I858" s="16">
        <v>70</v>
      </c>
      <c r="J858" s="15" t="s">
        <v>1</v>
      </c>
      <c r="K858" s="15" t="s">
        <v>13</v>
      </c>
      <c r="L858" s="8">
        <f>InterspecUsage[[#This Row],[Used-MB]]-F848</f>
        <v>22905</v>
      </c>
      <c r="M858">
        <f>InterspecUsage[[#This Row],[Max]]-InterspecUsage[[#This Row],[Used-MB]]</f>
        <v>9845</v>
      </c>
      <c r="N858" s="5">
        <f>IF($L858&gt;0,InterspecUsage[[#This Row],[Free-of-Max]]/InterspecUsage[[#This Row],[Usage-Delta-MB]],InterspecUsage[[#This Row],[Free-of-Max]])</f>
        <v>0.42981881685221568</v>
      </c>
    </row>
    <row r="859" spans="1:14" x14ac:dyDescent="0.25">
      <c r="A859" s="3">
        <v>45138</v>
      </c>
      <c r="B859" s="15" t="s">
        <v>28</v>
      </c>
      <c r="C859" s="16">
        <v>2</v>
      </c>
      <c r="D859" s="16">
        <v>23320</v>
      </c>
      <c r="E859" s="16">
        <v>22805</v>
      </c>
      <c r="F859" s="16">
        <v>515</v>
      </c>
      <c r="G859" s="16">
        <v>98</v>
      </c>
      <c r="H859" s="16">
        <v>32768</v>
      </c>
      <c r="I859" s="16">
        <v>2</v>
      </c>
      <c r="J859" s="15" t="s">
        <v>1</v>
      </c>
      <c r="K859" s="15" t="s">
        <v>10</v>
      </c>
      <c r="L859" s="8">
        <f>InterspecUsage[[#This Row],[Used-MB]]-F849</f>
        <v>272</v>
      </c>
      <c r="M859">
        <f>InterspecUsage[[#This Row],[Max]]-InterspecUsage[[#This Row],[Used-MB]]</f>
        <v>32253</v>
      </c>
      <c r="N859" s="5">
        <f>IF($L859&gt;0,InterspecUsage[[#This Row],[Free-of-Max]]/InterspecUsage[[#This Row],[Usage-Delta-MB]],InterspecUsage[[#This Row],[Free-of-Max]])</f>
        <v>118.57720588235294</v>
      </c>
    </row>
    <row r="860" spans="1:14" x14ac:dyDescent="0.25">
      <c r="A860" s="3">
        <v>45138</v>
      </c>
      <c r="B860" s="15" t="s">
        <v>25</v>
      </c>
      <c r="C860" s="16">
        <v>70</v>
      </c>
      <c r="D860" s="16">
        <v>12700</v>
      </c>
      <c r="E860" s="16">
        <v>3771</v>
      </c>
      <c r="F860" s="16">
        <v>8929</v>
      </c>
      <c r="G860" s="16">
        <v>30</v>
      </c>
      <c r="H860" s="16">
        <v>32768</v>
      </c>
      <c r="I860" s="16">
        <v>27</v>
      </c>
      <c r="J860" s="15" t="s">
        <v>1</v>
      </c>
      <c r="K860" s="15" t="s">
        <v>2</v>
      </c>
      <c r="L860" s="8">
        <f>InterspecUsage[[#This Row],[Used-MB]]-F850</f>
        <v>16</v>
      </c>
      <c r="M860">
        <f>InterspecUsage[[#This Row],[Max]]-InterspecUsage[[#This Row],[Used-MB]]</f>
        <v>23839</v>
      </c>
      <c r="N860" s="5">
        <f>IF($L860&gt;0,InterspecUsage[[#This Row],[Free-of-Max]]/InterspecUsage[[#This Row],[Usage-Delta-MB]],InterspecUsage[[#This Row],[Free-of-Max]])</f>
        <v>1489.9375</v>
      </c>
    </row>
    <row r="861" spans="1:14" x14ac:dyDescent="0.25">
      <c r="A861" s="3">
        <v>45138</v>
      </c>
      <c r="B861" s="15" t="s">
        <v>29</v>
      </c>
      <c r="C861" s="16">
        <v>0</v>
      </c>
      <c r="D861" s="16">
        <v>500</v>
      </c>
      <c r="E861" s="16">
        <v>499</v>
      </c>
      <c r="F861" s="16">
        <v>1</v>
      </c>
      <c r="G861" s="16">
        <v>100</v>
      </c>
      <c r="H861" s="16">
        <v>500</v>
      </c>
      <c r="I861" s="16">
        <v>0</v>
      </c>
      <c r="J861" s="15" t="s">
        <v>1</v>
      </c>
      <c r="K861" s="15" t="s">
        <v>2</v>
      </c>
      <c r="L861" s="8">
        <f>InterspecUsage[[#This Row],[Used-MB]]-F851</f>
        <v>0</v>
      </c>
      <c r="M861">
        <f>InterspecUsage[[#This Row],[Max]]-InterspecUsage[[#This Row],[Used-MB]]</f>
        <v>499</v>
      </c>
      <c r="N861" s="5">
        <f>IF($L861&gt;0,InterspecUsage[[#This Row],[Free-of-Max]]/InterspecUsage[[#This Row],[Usage-Delta-MB]],InterspecUsage[[#This Row],[Free-of-Max]])</f>
        <v>499</v>
      </c>
    </row>
    <row r="862" spans="1:14" x14ac:dyDescent="0.25">
      <c r="A862" s="3">
        <v>45145</v>
      </c>
      <c r="B862" s="15" t="s">
        <v>26</v>
      </c>
      <c r="C862" s="16">
        <v>94</v>
      </c>
      <c r="D862" s="16">
        <v>22288</v>
      </c>
      <c r="E862" s="16">
        <v>1269</v>
      </c>
      <c r="F862" s="16">
        <v>21019</v>
      </c>
      <c r="G862" s="16">
        <v>6</v>
      </c>
      <c r="H862" s="16">
        <v>40960</v>
      </c>
      <c r="I862" s="16">
        <v>51</v>
      </c>
      <c r="J862" s="15" t="s">
        <v>1</v>
      </c>
      <c r="K862" s="15" t="s">
        <v>2</v>
      </c>
      <c r="L862" s="8">
        <f>InterspecUsage[[#This Row],[Used-MB]]-F852</f>
        <v>64</v>
      </c>
      <c r="M862">
        <f>InterspecUsage[[#This Row],[Max]]-InterspecUsage[[#This Row],[Used-MB]]</f>
        <v>19941</v>
      </c>
      <c r="N862" s="5">
        <f>IF($L862&gt;0,InterspecUsage[[#This Row],[Free-of-Max]]/InterspecUsage[[#This Row],[Usage-Delta-MB]],InterspecUsage[[#This Row],[Free-of-Max]])</f>
        <v>311.578125</v>
      </c>
    </row>
    <row r="863" spans="1:14" x14ac:dyDescent="0.25">
      <c r="A863" s="3">
        <v>45145</v>
      </c>
      <c r="B863" s="15" t="s">
        <v>24</v>
      </c>
      <c r="C863" s="16">
        <v>90</v>
      </c>
      <c r="D863" s="16">
        <v>18400</v>
      </c>
      <c r="E863" s="16">
        <v>1916</v>
      </c>
      <c r="F863" s="16">
        <v>16484</v>
      </c>
      <c r="G863" s="16">
        <v>10</v>
      </c>
      <c r="H863" s="16">
        <v>32768</v>
      </c>
      <c r="I863" s="16">
        <v>50</v>
      </c>
      <c r="J863" s="15" t="s">
        <v>1</v>
      </c>
      <c r="K863" s="15" t="s">
        <v>2</v>
      </c>
      <c r="L863" s="8">
        <f>InterspecUsage[[#This Row],[Used-MB]]-F853</f>
        <v>97</v>
      </c>
      <c r="M863">
        <f>InterspecUsage[[#This Row],[Max]]-InterspecUsage[[#This Row],[Used-MB]]</f>
        <v>16284</v>
      </c>
      <c r="N863" s="5">
        <f>IF($L863&gt;0,InterspecUsage[[#This Row],[Free-of-Max]]/InterspecUsage[[#This Row],[Usage-Delta-MB]],InterspecUsage[[#This Row],[Free-of-Max]])</f>
        <v>167.8762886597938</v>
      </c>
    </row>
    <row r="864" spans="1:14" x14ac:dyDescent="0.25">
      <c r="A864" s="3">
        <v>45145</v>
      </c>
      <c r="B864" s="15" t="s">
        <v>35</v>
      </c>
      <c r="C864" s="16">
        <v>96</v>
      </c>
      <c r="D864" s="16">
        <v>27800</v>
      </c>
      <c r="E864" s="16">
        <v>1108</v>
      </c>
      <c r="F864" s="16">
        <v>26692</v>
      </c>
      <c r="G864" s="16">
        <v>4</v>
      </c>
      <c r="H864" s="16">
        <v>32768</v>
      </c>
      <c r="I864" s="16">
        <v>81</v>
      </c>
      <c r="J864" s="15" t="s">
        <v>1</v>
      </c>
      <c r="K864" s="15" t="s">
        <v>2</v>
      </c>
      <c r="L864" s="8">
        <f>InterspecUsage[[#This Row],[Used-MB]]-F854</f>
        <v>64</v>
      </c>
      <c r="M864">
        <f>InterspecUsage[[#This Row],[Max]]-InterspecUsage[[#This Row],[Used-MB]]</f>
        <v>6076</v>
      </c>
      <c r="N864" s="5">
        <f>IF($L864&gt;0,InterspecUsage[[#This Row],[Free-of-Max]]/InterspecUsage[[#This Row],[Usage-Delta-MB]],InterspecUsage[[#This Row],[Free-of-Max]])</f>
        <v>94.9375</v>
      </c>
    </row>
    <row r="865" spans="1:14" x14ac:dyDescent="0.25">
      <c r="A865" s="3">
        <v>45145</v>
      </c>
      <c r="B865" s="15" t="s">
        <v>27</v>
      </c>
      <c r="C865" s="16">
        <v>84</v>
      </c>
      <c r="D865" s="16">
        <v>163840</v>
      </c>
      <c r="E865" s="16">
        <v>26956</v>
      </c>
      <c r="F865" s="16">
        <v>136884</v>
      </c>
      <c r="G865" s="16">
        <v>16</v>
      </c>
      <c r="H865" s="16">
        <v>163840</v>
      </c>
      <c r="I865" s="16">
        <v>84</v>
      </c>
      <c r="J865" s="15" t="s">
        <v>1</v>
      </c>
      <c r="K865" s="15" t="s">
        <v>2</v>
      </c>
      <c r="L865" s="8">
        <f>InterspecUsage[[#This Row],[Used-MB]]-F855</f>
        <v>203</v>
      </c>
      <c r="M865">
        <f>InterspecUsage[[#This Row],[Max]]-InterspecUsage[[#This Row],[Used-MB]]</f>
        <v>26956</v>
      </c>
      <c r="N865" s="5">
        <f>IF($L865&gt;0,InterspecUsage[[#This Row],[Free-of-Max]]/InterspecUsage[[#This Row],[Usage-Delta-MB]],InterspecUsage[[#This Row],[Free-of-Max]])</f>
        <v>132.78817733990147</v>
      </c>
    </row>
    <row r="866" spans="1:14" x14ac:dyDescent="0.25">
      <c r="A866" s="3">
        <v>45145</v>
      </c>
      <c r="B866" s="15" t="s">
        <v>7</v>
      </c>
      <c r="C866" s="16">
        <v>95</v>
      </c>
      <c r="D866" s="16">
        <v>1660</v>
      </c>
      <c r="E866" s="16">
        <v>90</v>
      </c>
      <c r="F866" s="16">
        <v>1570</v>
      </c>
      <c r="G866" s="16">
        <v>5</v>
      </c>
      <c r="H866" s="16">
        <v>32768</v>
      </c>
      <c r="I866" s="16">
        <v>5</v>
      </c>
      <c r="J866" s="15" t="s">
        <v>1</v>
      </c>
      <c r="K866" s="15" t="s">
        <v>2</v>
      </c>
      <c r="L866" s="8">
        <f>InterspecUsage[[#This Row],[Used-MB]]-F856</f>
        <v>-2</v>
      </c>
      <c r="M866">
        <f>InterspecUsage[[#This Row],[Max]]-InterspecUsage[[#This Row],[Used-MB]]</f>
        <v>31198</v>
      </c>
      <c r="N866" s="5">
        <f>IF($L866&gt;0,InterspecUsage[[#This Row],[Free-of-Max]]/InterspecUsage[[#This Row],[Usage-Delta-MB]],InterspecUsage[[#This Row],[Free-of-Max]])</f>
        <v>31198</v>
      </c>
    </row>
    <row r="867" spans="1:14" x14ac:dyDescent="0.25">
      <c r="A867" s="3">
        <v>45145</v>
      </c>
      <c r="B867" s="15" t="s">
        <v>0</v>
      </c>
      <c r="C867" s="16">
        <v>100</v>
      </c>
      <c r="D867" s="16">
        <v>4050</v>
      </c>
      <c r="E867" s="16">
        <v>17</v>
      </c>
      <c r="F867" s="16">
        <v>4033</v>
      </c>
      <c r="G867" s="16">
        <v>0</v>
      </c>
      <c r="H867" s="16">
        <v>32768</v>
      </c>
      <c r="I867" s="16">
        <v>12</v>
      </c>
      <c r="J867" s="15" t="s">
        <v>1</v>
      </c>
      <c r="K867" s="15" t="s">
        <v>2</v>
      </c>
      <c r="L867" s="8">
        <f>InterspecUsage[[#This Row],[Used-MB]]-F857</f>
        <v>0</v>
      </c>
      <c r="M867">
        <f>InterspecUsage[[#This Row],[Max]]-InterspecUsage[[#This Row],[Used-MB]]</f>
        <v>28735</v>
      </c>
      <c r="N867" s="5">
        <f>IF($L867&gt;0,InterspecUsage[[#This Row],[Free-of-Max]]/InterspecUsage[[#This Row],[Usage-Delta-MB]],InterspecUsage[[#This Row],[Free-of-Max]])</f>
        <v>28735</v>
      </c>
    </row>
    <row r="868" spans="1:14" x14ac:dyDescent="0.25">
      <c r="A868" s="3">
        <v>45145</v>
      </c>
      <c r="B868" s="15" t="s">
        <v>30</v>
      </c>
      <c r="C868" s="16">
        <v>70</v>
      </c>
      <c r="D868" s="16">
        <v>32767</v>
      </c>
      <c r="E868" s="16">
        <v>9850</v>
      </c>
      <c r="F868" s="16">
        <v>22917</v>
      </c>
      <c r="G868" s="16">
        <v>30</v>
      </c>
      <c r="H868" s="16">
        <v>32768</v>
      </c>
      <c r="I868" s="16">
        <v>70</v>
      </c>
      <c r="J868" s="15" t="s">
        <v>1</v>
      </c>
      <c r="K868" s="15" t="s">
        <v>13</v>
      </c>
      <c r="L868" s="8">
        <f>InterspecUsage[[#This Row],[Used-MB]]-F858</f>
        <v>-6</v>
      </c>
      <c r="M868">
        <f>InterspecUsage[[#This Row],[Max]]-InterspecUsage[[#This Row],[Used-MB]]</f>
        <v>9851</v>
      </c>
      <c r="N868" s="5">
        <f>IF($L868&gt;0,InterspecUsage[[#This Row],[Free-of-Max]]/InterspecUsage[[#This Row],[Usage-Delta-MB]],InterspecUsage[[#This Row],[Free-of-Max]])</f>
        <v>9851</v>
      </c>
    </row>
    <row r="869" spans="1:14" x14ac:dyDescent="0.25">
      <c r="A869" s="3">
        <v>45145</v>
      </c>
      <c r="B869" s="15" t="s">
        <v>28</v>
      </c>
      <c r="C869" s="16">
        <v>5</v>
      </c>
      <c r="D869" s="16">
        <v>23320</v>
      </c>
      <c r="E869" s="16">
        <v>22086</v>
      </c>
      <c r="F869" s="16">
        <v>1234</v>
      </c>
      <c r="G869" s="16">
        <v>95</v>
      </c>
      <c r="H869" s="16">
        <v>32768</v>
      </c>
      <c r="I869" s="16">
        <v>4</v>
      </c>
      <c r="J869" s="15" t="s">
        <v>1</v>
      </c>
      <c r="K869" s="15" t="s">
        <v>10</v>
      </c>
      <c r="L869" s="8">
        <f>InterspecUsage[[#This Row],[Used-MB]]-F859</f>
        <v>719</v>
      </c>
      <c r="M869">
        <f>InterspecUsage[[#This Row],[Max]]-InterspecUsage[[#This Row],[Used-MB]]</f>
        <v>31534</v>
      </c>
      <c r="N869" s="5">
        <f>IF($L869&gt;0,InterspecUsage[[#This Row],[Free-of-Max]]/InterspecUsage[[#This Row],[Usage-Delta-MB]],InterspecUsage[[#This Row],[Free-of-Max]])</f>
        <v>43.858136300417243</v>
      </c>
    </row>
    <row r="870" spans="1:14" x14ac:dyDescent="0.25">
      <c r="A870" s="3">
        <v>45145</v>
      </c>
      <c r="B870" s="15" t="s">
        <v>25</v>
      </c>
      <c r="C870" s="16">
        <v>72</v>
      </c>
      <c r="D870" s="16">
        <v>12700</v>
      </c>
      <c r="E870" s="16">
        <v>3561</v>
      </c>
      <c r="F870" s="16">
        <v>9139</v>
      </c>
      <c r="G870" s="16">
        <v>28</v>
      </c>
      <c r="H870" s="16">
        <v>32768</v>
      </c>
      <c r="I870" s="16">
        <v>28</v>
      </c>
      <c r="J870" s="15" t="s">
        <v>1</v>
      </c>
      <c r="K870" s="15" t="s">
        <v>2</v>
      </c>
      <c r="L870" s="8">
        <f>InterspecUsage[[#This Row],[Used-MB]]-F860</f>
        <v>210</v>
      </c>
      <c r="M870">
        <f>InterspecUsage[[#This Row],[Max]]-InterspecUsage[[#This Row],[Used-MB]]</f>
        <v>23629</v>
      </c>
      <c r="N870" s="5">
        <f>IF($L870&gt;0,InterspecUsage[[#This Row],[Free-of-Max]]/InterspecUsage[[#This Row],[Usage-Delta-MB]],InterspecUsage[[#This Row],[Free-of-Max]])</f>
        <v>112.51904761904763</v>
      </c>
    </row>
    <row r="871" spans="1:14" x14ac:dyDescent="0.25">
      <c r="A871" s="3">
        <v>45145</v>
      </c>
      <c r="B871" s="15" t="s">
        <v>29</v>
      </c>
      <c r="C871" s="16">
        <v>0</v>
      </c>
      <c r="D871" s="16">
        <v>500</v>
      </c>
      <c r="E871" s="16">
        <v>499</v>
      </c>
      <c r="F871" s="16">
        <v>1</v>
      </c>
      <c r="G871" s="16">
        <v>100</v>
      </c>
      <c r="H871" s="16">
        <v>500</v>
      </c>
      <c r="I871" s="16">
        <v>0</v>
      </c>
      <c r="J871" s="15" t="s">
        <v>1</v>
      </c>
      <c r="K871" s="15" t="s">
        <v>2</v>
      </c>
      <c r="L871" s="8">
        <f>InterspecUsage[[#This Row],[Used-MB]]-F861</f>
        <v>0</v>
      </c>
      <c r="M871">
        <f>InterspecUsage[[#This Row],[Max]]-InterspecUsage[[#This Row],[Used-MB]]</f>
        <v>499</v>
      </c>
      <c r="N871" s="5">
        <f>IF($L871&gt;0,InterspecUsage[[#This Row],[Free-of-Max]]/InterspecUsage[[#This Row],[Usage-Delta-MB]],InterspecUsage[[#This Row],[Free-of-Max]])</f>
        <v>499</v>
      </c>
    </row>
    <row r="872" spans="1:14" x14ac:dyDescent="0.25">
      <c r="A872" s="3">
        <v>45152</v>
      </c>
      <c r="B872" s="15" t="s">
        <v>26</v>
      </c>
      <c r="C872" s="16">
        <v>95</v>
      </c>
      <c r="D872" s="16">
        <v>22288</v>
      </c>
      <c r="E872" s="16">
        <v>1205</v>
      </c>
      <c r="F872" s="16">
        <v>21083</v>
      </c>
      <c r="G872" s="16">
        <v>5</v>
      </c>
      <c r="H872" s="16">
        <v>40960</v>
      </c>
      <c r="I872" s="16">
        <v>51</v>
      </c>
      <c r="J872" s="15" t="s">
        <v>1</v>
      </c>
      <c r="K872" s="15" t="s">
        <v>2</v>
      </c>
      <c r="L872" s="8">
        <f>InterspecUsage[[#This Row],[Used-MB]]-F862</f>
        <v>64</v>
      </c>
      <c r="M872">
        <f>InterspecUsage[[#This Row],[Max]]-InterspecUsage[[#This Row],[Used-MB]]</f>
        <v>19877</v>
      </c>
      <c r="N872" s="5">
        <f>IF($L872&gt;0,InterspecUsage[[#This Row],[Free-of-Max]]/InterspecUsage[[#This Row],[Usage-Delta-MB]],InterspecUsage[[#This Row],[Free-of-Max]])</f>
        <v>310.578125</v>
      </c>
    </row>
    <row r="873" spans="1:14" x14ac:dyDescent="0.25">
      <c r="A873" s="3">
        <v>45152</v>
      </c>
      <c r="B873" s="15" t="s">
        <v>24</v>
      </c>
      <c r="C873" s="16">
        <v>90</v>
      </c>
      <c r="D873" s="16">
        <v>18400</v>
      </c>
      <c r="E873" s="16">
        <v>1878</v>
      </c>
      <c r="F873" s="16">
        <v>16522</v>
      </c>
      <c r="G873" s="16">
        <v>10</v>
      </c>
      <c r="H873" s="16">
        <v>32768</v>
      </c>
      <c r="I873" s="16">
        <v>50</v>
      </c>
      <c r="J873" s="15" t="s">
        <v>1</v>
      </c>
      <c r="K873" s="15" t="s">
        <v>2</v>
      </c>
      <c r="L873" s="8">
        <f>InterspecUsage[[#This Row],[Used-MB]]-F863</f>
        <v>38</v>
      </c>
      <c r="M873">
        <f>InterspecUsage[[#This Row],[Max]]-InterspecUsage[[#This Row],[Used-MB]]</f>
        <v>16246</v>
      </c>
      <c r="N873" s="5">
        <f>IF($L873&gt;0,InterspecUsage[[#This Row],[Free-of-Max]]/InterspecUsage[[#This Row],[Usage-Delta-MB]],InterspecUsage[[#This Row],[Free-of-Max]])</f>
        <v>427.5263157894737</v>
      </c>
    </row>
    <row r="874" spans="1:14" x14ac:dyDescent="0.25">
      <c r="A874" s="3">
        <v>45152</v>
      </c>
      <c r="B874" s="15" t="s">
        <v>35</v>
      </c>
      <c r="C874" s="16">
        <v>96</v>
      </c>
      <c r="D874" s="16">
        <v>27800</v>
      </c>
      <c r="E874" s="16">
        <v>1044</v>
      </c>
      <c r="F874" s="16">
        <v>26756</v>
      </c>
      <c r="G874" s="16">
        <v>4</v>
      </c>
      <c r="H874" s="16">
        <v>32768</v>
      </c>
      <c r="I874" s="16">
        <v>82</v>
      </c>
      <c r="J874" s="15" t="s">
        <v>1</v>
      </c>
      <c r="K874" s="15" t="s">
        <v>2</v>
      </c>
      <c r="L874" s="8">
        <f>InterspecUsage[[#This Row],[Used-MB]]-F864</f>
        <v>64</v>
      </c>
      <c r="M874">
        <f>InterspecUsage[[#This Row],[Max]]-InterspecUsage[[#This Row],[Used-MB]]</f>
        <v>6012</v>
      </c>
      <c r="N874" s="5">
        <f>IF($L874&gt;0,InterspecUsage[[#This Row],[Free-of-Max]]/InterspecUsage[[#This Row],[Usage-Delta-MB]],InterspecUsage[[#This Row],[Free-of-Max]])</f>
        <v>93.9375</v>
      </c>
    </row>
    <row r="875" spans="1:14" x14ac:dyDescent="0.25">
      <c r="A875" s="3">
        <v>45152</v>
      </c>
      <c r="B875" s="15" t="s">
        <v>27</v>
      </c>
      <c r="C875" s="16">
        <v>84</v>
      </c>
      <c r="D875" s="16">
        <v>163840</v>
      </c>
      <c r="E875" s="16">
        <v>26767</v>
      </c>
      <c r="F875" s="16">
        <v>137073</v>
      </c>
      <c r="G875" s="16">
        <v>16</v>
      </c>
      <c r="H875" s="16">
        <v>163840</v>
      </c>
      <c r="I875" s="16">
        <v>84</v>
      </c>
      <c r="J875" s="15" t="s">
        <v>1</v>
      </c>
      <c r="K875" s="15" t="s">
        <v>2</v>
      </c>
      <c r="L875" s="8">
        <f>InterspecUsage[[#This Row],[Used-MB]]-F865</f>
        <v>189</v>
      </c>
      <c r="M875">
        <f>InterspecUsage[[#This Row],[Max]]-InterspecUsage[[#This Row],[Used-MB]]</f>
        <v>26767</v>
      </c>
      <c r="N875" s="5">
        <f>IF($L875&gt;0,InterspecUsage[[#This Row],[Free-of-Max]]/InterspecUsage[[#This Row],[Usage-Delta-MB]],InterspecUsage[[#This Row],[Free-of-Max]])</f>
        <v>141.62433862433863</v>
      </c>
    </row>
    <row r="876" spans="1:14" x14ac:dyDescent="0.25">
      <c r="A876" s="3">
        <v>45152</v>
      </c>
      <c r="B876" s="15" t="s">
        <v>7</v>
      </c>
      <c r="C876" s="16">
        <v>95</v>
      </c>
      <c r="D876" s="16">
        <v>1660</v>
      </c>
      <c r="E876" s="16">
        <v>81</v>
      </c>
      <c r="F876" s="16">
        <v>1579</v>
      </c>
      <c r="G876" s="16">
        <v>5</v>
      </c>
      <c r="H876" s="16">
        <v>32768</v>
      </c>
      <c r="I876" s="16">
        <v>5</v>
      </c>
      <c r="J876" s="15" t="s">
        <v>1</v>
      </c>
      <c r="K876" s="15" t="s">
        <v>2</v>
      </c>
      <c r="L876" s="8">
        <f>InterspecUsage[[#This Row],[Used-MB]]-F866</f>
        <v>9</v>
      </c>
      <c r="M876">
        <f>InterspecUsage[[#This Row],[Max]]-InterspecUsage[[#This Row],[Used-MB]]</f>
        <v>31189</v>
      </c>
      <c r="N876" s="5">
        <f>IF($L876&gt;0,InterspecUsage[[#This Row],[Free-of-Max]]/InterspecUsage[[#This Row],[Usage-Delta-MB]],InterspecUsage[[#This Row],[Free-of-Max]])</f>
        <v>3465.4444444444443</v>
      </c>
    </row>
    <row r="877" spans="1:14" x14ac:dyDescent="0.25">
      <c r="A877" s="3">
        <v>45152</v>
      </c>
      <c r="B877" s="15" t="s">
        <v>0</v>
      </c>
      <c r="C877" s="16">
        <v>99</v>
      </c>
      <c r="D877" s="16">
        <v>4120</v>
      </c>
      <c r="E877" s="16">
        <v>23</v>
      </c>
      <c r="F877" s="16">
        <v>4097</v>
      </c>
      <c r="G877" s="16">
        <v>1</v>
      </c>
      <c r="H877" s="16">
        <v>32768</v>
      </c>
      <c r="I877" s="16">
        <v>13</v>
      </c>
      <c r="J877" s="15" t="s">
        <v>1</v>
      </c>
      <c r="K877" s="15" t="s">
        <v>2</v>
      </c>
      <c r="L877" s="8">
        <f>InterspecUsage[[#This Row],[Used-MB]]-F867</f>
        <v>64</v>
      </c>
      <c r="M877">
        <f>InterspecUsage[[#This Row],[Max]]-InterspecUsage[[#This Row],[Used-MB]]</f>
        <v>28671</v>
      </c>
      <c r="N877" s="5">
        <f>IF($L877&gt;0,InterspecUsage[[#This Row],[Free-of-Max]]/InterspecUsage[[#This Row],[Usage-Delta-MB]],InterspecUsage[[#This Row],[Free-of-Max]])</f>
        <v>447.984375</v>
      </c>
    </row>
    <row r="878" spans="1:14" x14ac:dyDescent="0.25">
      <c r="A878" s="3">
        <v>45152</v>
      </c>
      <c r="B878" s="15" t="s">
        <v>30</v>
      </c>
      <c r="C878" s="16">
        <v>70</v>
      </c>
      <c r="D878" s="16">
        <v>32767</v>
      </c>
      <c r="E878" s="16">
        <v>9838</v>
      </c>
      <c r="F878" s="16">
        <v>22929</v>
      </c>
      <c r="G878" s="16">
        <v>30</v>
      </c>
      <c r="H878" s="16">
        <v>32768</v>
      </c>
      <c r="I878" s="16">
        <v>70</v>
      </c>
      <c r="J878" s="15" t="s">
        <v>1</v>
      </c>
      <c r="K878" s="15" t="s">
        <v>13</v>
      </c>
      <c r="L878" s="8">
        <f>InterspecUsage[[#This Row],[Used-MB]]-F868</f>
        <v>12</v>
      </c>
      <c r="M878">
        <f>InterspecUsage[[#This Row],[Max]]-InterspecUsage[[#This Row],[Used-MB]]</f>
        <v>9839</v>
      </c>
      <c r="N878" s="5">
        <f>IF($L878&gt;0,InterspecUsage[[#This Row],[Free-of-Max]]/InterspecUsage[[#This Row],[Usage-Delta-MB]],InterspecUsage[[#This Row],[Free-of-Max]])</f>
        <v>819.91666666666663</v>
      </c>
    </row>
    <row r="879" spans="1:14" x14ac:dyDescent="0.25">
      <c r="A879" s="3">
        <v>45152</v>
      </c>
      <c r="B879" s="15" t="s">
        <v>28</v>
      </c>
      <c r="C879" s="16">
        <v>5</v>
      </c>
      <c r="D879" s="16">
        <v>23320</v>
      </c>
      <c r="E879" s="16">
        <v>22146</v>
      </c>
      <c r="F879" s="16">
        <v>1174</v>
      </c>
      <c r="G879" s="16">
        <v>95</v>
      </c>
      <c r="H879" s="16">
        <v>32768</v>
      </c>
      <c r="I879" s="16">
        <v>4</v>
      </c>
      <c r="J879" s="15" t="s">
        <v>1</v>
      </c>
      <c r="K879" s="15" t="s">
        <v>10</v>
      </c>
      <c r="L879" s="8">
        <f>InterspecUsage[[#This Row],[Used-MB]]-F869</f>
        <v>-60</v>
      </c>
      <c r="M879">
        <f>InterspecUsage[[#This Row],[Max]]-InterspecUsage[[#This Row],[Used-MB]]</f>
        <v>31594</v>
      </c>
      <c r="N879" s="5">
        <f>IF($L879&gt;0,InterspecUsage[[#This Row],[Free-of-Max]]/InterspecUsage[[#This Row],[Usage-Delta-MB]],InterspecUsage[[#This Row],[Free-of-Max]])</f>
        <v>31594</v>
      </c>
    </row>
    <row r="880" spans="1:14" x14ac:dyDescent="0.25">
      <c r="A880" s="3">
        <v>45152</v>
      </c>
      <c r="B880" s="15" t="s">
        <v>25</v>
      </c>
      <c r="C880" s="16">
        <v>72</v>
      </c>
      <c r="D880" s="16">
        <v>12700</v>
      </c>
      <c r="E880" s="16">
        <v>3544</v>
      </c>
      <c r="F880" s="16">
        <v>9156</v>
      </c>
      <c r="G880" s="16">
        <v>28</v>
      </c>
      <c r="H880" s="16">
        <v>32768</v>
      </c>
      <c r="I880" s="16">
        <v>28</v>
      </c>
      <c r="J880" s="15" t="s">
        <v>1</v>
      </c>
      <c r="K880" s="15" t="s">
        <v>2</v>
      </c>
      <c r="L880" s="8">
        <f>InterspecUsage[[#This Row],[Used-MB]]-F870</f>
        <v>17</v>
      </c>
      <c r="M880">
        <f>InterspecUsage[[#This Row],[Max]]-InterspecUsage[[#This Row],[Used-MB]]</f>
        <v>23612</v>
      </c>
      <c r="N880" s="5">
        <f>IF($L880&gt;0,InterspecUsage[[#This Row],[Free-of-Max]]/InterspecUsage[[#This Row],[Usage-Delta-MB]],InterspecUsage[[#This Row],[Free-of-Max]])</f>
        <v>1388.9411764705883</v>
      </c>
    </row>
    <row r="881" spans="1:14" x14ac:dyDescent="0.25">
      <c r="A881" s="3">
        <v>45152</v>
      </c>
      <c r="B881" s="15" t="s">
        <v>29</v>
      </c>
      <c r="C881" s="16">
        <v>0</v>
      </c>
      <c r="D881" s="16">
        <v>500</v>
      </c>
      <c r="E881" s="16">
        <v>499</v>
      </c>
      <c r="F881" s="16">
        <v>1</v>
      </c>
      <c r="G881" s="16">
        <v>100</v>
      </c>
      <c r="H881" s="16">
        <v>500</v>
      </c>
      <c r="I881" s="16">
        <v>0</v>
      </c>
      <c r="J881" s="15" t="s">
        <v>1</v>
      </c>
      <c r="K881" s="15" t="s">
        <v>2</v>
      </c>
      <c r="L881" s="8">
        <f>InterspecUsage[[#This Row],[Used-MB]]-F871</f>
        <v>0</v>
      </c>
      <c r="M881">
        <f>InterspecUsage[[#This Row],[Max]]-InterspecUsage[[#This Row],[Used-MB]]</f>
        <v>499</v>
      </c>
      <c r="N881" s="5">
        <f>IF($L881&gt;0,InterspecUsage[[#This Row],[Free-of-Max]]/InterspecUsage[[#This Row],[Usage-Delta-MB]],InterspecUsage[[#This Row],[Free-of-Max]])</f>
        <v>499</v>
      </c>
    </row>
    <row r="882" spans="1:14" x14ac:dyDescent="0.25">
      <c r="A882" s="3">
        <v>45159</v>
      </c>
      <c r="B882" s="15" t="s">
        <v>26</v>
      </c>
      <c r="C882" s="16">
        <v>95</v>
      </c>
      <c r="D882" s="16">
        <v>22288</v>
      </c>
      <c r="E882" s="16">
        <v>1205</v>
      </c>
      <c r="F882" s="16">
        <v>21083</v>
      </c>
      <c r="G882" s="16">
        <v>5</v>
      </c>
      <c r="H882" s="16">
        <v>40960</v>
      </c>
      <c r="I882" s="16">
        <v>51</v>
      </c>
      <c r="J882" s="15" t="s">
        <v>1</v>
      </c>
      <c r="K882" s="15" t="s">
        <v>2</v>
      </c>
      <c r="L882" s="8">
        <f>InterspecUsage[[#This Row],[Used-MB]]-F872</f>
        <v>0</v>
      </c>
      <c r="M882">
        <f>InterspecUsage[[#This Row],[Max]]-InterspecUsage[[#This Row],[Used-MB]]</f>
        <v>19877</v>
      </c>
      <c r="N882" s="5">
        <f>IF($L882&gt;0,InterspecUsage[[#This Row],[Free-of-Max]]/InterspecUsage[[#This Row],[Usage-Delta-MB]],InterspecUsage[[#This Row],[Free-of-Max]])</f>
        <v>19877</v>
      </c>
    </row>
    <row r="883" spans="1:14" x14ac:dyDescent="0.25">
      <c r="A883" s="3">
        <v>45159</v>
      </c>
      <c r="B883" s="15" t="s">
        <v>24</v>
      </c>
      <c r="C883" s="16">
        <v>90</v>
      </c>
      <c r="D883" s="16">
        <v>18400</v>
      </c>
      <c r="E883" s="16">
        <v>1845</v>
      </c>
      <c r="F883" s="16">
        <v>16555</v>
      </c>
      <c r="G883" s="16">
        <v>10</v>
      </c>
      <c r="H883" s="16">
        <v>32768</v>
      </c>
      <c r="I883" s="16">
        <v>51</v>
      </c>
      <c r="J883" s="15" t="s">
        <v>1</v>
      </c>
      <c r="K883" s="15" t="s">
        <v>2</v>
      </c>
      <c r="L883" s="8">
        <f>InterspecUsage[[#This Row],[Used-MB]]-F873</f>
        <v>33</v>
      </c>
      <c r="M883">
        <f>InterspecUsage[[#This Row],[Max]]-InterspecUsage[[#This Row],[Used-MB]]</f>
        <v>16213</v>
      </c>
      <c r="N883" s="5">
        <f>IF($L883&gt;0,InterspecUsage[[#This Row],[Free-of-Max]]/InterspecUsage[[#This Row],[Usage-Delta-MB]],InterspecUsage[[#This Row],[Free-of-Max]])</f>
        <v>491.30303030303031</v>
      </c>
    </row>
    <row r="884" spans="1:14" x14ac:dyDescent="0.25">
      <c r="A884" s="3">
        <v>45159</v>
      </c>
      <c r="B884" s="15" t="s">
        <v>35</v>
      </c>
      <c r="C884" s="16">
        <v>96</v>
      </c>
      <c r="D884" s="16">
        <v>27800</v>
      </c>
      <c r="E884" s="16">
        <v>1044</v>
      </c>
      <c r="F884" s="16">
        <v>26756</v>
      </c>
      <c r="G884" s="16">
        <v>4</v>
      </c>
      <c r="H884" s="16">
        <v>32768</v>
      </c>
      <c r="I884" s="16">
        <v>82</v>
      </c>
      <c r="J884" s="15" t="s">
        <v>1</v>
      </c>
      <c r="K884" s="15" t="s">
        <v>2</v>
      </c>
      <c r="L884" s="8">
        <f>InterspecUsage[[#This Row],[Used-MB]]-F874</f>
        <v>0</v>
      </c>
      <c r="M884">
        <f>InterspecUsage[[#This Row],[Max]]-InterspecUsage[[#This Row],[Used-MB]]</f>
        <v>6012</v>
      </c>
      <c r="N884" s="5">
        <f>IF($L884&gt;0,InterspecUsage[[#This Row],[Free-of-Max]]/InterspecUsage[[#This Row],[Usage-Delta-MB]],InterspecUsage[[#This Row],[Free-of-Max]])</f>
        <v>6012</v>
      </c>
    </row>
    <row r="885" spans="1:14" x14ac:dyDescent="0.25">
      <c r="A885" s="3">
        <v>45159</v>
      </c>
      <c r="B885" s="15" t="s">
        <v>27</v>
      </c>
      <c r="C885" s="16">
        <v>84</v>
      </c>
      <c r="D885" s="16">
        <v>163840</v>
      </c>
      <c r="E885" s="16">
        <v>26591</v>
      </c>
      <c r="F885" s="16">
        <v>137249</v>
      </c>
      <c r="G885" s="16">
        <v>16</v>
      </c>
      <c r="H885" s="16">
        <v>163840</v>
      </c>
      <c r="I885" s="16">
        <v>84</v>
      </c>
      <c r="J885" s="15" t="s">
        <v>1</v>
      </c>
      <c r="K885" s="15" t="s">
        <v>2</v>
      </c>
      <c r="L885" s="8">
        <f>InterspecUsage[[#This Row],[Used-MB]]-F875</f>
        <v>176</v>
      </c>
      <c r="M885">
        <f>InterspecUsage[[#This Row],[Max]]-InterspecUsage[[#This Row],[Used-MB]]</f>
        <v>26591</v>
      </c>
      <c r="N885" s="5">
        <f>IF($L885&gt;0,InterspecUsage[[#This Row],[Free-of-Max]]/InterspecUsage[[#This Row],[Usage-Delta-MB]],InterspecUsage[[#This Row],[Free-of-Max]])</f>
        <v>151.08522727272728</v>
      </c>
    </row>
    <row r="886" spans="1:14" x14ac:dyDescent="0.25">
      <c r="A886" s="3">
        <v>45159</v>
      </c>
      <c r="B886" s="15" t="s">
        <v>7</v>
      </c>
      <c r="C886" s="16">
        <v>95</v>
      </c>
      <c r="D886" s="16">
        <v>1670</v>
      </c>
      <c r="E886" s="16">
        <v>83</v>
      </c>
      <c r="F886" s="16">
        <v>1587</v>
      </c>
      <c r="G886" s="16">
        <v>5</v>
      </c>
      <c r="H886" s="16">
        <v>32768</v>
      </c>
      <c r="I886" s="16">
        <v>5</v>
      </c>
      <c r="J886" s="15" t="s">
        <v>1</v>
      </c>
      <c r="K886" s="15" t="s">
        <v>2</v>
      </c>
      <c r="L886" s="8">
        <f>InterspecUsage[[#This Row],[Used-MB]]-F876</f>
        <v>8</v>
      </c>
      <c r="M886">
        <f>InterspecUsage[[#This Row],[Max]]-InterspecUsage[[#This Row],[Used-MB]]</f>
        <v>31181</v>
      </c>
      <c r="N886" s="5">
        <f>IF($L886&gt;0,InterspecUsage[[#This Row],[Free-of-Max]]/InterspecUsage[[#This Row],[Usage-Delta-MB]],InterspecUsage[[#This Row],[Free-of-Max]])</f>
        <v>3897.625</v>
      </c>
    </row>
    <row r="887" spans="1:14" x14ac:dyDescent="0.25">
      <c r="A887" s="3">
        <v>45159</v>
      </c>
      <c r="B887" s="15" t="s">
        <v>0</v>
      </c>
      <c r="C887" s="16">
        <v>99</v>
      </c>
      <c r="D887" s="16">
        <v>4120</v>
      </c>
      <c r="E887" s="16">
        <v>23</v>
      </c>
      <c r="F887" s="16">
        <v>4097</v>
      </c>
      <c r="G887" s="16">
        <v>1</v>
      </c>
      <c r="H887" s="16">
        <v>32768</v>
      </c>
      <c r="I887" s="16">
        <v>13</v>
      </c>
      <c r="J887" s="15" t="s">
        <v>1</v>
      </c>
      <c r="K887" s="15" t="s">
        <v>2</v>
      </c>
      <c r="L887" s="8">
        <f>InterspecUsage[[#This Row],[Used-MB]]-F877</f>
        <v>0</v>
      </c>
      <c r="M887">
        <f>InterspecUsage[[#This Row],[Max]]-InterspecUsage[[#This Row],[Used-MB]]</f>
        <v>28671</v>
      </c>
      <c r="N887" s="5">
        <f>IF($L887&gt;0,InterspecUsage[[#This Row],[Free-of-Max]]/InterspecUsage[[#This Row],[Usage-Delta-MB]],InterspecUsage[[#This Row],[Free-of-Max]])</f>
        <v>28671</v>
      </c>
    </row>
    <row r="888" spans="1:14" x14ac:dyDescent="0.25">
      <c r="A888" s="3">
        <v>45159</v>
      </c>
      <c r="B888" s="15" t="s">
        <v>30</v>
      </c>
      <c r="C888" s="16">
        <v>0</v>
      </c>
      <c r="D888" s="16">
        <v>32767</v>
      </c>
      <c r="E888" s="16">
        <v>32758</v>
      </c>
      <c r="F888" s="16">
        <v>9</v>
      </c>
      <c r="G888" s="16">
        <v>100</v>
      </c>
      <c r="H888" s="16">
        <v>32768</v>
      </c>
      <c r="I888" s="16">
        <v>0</v>
      </c>
      <c r="J888" s="15" t="s">
        <v>1</v>
      </c>
      <c r="K888" s="15" t="s">
        <v>13</v>
      </c>
      <c r="L888" s="8">
        <f>InterspecUsage[[#This Row],[Used-MB]]-F878</f>
        <v>-22920</v>
      </c>
      <c r="M888">
        <f>InterspecUsage[[#This Row],[Max]]-InterspecUsage[[#This Row],[Used-MB]]</f>
        <v>32759</v>
      </c>
      <c r="N888" s="5">
        <f>IF($L888&gt;0,InterspecUsage[[#This Row],[Free-of-Max]]/InterspecUsage[[#This Row],[Usage-Delta-MB]],InterspecUsage[[#This Row],[Free-of-Max]])</f>
        <v>32759</v>
      </c>
    </row>
    <row r="889" spans="1:14" x14ac:dyDescent="0.25">
      <c r="A889" s="3">
        <v>45159</v>
      </c>
      <c r="B889" s="15" t="s">
        <v>28</v>
      </c>
      <c r="C889" s="16">
        <v>7</v>
      </c>
      <c r="D889" s="16">
        <v>23320</v>
      </c>
      <c r="E889" s="16">
        <v>21787</v>
      </c>
      <c r="F889" s="16">
        <v>1533</v>
      </c>
      <c r="G889" s="16">
        <v>93</v>
      </c>
      <c r="H889" s="16">
        <v>32768</v>
      </c>
      <c r="I889" s="16">
        <v>5</v>
      </c>
      <c r="J889" s="15" t="s">
        <v>1</v>
      </c>
      <c r="K889" s="15" t="s">
        <v>10</v>
      </c>
      <c r="L889" s="8">
        <f>InterspecUsage[[#This Row],[Used-MB]]-F879</f>
        <v>359</v>
      </c>
      <c r="M889">
        <f>InterspecUsage[[#This Row],[Max]]-InterspecUsage[[#This Row],[Used-MB]]</f>
        <v>31235</v>
      </c>
      <c r="N889" s="5">
        <f>IF($L889&gt;0,InterspecUsage[[#This Row],[Free-of-Max]]/InterspecUsage[[#This Row],[Usage-Delta-MB]],InterspecUsage[[#This Row],[Free-of-Max]])</f>
        <v>87.005571030640667</v>
      </c>
    </row>
    <row r="890" spans="1:14" x14ac:dyDescent="0.25">
      <c r="A890" s="3">
        <v>45159</v>
      </c>
      <c r="B890" s="15" t="s">
        <v>25</v>
      </c>
      <c r="C890" s="16">
        <v>72</v>
      </c>
      <c r="D890" s="16">
        <v>12700</v>
      </c>
      <c r="E890" s="16">
        <v>3528</v>
      </c>
      <c r="F890" s="16">
        <v>9172</v>
      </c>
      <c r="G890" s="16">
        <v>28</v>
      </c>
      <c r="H890" s="16">
        <v>32768</v>
      </c>
      <c r="I890" s="16">
        <v>28</v>
      </c>
      <c r="J890" s="15" t="s">
        <v>1</v>
      </c>
      <c r="K890" s="15" t="s">
        <v>2</v>
      </c>
      <c r="L890" s="8">
        <f>InterspecUsage[[#This Row],[Used-MB]]-F880</f>
        <v>16</v>
      </c>
      <c r="M890">
        <f>InterspecUsage[[#This Row],[Max]]-InterspecUsage[[#This Row],[Used-MB]]</f>
        <v>23596</v>
      </c>
      <c r="N890" s="5">
        <f>IF($L890&gt;0,InterspecUsage[[#This Row],[Free-of-Max]]/InterspecUsage[[#This Row],[Usage-Delta-MB]],InterspecUsage[[#This Row],[Free-of-Max]])</f>
        <v>1474.75</v>
      </c>
    </row>
    <row r="891" spans="1:14" x14ac:dyDescent="0.25">
      <c r="A891" s="3">
        <v>45159</v>
      </c>
      <c r="B891" s="15" t="s">
        <v>29</v>
      </c>
      <c r="C891" s="16">
        <v>0</v>
      </c>
      <c r="D891" s="16">
        <v>500</v>
      </c>
      <c r="E891" s="16">
        <v>499</v>
      </c>
      <c r="F891" s="16">
        <v>1</v>
      </c>
      <c r="G891" s="16">
        <v>100</v>
      </c>
      <c r="H891" s="16">
        <v>500</v>
      </c>
      <c r="I891" s="16">
        <v>0</v>
      </c>
      <c r="J891" s="15" t="s">
        <v>1</v>
      </c>
      <c r="K891" s="15" t="s">
        <v>2</v>
      </c>
      <c r="L891" s="8">
        <f>InterspecUsage[[#This Row],[Used-MB]]-F881</f>
        <v>0</v>
      </c>
      <c r="M891">
        <f>InterspecUsage[[#This Row],[Max]]-InterspecUsage[[#This Row],[Used-MB]]</f>
        <v>499</v>
      </c>
      <c r="N891" s="5">
        <f>IF($L891&gt;0,InterspecUsage[[#This Row],[Free-of-Max]]/InterspecUsage[[#This Row],[Usage-Delta-MB]],InterspecUsage[[#This Row],[Free-of-Max]])</f>
        <v>499</v>
      </c>
    </row>
    <row r="892" spans="1:14" x14ac:dyDescent="0.25">
      <c r="A892" s="3">
        <v>45166</v>
      </c>
      <c r="B892" s="15" t="s">
        <v>26</v>
      </c>
      <c r="C892" s="16">
        <v>95</v>
      </c>
      <c r="D892" s="16">
        <v>22288</v>
      </c>
      <c r="E892" s="16">
        <v>1204</v>
      </c>
      <c r="F892" s="16">
        <v>21084</v>
      </c>
      <c r="G892" s="16">
        <v>5</v>
      </c>
      <c r="H892" s="16">
        <v>40960</v>
      </c>
      <c r="I892" s="16">
        <v>51</v>
      </c>
      <c r="J892" s="15" t="s">
        <v>1</v>
      </c>
      <c r="K892" s="15" t="s">
        <v>2</v>
      </c>
      <c r="L892" s="8">
        <f>InterspecUsage[[#This Row],[Used-MB]]-F882</f>
        <v>1</v>
      </c>
      <c r="M892" s="22">
        <f>InterspecUsage[[#This Row],[Max]]-InterspecUsage[[#This Row],[Used-MB]]</f>
        <v>19876</v>
      </c>
      <c r="N892" s="5">
        <f>IF($L892&gt;0,InterspecUsage[[#This Row],[Free-of-Max]]/InterspecUsage[[#This Row],[Usage-Delta-MB]],InterspecUsage[[#This Row],[Free-of-Max]])</f>
        <v>19876</v>
      </c>
    </row>
    <row r="893" spans="1:14" x14ac:dyDescent="0.25">
      <c r="A893" s="3">
        <v>45166</v>
      </c>
      <c r="B893" s="15" t="s">
        <v>24</v>
      </c>
      <c r="C893" s="16">
        <v>90</v>
      </c>
      <c r="D893" s="16">
        <v>18400</v>
      </c>
      <c r="E893" s="16">
        <v>1818</v>
      </c>
      <c r="F893" s="16">
        <v>16582</v>
      </c>
      <c r="G893" s="16">
        <v>10</v>
      </c>
      <c r="H893" s="16">
        <v>32768</v>
      </c>
      <c r="I893" s="16">
        <v>51</v>
      </c>
      <c r="J893" s="15" t="s">
        <v>1</v>
      </c>
      <c r="K893" s="15" t="s">
        <v>2</v>
      </c>
      <c r="L893" s="8">
        <f>InterspecUsage[[#This Row],[Used-MB]]-F883</f>
        <v>27</v>
      </c>
      <c r="M893" s="22">
        <f>InterspecUsage[[#This Row],[Max]]-InterspecUsage[[#This Row],[Used-MB]]</f>
        <v>16186</v>
      </c>
      <c r="N893" s="5">
        <f>IF($L893&gt;0,InterspecUsage[[#This Row],[Free-of-Max]]/InterspecUsage[[#This Row],[Usage-Delta-MB]],InterspecUsage[[#This Row],[Free-of-Max]])</f>
        <v>599.48148148148152</v>
      </c>
    </row>
    <row r="894" spans="1:14" x14ac:dyDescent="0.25">
      <c r="A894" s="3">
        <v>45166</v>
      </c>
      <c r="B894" s="15" t="s">
        <v>35</v>
      </c>
      <c r="C894" s="16">
        <v>95</v>
      </c>
      <c r="D894" s="16">
        <v>28200</v>
      </c>
      <c r="E894" s="16">
        <v>1316</v>
      </c>
      <c r="F894" s="16">
        <v>26884</v>
      </c>
      <c r="G894" s="16">
        <v>5</v>
      </c>
      <c r="H894" s="16">
        <v>32768</v>
      </c>
      <c r="I894" s="16">
        <v>82</v>
      </c>
      <c r="J894" s="15" t="s">
        <v>1</v>
      </c>
      <c r="K894" s="15" t="s">
        <v>2</v>
      </c>
      <c r="L894" s="8">
        <f>InterspecUsage[[#This Row],[Used-MB]]-F884</f>
        <v>128</v>
      </c>
      <c r="M894" s="22">
        <f>InterspecUsage[[#This Row],[Max]]-InterspecUsage[[#This Row],[Used-MB]]</f>
        <v>5884</v>
      </c>
      <c r="N894" s="5">
        <f>IF($L894&gt;0,InterspecUsage[[#This Row],[Free-of-Max]]/InterspecUsage[[#This Row],[Usage-Delta-MB]],InterspecUsage[[#This Row],[Free-of-Max]])</f>
        <v>45.96875</v>
      </c>
    </row>
    <row r="895" spans="1:14" x14ac:dyDescent="0.25">
      <c r="A895" s="3">
        <v>45166</v>
      </c>
      <c r="B895" s="15" t="s">
        <v>27</v>
      </c>
      <c r="C895" s="16">
        <v>84</v>
      </c>
      <c r="D895" s="16">
        <v>163840</v>
      </c>
      <c r="E895" s="16">
        <v>26065</v>
      </c>
      <c r="F895" s="16">
        <v>137775</v>
      </c>
      <c r="G895" s="16">
        <v>16</v>
      </c>
      <c r="H895" s="16">
        <v>163840</v>
      </c>
      <c r="I895" s="16">
        <v>84</v>
      </c>
      <c r="J895" s="15" t="s">
        <v>1</v>
      </c>
      <c r="K895" s="15" t="s">
        <v>2</v>
      </c>
      <c r="L895" s="8">
        <f>InterspecUsage[[#This Row],[Used-MB]]-F885</f>
        <v>526</v>
      </c>
      <c r="M895" s="22">
        <f>InterspecUsage[[#This Row],[Max]]-InterspecUsage[[#This Row],[Used-MB]]</f>
        <v>26065</v>
      </c>
      <c r="N895" s="5">
        <f>IF($L895&gt;0,InterspecUsage[[#This Row],[Free-of-Max]]/InterspecUsage[[#This Row],[Usage-Delta-MB]],InterspecUsage[[#This Row],[Free-of-Max]])</f>
        <v>49.553231939163496</v>
      </c>
    </row>
    <row r="896" spans="1:14" x14ac:dyDescent="0.25">
      <c r="A896" s="3">
        <v>45166</v>
      </c>
      <c r="B896" s="15" t="s">
        <v>7</v>
      </c>
      <c r="C896" s="16">
        <v>96</v>
      </c>
      <c r="D896" s="16">
        <v>1670</v>
      </c>
      <c r="E896" s="16">
        <v>74</v>
      </c>
      <c r="F896" s="16">
        <v>1596</v>
      </c>
      <c r="G896" s="16">
        <v>4</v>
      </c>
      <c r="H896" s="16">
        <v>32768</v>
      </c>
      <c r="I896" s="16">
        <v>5</v>
      </c>
      <c r="J896" s="15" t="s">
        <v>1</v>
      </c>
      <c r="K896" s="15" t="s">
        <v>2</v>
      </c>
      <c r="L896" s="8">
        <f>InterspecUsage[[#This Row],[Used-MB]]-F886</f>
        <v>9</v>
      </c>
      <c r="M896" s="22">
        <f>InterspecUsage[[#This Row],[Max]]-InterspecUsage[[#This Row],[Used-MB]]</f>
        <v>31172</v>
      </c>
      <c r="N896" s="5">
        <f>IF($L896&gt;0,InterspecUsage[[#This Row],[Free-of-Max]]/InterspecUsage[[#This Row],[Usage-Delta-MB]],InterspecUsage[[#This Row],[Free-of-Max]])</f>
        <v>3463.5555555555557</v>
      </c>
    </row>
    <row r="897" spans="1:14" x14ac:dyDescent="0.25">
      <c r="A897" s="3">
        <v>45166</v>
      </c>
      <c r="B897" s="15" t="s">
        <v>0</v>
      </c>
      <c r="C897" s="16">
        <v>99</v>
      </c>
      <c r="D897" s="16">
        <v>4120</v>
      </c>
      <c r="E897" s="16">
        <v>23</v>
      </c>
      <c r="F897" s="16">
        <v>4097</v>
      </c>
      <c r="G897" s="16">
        <v>1</v>
      </c>
      <c r="H897" s="16">
        <v>32768</v>
      </c>
      <c r="I897" s="16">
        <v>13</v>
      </c>
      <c r="J897" s="15" t="s">
        <v>1</v>
      </c>
      <c r="K897" s="15" t="s">
        <v>2</v>
      </c>
      <c r="L897" s="8">
        <f>InterspecUsage[[#This Row],[Used-MB]]-F887</f>
        <v>0</v>
      </c>
      <c r="M897" s="22">
        <f>InterspecUsage[[#This Row],[Max]]-InterspecUsage[[#This Row],[Used-MB]]</f>
        <v>28671</v>
      </c>
      <c r="N897" s="5">
        <f>IF($L897&gt;0,InterspecUsage[[#This Row],[Free-of-Max]]/InterspecUsage[[#This Row],[Usage-Delta-MB]],InterspecUsage[[#This Row],[Free-of-Max]])</f>
        <v>28671</v>
      </c>
    </row>
    <row r="898" spans="1:14" x14ac:dyDescent="0.25">
      <c r="A898" s="3">
        <v>45166</v>
      </c>
      <c r="B898" s="15" t="s">
        <v>30</v>
      </c>
      <c r="C898" s="16">
        <v>0</v>
      </c>
      <c r="D898" s="16">
        <v>32767</v>
      </c>
      <c r="E898" s="16">
        <v>32751</v>
      </c>
      <c r="F898" s="16">
        <v>16</v>
      </c>
      <c r="G898" s="16">
        <v>100</v>
      </c>
      <c r="H898" s="16">
        <v>32768</v>
      </c>
      <c r="I898" s="16">
        <v>0</v>
      </c>
      <c r="J898" s="15" t="s">
        <v>1</v>
      </c>
      <c r="K898" s="15" t="s">
        <v>13</v>
      </c>
      <c r="L898" s="8">
        <f>InterspecUsage[[#This Row],[Used-MB]]-F888</f>
        <v>7</v>
      </c>
      <c r="M898" s="22">
        <f>InterspecUsage[[#This Row],[Max]]-InterspecUsage[[#This Row],[Used-MB]]</f>
        <v>32752</v>
      </c>
      <c r="N898" s="5">
        <f>IF($L898&gt;0,InterspecUsage[[#This Row],[Free-of-Max]]/InterspecUsage[[#This Row],[Usage-Delta-MB]],InterspecUsage[[#This Row],[Free-of-Max]])</f>
        <v>4678.8571428571431</v>
      </c>
    </row>
    <row r="899" spans="1:14" x14ac:dyDescent="0.25">
      <c r="A899" s="3">
        <v>45166</v>
      </c>
      <c r="B899" s="15" t="s">
        <v>28</v>
      </c>
      <c r="C899" s="16">
        <v>3</v>
      </c>
      <c r="D899" s="16">
        <v>23320</v>
      </c>
      <c r="E899" s="16">
        <v>22616</v>
      </c>
      <c r="F899" s="16">
        <v>704</v>
      </c>
      <c r="G899" s="16">
        <v>97</v>
      </c>
      <c r="H899" s="16">
        <v>32768</v>
      </c>
      <c r="I899" s="16">
        <v>2</v>
      </c>
      <c r="J899" s="15" t="s">
        <v>1</v>
      </c>
      <c r="K899" s="15" t="s">
        <v>10</v>
      </c>
      <c r="L899" s="8">
        <f>InterspecUsage[[#This Row],[Used-MB]]-F889</f>
        <v>-829</v>
      </c>
      <c r="M899" s="22">
        <f>InterspecUsage[[#This Row],[Max]]-InterspecUsage[[#This Row],[Used-MB]]</f>
        <v>32064</v>
      </c>
      <c r="N899" s="5">
        <f>IF($L899&gt;0,InterspecUsage[[#This Row],[Free-of-Max]]/InterspecUsage[[#This Row],[Usage-Delta-MB]],InterspecUsage[[#This Row],[Free-of-Max]])</f>
        <v>32064</v>
      </c>
    </row>
    <row r="900" spans="1:14" x14ac:dyDescent="0.25">
      <c r="A900" s="3">
        <v>45166</v>
      </c>
      <c r="B900" s="15" t="s">
        <v>25</v>
      </c>
      <c r="C900" s="16">
        <v>72</v>
      </c>
      <c r="D900" s="16">
        <v>12700</v>
      </c>
      <c r="E900" s="16">
        <v>3510</v>
      </c>
      <c r="F900" s="16">
        <v>9191</v>
      </c>
      <c r="G900" s="16">
        <v>28</v>
      </c>
      <c r="H900" s="16">
        <v>32768</v>
      </c>
      <c r="I900" s="16">
        <v>28</v>
      </c>
      <c r="J900" s="15" t="s">
        <v>1</v>
      </c>
      <c r="K900" s="15" t="s">
        <v>2</v>
      </c>
      <c r="L900" s="8">
        <f>InterspecUsage[[#This Row],[Used-MB]]-F890</f>
        <v>19</v>
      </c>
      <c r="M900" s="22">
        <f>InterspecUsage[[#This Row],[Max]]-InterspecUsage[[#This Row],[Used-MB]]</f>
        <v>23577</v>
      </c>
      <c r="N900" s="5">
        <f>IF($L900&gt;0,InterspecUsage[[#This Row],[Free-of-Max]]/InterspecUsage[[#This Row],[Usage-Delta-MB]],InterspecUsage[[#This Row],[Free-of-Max]])</f>
        <v>1240.8947368421052</v>
      </c>
    </row>
    <row r="901" spans="1:14" x14ac:dyDescent="0.25">
      <c r="A901" s="3">
        <v>45166</v>
      </c>
      <c r="B901" s="15" t="s">
        <v>29</v>
      </c>
      <c r="C901" s="16">
        <v>0</v>
      </c>
      <c r="D901" s="16">
        <v>500</v>
      </c>
      <c r="E901" s="16">
        <v>499</v>
      </c>
      <c r="F901" s="16">
        <v>1</v>
      </c>
      <c r="G901" s="16">
        <v>100</v>
      </c>
      <c r="H901" s="16">
        <v>500</v>
      </c>
      <c r="I901" s="16">
        <v>0</v>
      </c>
      <c r="J901" s="15" t="s">
        <v>1</v>
      </c>
      <c r="K901" s="15" t="s">
        <v>2</v>
      </c>
      <c r="L901" s="8">
        <f>InterspecUsage[[#This Row],[Used-MB]]-F891</f>
        <v>0</v>
      </c>
      <c r="M901" s="22">
        <f>InterspecUsage[[#This Row],[Max]]-InterspecUsage[[#This Row],[Used-MB]]</f>
        <v>499</v>
      </c>
      <c r="N901" s="5">
        <f>IF($L901&gt;0,InterspecUsage[[#This Row],[Free-of-Max]]/InterspecUsage[[#This Row],[Usage-Delta-MB]],InterspecUsage[[#This Row],[Free-of-Max]])</f>
        <v>499</v>
      </c>
    </row>
  </sheetData>
  <conditionalFormatting sqref="B1:B1048576">
    <cfRule type="containsText" dxfId="21" priority="1" operator="containsText" text="SPECDATA">
      <formula>NOT(ISERROR(SEARCH("SPECDATA",B1)))</formula>
    </cfRule>
    <cfRule type="cellIs" dxfId="20" priority="6" operator="equal">
      <formula>"SPECI"</formula>
    </cfRule>
    <cfRule type="cellIs" dxfId="19" priority="7" operator="equal">
      <formula>"SPECD"</formula>
    </cfRule>
  </conditionalFormatting>
  <conditionalFormatting sqref="AJ1">
    <cfRule type="cellIs" dxfId="18" priority="4" operator="equal">
      <formula>"UNI_DATAO"</formula>
    </cfRule>
    <cfRule type="cellIs" dxfId="17" priority="5" operator="equal">
      <formula>"UNI_INDEXO"</formula>
    </cfRule>
  </conditionalFormatting>
  <conditionalFormatting sqref="S1">
    <cfRule type="cellIs" dxfId="16" priority="2" operator="equal">
      <formula>"UNI_DATAO"</formula>
    </cfRule>
    <cfRule type="cellIs" dxfId="15" priority="3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8E671-E9A0-45F1-863E-E34B45ED6117}">
  <sheetPr codeName="Blad4"/>
  <dimension ref="A1"/>
  <sheetViews>
    <sheetView workbookViewId="0">
      <selection activeCell="O35" sqref="O35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12</vt:i4>
      </vt:variant>
    </vt:vector>
  </HeadingPairs>
  <TitlesOfParts>
    <vt:vector size="16" baseType="lpstr">
      <vt:lpstr>UNILAB</vt:lpstr>
      <vt:lpstr>UNILAB-GRAPH</vt:lpstr>
      <vt:lpstr>INTERSPC</vt:lpstr>
      <vt:lpstr>INTERSPC-GRAPH</vt:lpstr>
      <vt:lpstr>INTERSPC!Criteria</vt:lpstr>
      <vt:lpstr>UNILAB!Criteria</vt:lpstr>
      <vt:lpstr>Criteria_DATAO</vt:lpstr>
      <vt:lpstr>UNILAB!Criteria_INDEXO</vt:lpstr>
      <vt:lpstr>Criteria_SEPCI</vt:lpstr>
      <vt:lpstr>Criteria_SPECD</vt:lpstr>
      <vt:lpstr>INTERSPC!Ophalen</vt:lpstr>
      <vt:lpstr>UNILAB!Ophalen</vt:lpstr>
      <vt:lpstr>Ophalen_DATAO</vt:lpstr>
      <vt:lpstr>UNILAB!Ophalen_INDEXO</vt:lpstr>
      <vt:lpstr>Ophalen_SPECD</vt:lpstr>
      <vt:lpstr>Ophalen_SPECI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Schepens</dc:creator>
  <cp:lastModifiedBy>Peter Schepens</cp:lastModifiedBy>
  <dcterms:created xsi:type="dcterms:W3CDTF">2021-02-16T09:10:31Z</dcterms:created>
  <dcterms:modified xsi:type="dcterms:W3CDTF">2023-08-28T07:03:21Z</dcterms:modified>
</cp:coreProperties>
</file>