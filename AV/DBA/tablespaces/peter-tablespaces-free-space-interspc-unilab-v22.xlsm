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oracle/tablespaces/"/>
    </mc:Choice>
  </mc:AlternateContent>
  <xr:revisionPtr revIDLastSave="32" documentId="8_{698F0A1D-687A-4908-8459-05EEA9DC5348}" xr6:coauthVersionLast="47" xr6:coauthVersionMax="47" xr10:uidLastSave="{6482CFBC-0105-4247-A5C8-EC13D75A92CD}"/>
  <bookViews>
    <workbookView xWindow="37935" yWindow="2625" windowWidth="29640" windowHeight="18015" tabRatio="354" activeTab="1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INTERSPC!$A$1:$N$981</definedName>
    <definedName name="_xlnm._FilterDatabase" localSheetId="0" hidden="1">UNILAB!$A$1:$N$991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82" i="1" l="1"/>
  <c r="L983" i="1"/>
  <c r="L984" i="1"/>
  <c r="L985" i="1"/>
  <c r="L986" i="1"/>
  <c r="L987" i="1"/>
  <c r="L988" i="1"/>
  <c r="L989" i="1"/>
  <c r="L990" i="1"/>
  <c r="L991" i="1"/>
  <c r="M982" i="1"/>
  <c r="M983" i="1"/>
  <c r="M984" i="1"/>
  <c r="M985" i="1"/>
  <c r="M986" i="1"/>
  <c r="M987" i="1"/>
  <c r="M988" i="1"/>
  <c r="M989" i="1"/>
  <c r="M990" i="1"/>
  <c r="M991" i="1"/>
  <c r="N982" i="1"/>
  <c r="N983" i="1"/>
  <c r="N984" i="1"/>
  <c r="N985" i="1"/>
  <c r="N986" i="1"/>
  <c r="N987" i="1"/>
  <c r="N988" i="1"/>
  <c r="N989" i="1"/>
  <c r="N990" i="1"/>
  <c r="N991" i="1"/>
  <c r="L972" i="2"/>
  <c r="L973" i="2"/>
  <c r="L974" i="2"/>
  <c r="L975" i="2"/>
  <c r="L976" i="2"/>
  <c r="L977" i="2"/>
  <c r="L978" i="2"/>
  <c r="L979" i="2"/>
  <c r="L980" i="2"/>
  <c r="L981" i="2"/>
  <c r="M972" i="2"/>
  <c r="M973" i="2"/>
  <c r="M974" i="2"/>
  <c r="M975" i="2"/>
  <c r="M976" i="2"/>
  <c r="M977" i="2"/>
  <c r="M978" i="2"/>
  <c r="M979" i="2"/>
  <c r="M980" i="2"/>
  <c r="M981" i="2"/>
  <c r="N972" i="2"/>
  <c r="N973" i="2"/>
  <c r="N976" i="2"/>
  <c r="N977" i="2"/>
  <c r="N980" i="2"/>
  <c r="N981" i="2"/>
  <c r="L972" i="1"/>
  <c r="L973" i="1"/>
  <c r="L974" i="1"/>
  <c r="L975" i="1"/>
  <c r="L976" i="1"/>
  <c r="L977" i="1"/>
  <c r="L978" i="1"/>
  <c r="L979" i="1"/>
  <c r="L980" i="1"/>
  <c r="L981" i="1"/>
  <c r="M972" i="1"/>
  <c r="M973" i="1"/>
  <c r="N973" i="1" s="1"/>
  <c r="M974" i="1"/>
  <c r="M975" i="1"/>
  <c r="M976" i="1"/>
  <c r="M977" i="1"/>
  <c r="M978" i="1"/>
  <c r="M979" i="1"/>
  <c r="M980" i="1"/>
  <c r="M981" i="1"/>
  <c r="N972" i="1"/>
  <c r="N976" i="1"/>
  <c r="N977" i="1"/>
  <c r="N980" i="1"/>
  <c r="N981" i="1"/>
  <c r="L962" i="2"/>
  <c r="L963" i="2"/>
  <c r="L964" i="2"/>
  <c r="L965" i="2"/>
  <c r="L966" i="2"/>
  <c r="N966" i="2" s="1"/>
  <c r="L967" i="2"/>
  <c r="N967" i="2" s="1"/>
  <c r="L968" i="2"/>
  <c r="L969" i="2"/>
  <c r="L970" i="2"/>
  <c r="L971" i="2"/>
  <c r="M962" i="2"/>
  <c r="M963" i="2"/>
  <c r="M964" i="2"/>
  <c r="N964" i="2" s="1"/>
  <c r="M965" i="2"/>
  <c r="M966" i="2"/>
  <c r="M967" i="2"/>
  <c r="M968" i="2"/>
  <c r="N968" i="2" s="1"/>
  <c r="M969" i="2"/>
  <c r="M970" i="2"/>
  <c r="M971" i="2"/>
  <c r="N962" i="2"/>
  <c r="N963" i="2"/>
  <c r="N970" i="2"/>
  <c r="N971" i="2"/>
  <c r="L962" i="1"/>
  <c r="L963" i="1"/>
  <c r="L964" i="1"/>
  <c r="L965" i="1"/>
  <c r="L966" i="1"/>
  <c r="L967" i="1"/>
  <c r="L968" i="1"/>
  <c r="L969" i="1"/>
  <c r="L970" i="1"/>
  <c r="N970" i="1" s="1"/>
  <c r="L971" i="1"/>
  <c r="N971" i="1" s="1"/>
  <c r="M962" i="1"/>
  <c r="M963" i="1"/>
  <c r="M964" i="1"/>
  <c r="N964" i="1" s="1"/>
  <c r="M965" i="1"/>
  <c r="M966" i="1"/>
  <c r="M967" i="1"/>
  <c r="M968" i="1"/>
  <c r="N968" i="1" s="1"/>
  <c r="M969" i="1"/>
  <c r="M970" i="1"/>
  <c r="M971" i="1"/>
  <c r="N962" i="1"/>
  <c r="N963" i="1"/>
  <c r="L952" i="2"/>
  <c r="L953" i="2"/>
  <c r="L954" i="2"/>
  <c r="L955" i="2"/>
  <c r="L956" i="2"/>
  <c r="N956" i="2" s="1"/>
  <c r="L957" i="2"/>
  <c r="N957" i="2" s="1"/>
  <c r="L958" i="2"/>
  <c r="L959" i="2"/>
  <c r="L960" i="2"/>
  <c r="N960" i="2" s="1"/>
  <c r="L961" i="2"/>
  <c r="N961" i="2" s="1"/>
  <c r="M952" i="2"/>
  <c r="M953" i="2"/>
  <c r="M954" i="2"/>
  <c r="M955" i="2"/>
  <c r="M956" i="2"/>
  <c r="M957" i="2"/>
  <c r="M958" i="2"/>
  <c r="M959" i="2"/>
  <c r="M960" i="2"/>
  <c r="M961" i="2"/>
  <c r="N952" i="2"/>
  <c r="N953" i="2"/>
  <c r="L952" i="1"/>
  <c r="L953" i="1"/>
  <c r="L954" i="1"/>
  <c r="L955" i="1"/>
  <c r="L956" i="1"/>
  <c r="L957" i="1"/>
  <c r="L958" i="1"/>
  <c r="L959" i="1"/>
  <c r="L960" i="1"/>
  <c r="L961" i="1"/>
  <c r="M952" i="1"/>
  <c r="M953" i="1"/>
  <c r="M954" i="1"/>
  <c r="M955" i="1"/>
  <c r="M956" i="1"/>
  <c r="M957" i="1"/>
  <c r="M958" i="1"/>
  <c r="M959" i="1"/>
  <c r="M960" i="1"/>
  <c r="M961" i="1"/>
  <c r="L942" i="2"/>
  <c r="L943" i="2"/>
  <c r="L944" i="2"/>
  <c r="L945" i="2"/>
  <c r="L946" i="2"/>
  <c r="N946" i="2" s="1"/>
  <c r="L947" i="2"/>
  <c r="N947" i="2" s="1"/>
  <c r="L948" i="2"/>
  <c r="L949" i="2"/>
  <c r="L950" i="2"/>
  <c r="N950" i="2" s="1"/>
  <c r="L951" i="2"/>
  <c r="N951" i="2" s="1"/>
  <c r="M942" i="2"/>
  <c r="M943" i="2"/>
  <c r="M944" i="2"/>
  <c r="N944" i="2" s="1"/>
  <c r="M945" i="2"/>
  <c r="M946" i="2"/>
  <c r="M947" i="2"/>
  <c r="M948" i="2"/>
  <c r="N948" i="2" s="1"/>
  <c r="M949" i="2"/>
  <c r="M950" i="2"/>
  <c r="M951" i="2"/>
  <c r="N942" i="2"/>
  <c r="N943" i="2"/>
  <c r="L942" i="1"/>
  <c r="L943" i="1"/>
  <c r="L944" i="1"/>
  <c r="L945" i="1"/>
  <c r="L946" i="1"/>
  <c r="L947" i="1"/>
  <c r="L948" i="1"/>
  <c r="L949" i="1"/>
  <c r="L950" i="1"/>
  <c r="L951" i="1"/>
  <c r="M942" i="1"/>
  <c r="M943" i="1"/>
  <c r="M944" i="1"/>
  <c r="M945" i="1"/>
  <c r="M946" i="1"/>
  <c r="M947" i="1"/>
  <c r="M948" i="1"/>
  <c r="M949" i="1"/>
  <c r="M950" i="1"/>
  <c r="M951" i="1"/>
  <c r="L932" i="2"/>
  <c r="L933" i="2"/>
  <c r="L934" i="2"/>
  <c r="L935" i="2"/>
  <c r="L936" i="2"/>
  <c r="L937" i="2"/>
  <c r="L938" i="2"/>
  <c r="L939" i="2"/>
  <c r="L940" i="2"/>
  <c r="L941" i="2"/>
  <c r="M932" i="2"/>
  <c r="M933" i="2"/>
  <c r="M934" i="2"/>
  <c r="M935" i="2"/>
  <c r="M936" i="2"/>
  <c r="N936" i="2" s="1"/>
  <c r="M937" i="2"/>
  <c r="N937" i="2" s="1"/>
  <c r="M938" i="2"/>
  <c r="M939" i="2"/>
  <c r="M940" i="2"/>
  <c r="M941" i="2"/>
  <c r="L932" i="1"/>
  <c r="L933" i="1"/>
  <c r="L934" i="1"/>
  <c r="L935" i="1"/>
  <c r="L936" i="1"/>
  <c r="L937" i="1"/>
  <c r="L938" i="1"/>
  <c r="L939" i="1"/>
  <c r="L940" i="1"/>
  <c r="L941" i="1"/>
  <c r="M932" i="1"/>
  <c r="M933" i="1"/>
  <c r="M934" i="1"/>
  <c r="M935" i="1"/>
  <c r="M936" i="1"/>
  <c r="M937" i="1"/>
  <c r="M938" i="1"/>
  <c r="M939" i="1"/>
  <c r="M940" i="1"/>
  <c r="M941" i="1"/>
  <c r="L922" i="2"/>
  <c r="L923" i="2"/>
  <c r="L924" i="2"/>
  <c r="L925" i="2"/>
  <c r="L926" i="2"/>
  <c r="L927" i="2"/>
  <c r="L928" i="2"/>
  <c r="L929" i="2"/>
  <c r="L930" i="2"/>
  <c r="L931" i="2"/>
  <c r="M922" i="2"/>
  <c r="M923" i="2"/>
  <c r="M924" i="2"/>
  <c r="M925" i="2"/>
  <c r="M926" i="2"/>
  <c r="M927" i="2"/>
  <c r="M928" i="2"/>
  <c r="M929" i="2"/>
  <c r="M930" i="2"/>
  <c r="M931" i="2"/>
  <c r="L922" i="1"/>
  <c r="L923" i="1"/>
  <c r="L924" i="1"/>
  <c r="L925" i="1"/>
  <c r="L926" i="1"/>
  <c r="L927" i="1"/>
  <c r="L928" i="1"/>
  <c r="L929" i="1"/>
  <c r="L930" i="1"/>
  <c r="L931" i="1"/>
  <c r="M922" i="1"/>
  <c r="M923" i="1"/>
  <c r="M924" i="1"/>
  <c r="M925" i="1"/>
  <c r="M926" i="1"/>
  <c r="M927" i="1"/>
  <c r="M928" i="1"/>
  <c r="M929" i="1"/>
  <c r="M930" i="1"/>
  <c r="M931" i="1"/>
  <c r="L912" i="2"/>
  <c r="L913" i="2"/>
  <c r="L914" i="2"/>
  <c r="L915" i="2"/>
  <c r="L916" i="2"/>
  <c r="L917" i="2"/>
  <c r="L918" i="2"/>
  <c r="L919" i="2"/>
  <c r="L920" i="2"/>
  <c r="L921" i="2"/>
  <c r="M912" i="2"/>
  <c r="M913" i="2"/>
  <c r="M914" i="2"/>
  <c r="M915" i="2"/>
  <c r="M916" i="2"/>
  <c r="M917" i="2"/>
  <c r="M918" i="2"/>
  <c r="M919" i="2"/>
  <c r="M920" i="2"/>
  <c r="M921" i="2"/>
  <c r="L912" i="1"/>
  <c r="L913" i="1"/>
  <c r="L914" i="1"/>
  <c r="L915" i="1"/>
  <c r="L916" i="1"/>
  <c r="L917" i="1"/>
  <c r="L918" i="1"/>
  <c r="L919" i="1"/>
  <c r="L920" i="1"/>
  <c r="L921" i="1"/>
  <c r="M912" i="1"/>
  <c r="M913" i="1"/>
  <c r="M914" i="1"/>
  <c r="M915" i="1"/>
  <c r="M916" i="1"/>
  <c r="M917" i="1"/>
  <c r="M918" i="1"/>
  <c r="M919" i="1"/>
  <c r="M920" i="1"/>
  <c r="M921" i="1"/>
  <c r="L902" i="2"/>
  <c r="L903" i="2"/>
  <c r="L904" i="2"/>
  <c r="L905" i="2"/>
  <c r="L906" i="2"/>
  <c r="L907" i="2"/>
  <c r="L908" i="2"/>
  <c r="L909" i="2"/>
  <c r="L910" i="2"/>
  <c r="L911" i="2"/>
  <c r="M902" i="2"/>
  <c r="M903" i="2"/>
  <c r="M904" i="2"/>
  <c r="M905" i="2"/>
  <c r="M906" i="2"/>
  <c r="M907" i="2"/>
  <c r="M908" i="2"/>
  <c r="M909" i="2"/>
  <c r="M910" i="2"/>
  <c r="M911" i="2"/>
  <c r="L902" i="1"/>
  <c r="L903" i="1"/>
  <c r="L904" i="1"/>
  <c r="L905" i="1"/>
  <c r="L906" i="1"/>
  <c r="L907" i="1"/>
  <c r="L908" i="1"/>
  <c r="L909" i="1"/>
  <c r="L910" i="1"/>
  <c r="L911" i="1"/>
  <c r="M902" i="1"/>
  <c r="M903" i="1"/>
  <c r="M904" i="1"/>
  <c r="M905" i="1"/>
  <c r="M906" i="1"/>
  <c r="M907" i="1"/>
  <c r="M908" i="1"/>
  <c r="M909" i="1"/>
  <c r="M910" i="1"/>
  <c r="M911" i="1"/>
  <c r="L892" i="2"/>
  <c r="L893" i="2"/>
  <c r="L894" i="2"/>
  <c r="L895" i="2"/>
  <c r="L896" i="2"/>
  <c r="L897" i="2"/>
  <c r="L898" i="2"/>
  <c r="L899" i="2"/>
  <c r="L900" i="2"/>
  <c r="L901" i="2"/>
  <c r="M892" i="2"/>
  <c r="M893" i="2"/>
  <c r="M894" i="2"/>
  <c r="M895" i="2"/>
  <c r="M896" i="2"/>
  <c r="M897" i="2"/>
  <c r="M898" i="2"/>
  <c r="M899" i="2"/>
  <c r="M900" i="2"/>
  <c r="M901" i="2"/>
  <c r="L892" i="1"/>
  <c r="L893" i="1"/>
  <c r="L894" i="1"/>
  <c r="L895" i="1"/>
  <c r="L896" i="1"/>
  <c r="L897" i="1"/>
  <c r="L898" i="1"/>
  <c r="L899" i="1"/>
  <c r="L900" i="1"/>
  <c r="L901" i="1"/>
  <c r="M892" i="1"/>
  <c r="M893" i="1"/>
  <c r="M894" i="1"/>
  <c r="M895" i="1"/>
  <c r="M896" i="1"/>
  <c r="M897" i="1"/>
  <c r="M898" i="1"/>
  <c r="M899" i="1"/>
  <c r="M900" i="1"/>
  <c r="M901" i="1"/>
  <c r="L882" i="2"/>
  <c r="L883" i="2"/>
  <c r="L884" i="2"/>
  <c r="L885" i="2"/>
  <c r="L886" i="2"/>
  <c r="L887" i="2"/>
  <c r="L888" i="2"/>
  <c r="L889" i="2"/>
  <c r="L890" i="2"/>
  <c r="L891" i="2"/>
  <c r="M882" i="2"/>
  <c r="M883" i="2"/>
  <c r="M884" i="2"/>
  <c r="M885" i="2"/>
  <c r="M886" i="2"/>
  <c r="M887" i="2"/>
  <c r="M888" i="2"/>
  <c r="M889" i="2"/>
  <c r="M890" i="2"/>
  <c r="M891" i="2"/>
  <c r="L882" i="1"/>
  <c r="L883" i="1"/>
  <c r="L884" i="1"/>
  <c r="L885" i="1"/>
  <c r="L886" i="1"/>
  <c r="L887" i="1"/>
  <c r="L888" i="1"/>
  <c r="L889" i="1"/>
  <c r="L890" i="1"/>
  <c r="L891" i="1"/>
  <c r="M882" i="1"/>
  <c r="M883" i="1"/>
  <c r="M884" i="1"/>
  <c r="M885" i="1"/>
  <c r="M886" i="1"/>
  <c r="M887" i="1"/>
  <c r="M888" i="1"/>
  <c r="M889" i="1"/>
  <c r="M890" i="1"/>
  <c r="M891" i="1"/>
  <c r="L872" i="2"/>
  <c r="L873" i="2"/>
  <c r="L874" i="2"/>
  <c r="L875" i="2"/>
  <c r="L876" i="2"/>
  <c r="L877" i="2"/>
  <c r="L878" i="2"/>
  <c r="L879" i="2"/>
  <c r="L880" i="2"/>
  <c r="L881" i="2"/>
  <c r="M872" i="2"/>
  <c r="M873" i="2"/>
  <c r="M874" i="2"/>
  <c r="M875" i="2"/>
  <c r="M876" i="2"/>
  <c r="M877" i="2"/>
  <c r="M878" i="2"/>
  <c r="M879" i="2"/>
  <c r="M880" i="2"/>
  <c r="M881" i="2"/>
  <c r="L872" i="1"/>
  <c r="L873" i="1"/>
  <c r="L874" i="1"/>
  <c r="L875" i="1"/>
  <c r="L876" i="1"/>
  <c r="L877" i="1"/>
  <c r="L878" i="1"/>
  <c r="L879" i="1"/>
  <c r="L880" i="1"/>
  <c r="L881" i="1"/>
  <c r="M872" i="1"/>
  <c r="M873" i="1"/>
  <c r="M874" i="1"/>
  <c r="M875" i="1"/>
  <c r="M876" i="1"/>
  <c r="M877" i="1"/>
  <c r="M878" i="1"/>
  <c r="M879" i="1"/>
  <c r="M880" i="1"/>
  <c r="M881" i="1"/>
  <c r="L862" i="2"/>
  <c r="L863" i="2"/>
  <c r="L864" i="2"/>
  <c r="L865" i="2"/>
  <c r="L866" i="2"/>
  <c r="L867" i="2"/>
  <c r="L868" i="2"/>
  <c r="L869" i="2"/>
  <c r="L870" i="2"/>
  <c r="L871" i="2"/>
  <c r="M862" i="2"/>
  <c r="M863" i="2"/>
  <c r="M864" i="2"/>
  <c r="M865" i="2"/>
  <c r="M866" i="2"/>
  <c r="M867" i="2"/>
  <c r="M868" i="2"/>
  <c r="M869" i="2"/>
  <c r="M870" i="2"/>
  <c r="M871" i="2"/>
  <c r="L862" i="1"/>
  <c r="L863" i="1"/>
  <c r="L864" i="1"/>
  <c r="L865" i="1"/>
  <c r="L866" i="1"/>
  <c r="L867" i="1"/>
  <c r="L868" i="1"/>
  <c r="L869" i="1"/>
  <c r="L870" i="1"/>
  <c r="L871" i="1"/>
  <c r="M862" i="1"/>
  <c r="M863" i="1"/>
  <c r="M864" i="1"/>
  <c r="M865" i="1"/>
  <c r="M866" i="1"/>
  <c r="M867" i="1"/>
  <c r="M868" i="1"/>
  <c r="M869" i="1"/>
  <c r="M870" i="1"/>
  <c r="M871" i="1"/>
  <c r="L852" i="2"/>
  <c r="L853" i="2"/>
  <c r="L854" i="2"/>
  <c r="L855" i="2"/>
  <c r="L856" i="2"/>
  <c r="L857" i="2"/>
  <c r="L858" i="2"/>
  <c r="L859" i="2"/>
  <c r="L860" i="2"/>
  <c r="L861" i="2"/>
  <c r="M852" i="2"/>
  <c r="M853" i="2"/>
  <c r="M854" i="2"/>
  <c r="M855" i="2"/>
  <c r="M856" i="2"/>
  <c r="M857" i="2"/>
  <c r="M858" i="2"/>
  <c r="M859" i="2"/>
  <c r="M860" i="2"/>
  <c r="M861" i="2"/>
  <c r="L852" i="1"/>
  <c r="L853" i="1"/>
  <c r="L854" i="1"/>
  <c r="L855" i="1"/>
  <c r="L856" i="1"/>
  <c r="L857" i="1"/>
  <c r="L858" i="1"/>
  <c r="L859" i="1"/>
  <c r="L860" i="1"/>
  <c r="L861" i="1"/>
  <c r="M852" i="1"/>
  <c r="M853" i="1"/>
  <c r="M854" i="1"/>
  <c r="M855" i="1"/>
  <c r="M856" i="1"/>
  <c r="M857" i="1"/>
  <c r="M858" i="1"/>
  <c r="M859" i="1"/>
  <c r="M860" i="1"/>
  <c r="M861" i="1"/>
  <c r="L842" i="2"/>
  <c r="L843" i="2"/>
  <c r="L844" i="2"/>
  <c r="L845" i="2"/>
  <c r="L846" i="2"/>
  <c r="L847" i="2"/>
  <c r="L848" i="2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L842" i="1"/>
  <c r="L843" i="1"/>
  <c r="L844" i="1"/>
  <c r="L845" i="1"/>
  <c r="L846" i="1"/>
  <c r="L847" i="1"/>
  <c r="L848" i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M833" i="1"/>
  <c r="M834" i="1"/>
  <c r="M835" i="1"/>
  <c r="M836" i="1"/>
  <c r="M837" i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M807" i="2"/>
  <c r="M808" i="2"/>
  <c r="M809" i="2"/>
  <c r="M810" i="2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M806" i="1"/>
  <c r="M807" i="1"/>
  <c r="M808" i="1"/>
  <c r="M809" i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N18" i="2" s="1"/>
  <c r="L21" i="2"/>
  <c r="L19" i="2"/>
  <c r="L15" i="2"/>
  <c r="L12" i="2"/>
  <c r="L20" i="2"/>
  <c r="L13" i="2"/>
  <c r="L14" i="2"/>
  <c r="L16" i="2"/>
  <c r="L17" i="2"/>
  <c r="N957" i="1" l="1"/>
  <c r="N956" i="1"/>
  <c r="N967" i="1"/>
  <c r="N966" i="1"/>
  <c r="N979" i="2"/>
  <c r="N975" i="2"/>
  <c r="N978" i="2"/>
  <c r="N974" i="2"/>
  <c r="N912" i="2"/>
  <c r="N979" i="1"/>
  <c r="N975" i="1"/>
  <c r="N978" i="1"/>
  <c r="N974" i="1"/>
  <c r="N921" i="1"/>
  <c r="N917" i="1"/>
  <c r="N913" i="1"/>
  <c r="N919" i="1"/>
  <c r="N906" i="1"/>
  <c r="N902" i="1"/>
  <c r="N914" i="1"/>
  <c r="N937" i="1"/>
  <c r="N961" i="1"/>
  <c r="N953" i="1"/>
  <c r="N918" i="1"/>
  <c r="N950" i="1"/>
  <c r="N946" i="1"/>
  <c r="N942" i="1"/>
  <c r="N960" i="1"/>
  <c r="N952" i="1"/>
  <c r="N941" i="1"/>
  <c r="N933" i="1"/>
  <c r="N939" i="1"/>
  <c r="N959" i="1"/>
  <c r="N955" i="1"/>
  <c r="N907" i="1"/>
  <c r="N940" i="1"/>
  <c r="N936" i="1"/>
  <c r="N932" i="1"/>
  <c r="N938" i="1"/>
  <c r="N934" i="1"/>
  <c r="N958" i="1"/>
  <c r="N954" i="1"/>
  <c r="N969" i="2"/>
  <c r="N965" i="2"/>
  <c r="N902" i="2"/>
  <c r="N920" i="2"/>
  <c r="N916" i="2"/>
  <c r="N969" i="1"/>
  <c r="N965" i="1"/>
  <c r="N911" i="1"/>
  <c r="N951" i="1"/>
  <c r="N947" i="1"/>
  <c r="N943" i="1"/>
  <c r="N959" i="2"/>
  <c r="N955" i="2"/>
  <c r="N958" i="2"/>
  <c r="N954" i="2"/>
  <c r="N931" i="2"/>
  <c r="N927" i="2"/>
  <c r="N923" i="2"/>
  <c r="N941" i="2"/>
  <c r="N933" i="2"/>
  <c r="N930" i="2"/>
  <c r="N926" i="2"/>
  <c r="N922" i="2"/>
  <c r="N940" i="2"/>
  <c r="N932" i="2"/>
  <c r="N929" i="1"/>
  <c r="N945" i="1"/>
  <c r="N893" i="1"/>
  <c r="N948" i="1"/>
  <c r="N949" i="2"/>
  <c r="N945" i="2"/>
  <c r="N910" i="2"/>
  <c r="N921" i="2"/>
  <c r="N917" i="2"/>
  <c r="N913" i="2"/>
  <c r="N891" i="2"/>
  <c r="N903" i="2"/>
  <c r="N938" i="2"/>
  <c r="N934" i="2"/>
  <c r="N949" i="1"/>
  <c r="N944" i="1"/>
  <c r="N892" i="1"/>
  <c r="N898" i="1"/>
  <c r="N930" i="1"/>
  <c r="N926" i="1"/>
  <c r="N922" i="1"/>
  <c r="N928" i="1"/>
  <c r="N924" i="1"/>
  <c r="N915" i="1"/>
  <c r="N935" i="1"/>
  <c r="N939" i="2"/>
  <c r="N935" i="2"/>
  <c r="N900" i="2"/>
  <c r="N892" i="2"/>
  <c r="N911" i="2"/>
  <c r="N907" i="2"/>
  <c r="N893" i="2"/>
  <c r="N928" i="2"/>
  <c r="N924" i="2"/>
  <c r="N901" i="1"/>
  <c r="N910" i="1"/>
  <c r="N920" i="1"/>
  <c r="N916" i="1"/>
  <c r="N912" i="1"/>
  <c r="N931" i="1"/>
  <c r="N927" i="1"/>
  <c r="N923" i="1"/>
  <c r="N925" i="1"/>
  <c r="N929" i="2"/>
  <c r="N925" i="2"/>
  <c r="N861" i="2"/>
  <c r="N863" i="2"/>
  <c r="N883" i="2"/>
  <c r="N901" i="2"/>
  <c r="N897" i="2"/>
  <c r="N908" i="2"/>
  <c r="N904" i="2"/>
  <c r="N906" i="2"/>
  <c r="N891" i="1"/>
  <c r="N887" i="1"/>
  <c r="N883" i="1"/>
  <c r="N894" i="1"/>
  <c r="N900" i="1"/>
  <c r="N896" i="1"/>
  <c r="N903" i="1"/>
  <c r="N809" i="1"/>
  <c r="N805" i="1"/>
  <c r="N919" i="2"/>
  <c r="N915" i="2"/>
  <c r="N918" i="2"/>
  <c r="N914" i="2"/>
  <c r="N870" i="2"/>
  <c r="N898" i="2"/>
  <c r="N894" i="2"/>
  <c r="N896" i="2"/>
  <c r="N886" i="2"/>
  <c r="N848" i="1"/>
  <c r="N852" i="1"/>
  <c r="N899" i="1"/>
  <c r="N897" i="1"/>
  <c r="N909" i="2"/>
  <c r="N905" i="2"/>
  <c r="N852" i="2"/>
  <c r="N881" i="2"/>
  <c r="N877" i="2"/>
  <c r="N873" i="2"/>
  <c r="N890" i="2"/>
  <c r="N882" i="2"/>
  <c r="N880" i="2"/>
  <c r="N872" i="2"/>
  <c r="N887" i="2"/>
  <c r="N909" i="1"/>
  <c r="N905" i="1"/>
  <c r="N908" i="1"/>
  <c r="N904" i="1"/>
  <c r="N863" i="1"/>
  <c r="N895" i="1"/>
  <c r="N861" i="1"/>
  <c r="N857" i="1"/>
  <c r="N853" i="1"/>
  <c r="N859" i="1"/>
  <c r="N855" i="1"/>
  <c r="N890" i="1"/>
  <c r="N886" i="1"/>
  <c r="N882" i="1"/>
  <c r="N888" i="1"/>
  <c r="N884" i="1"/>
  <c r="N899" i="2"/>
  <c r="N895" i="2"/>
  <c r="N850" i="2"/>
  <c r="N846" i="2"/>
  <c r="N842" i="2"/>
  <c r="N848" i="2"/>
  <c r="N858" i="2"/>
  <c r="N854" i="2"/>
  <c r="N860" i="2"/>
  <c r="N856" i="2"/>
  <c r="N862" i="2"/>
  <c r="N810" i="2"/>
  <c r="N806" i="2"/>
  <c r="N871" i="2"/>
  <c r="N867" i="2"/>
  <c r="N878" i="2"/>
  <c r="N874" i="2"/>
  <c r="N876" i="2"/>
  <c r="N866" i="1"/>
  <c r="N880" i="1"/>
  <c r="N876" i="1"/>
  <c r="N872" i="1"/>
  <c r="N878" i="1"/>
  <c r="N874" i="1"/>
  <c r="N837" i="1"/>
  <c r="N871" i="1"/>
  <c r="N881" i="1"/>
  <c r="N877" i="1"/>
  <c r="N873" i="1"/>
  <c r="N889" i="1"/>
  <c r="N885" i="1"/>
  <c r="N889" i="2"/>
  <c r="N885" i="2"/>
  <c r="N888" i="2"/>
  <c r="N884" i="2"/>
  <c r="N853" i="2"/>
  <c r="N868" i="2"/>
  <c r="N864" i="2"/>
  <c r="N866" i="2"/>
  <c r="N812" i="1"/>
  <c r="N824" i="1"/>
  <c r="N832" i="1"/>
  <c r="N870" i="1"/>
  <c r="N862" i="1"/>
  <c r="N829" i="1"/>
  <c r="N825" i="1"/>
  <c r="N858" i="1"/>
  <c r="N854" i="1"/>
  <c r="N860" i="1"/>
  <c r="N856" i="1"/>
  <c r="N867" i="1"/>
  <c r="N879" i="2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93" i="2"/>
  <c r="N773" i="2"/>
  <c r="N783" i="2"/>
  <c r="N731" i="2"/>
  <c r="N723" i="2"/>
  <c r="N771" i="2"/>
  <c r="N767" i="2"/>
  <c r="N763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53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69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683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43" i="2"/>
  <c r="N661" i="2"/>
  <c r="N653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633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8" i="1"/>
  <c r="N654" i="1"/>
  <c r="N620" i="1"/>
  <c r="N616" i="1"/>
  <c r="N612" i="1"/>
  <c r="N618" i="1"/>
  <c r="N614" i="1"/>
  <c r="N623" i="1"/>
  <c r="N649" i="2"/>
  <c r="N645" i="2"/>
  <c r="N593" i="2"/>
  <c r="N617" i="2"/>
  <c r="N613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63" i="2"/>
  <c r="N578" i="2"/>
  <c r="N574" i="2"/>
  <c r="N611" i="2"/>
  <c r="N603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573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3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03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3" i="2"/>
  <c r="N559" i="2"/>
  <c r="N555" i="2"/>
  <c r="N541" i="2"/>
  <c r="N537" i="2"/>
  <c r="N533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23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13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463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483" i="2"/>
  <c r="N501" i="2"/>
  <c r="N493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496" i="1"/>
  <c r="N509" i="2"/>
  <c r="N505" i="2"/>
  <c r="N468" i="2"/>
  <c r="N460" i="2"/>
  <c r="N471" i="2"/>
  <c r="N481" i="2"/>
  <c r="N477" i="2"/>
  <c r="N473" i="2"/>
  <c r="N488" i="2"/>
  <c r="N484" i="2"/>
  <c r="N490" i="2"/>
  <c r="N486" i="2"/>
  <c r="N443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53" i="2"/>
  <c r="N489" i="1"/>
  <c r="N485" i="1"/>
  <c r="N488" i="1"/>
  <c r="N484" i="1"/>
  <c r="N423" i="1"/>
  <c r="N470" i="1"/>
  <c r="N462" i="1"/>
  <c r="N476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33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393" i="2"/>
  <c r="N403" i="2"/>
  <c r="N449" i="1"/>
  <c r="N445" i="1"/>
  <c r="N444" i="1"/>
  <c r="N424" i="1"/>
  <c r="N438" i="1"/>
  <c r="N434" i="1"/>
  <c r="N439" i="2"/>
  <c r="N435" i="2"/>
  <c r="N381" i="2"/>
  <c r="N377" i="2"/>
  <c r="N373" i="2"/>
  <c r="N411" i="2"/>
  <c r="N407" i="2"/>
  <c r="N370" i="2"/>
  <c r="N372" i="2"/>
  <c r="N400" i="2"/>
  <c r="N396" i="2"/>
  <c r="N392" i="2"/>
  <c r="N417" i="2"/>
  <c r="N413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83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33" i="2"/>
  <c r="N347" i="2"/>
  <c r="N343" i="2"/>
  <c r="N363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263" i="2"/>
  <c r="N303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13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283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273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53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3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3" i="2"/>
  <c r="N235" i="2"/>
  <c r="N192" i="2"/>
  <c r="N213" i="2"/>
  <c r="N230" i="2"/>
  <c r="N222" i="2"/>
  <c r="N228" i="2"/>
  <c r="N240" i="2"/>
  <c r="N236" i="2"/>
  <c r="N232" i="2"/>
  <c r="N234" i="2"/>
  <c r="N181" i="2"/>
  <c r="N173" i="2"/>
  <c r="N198" i="2"/>
  <c r="N194" i="2"/>
  <c r="N196" i="2"/>
  <c r="N207" i="2"/>
  <c r="N203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3" i="2"/>
  <c r="N57" i="2"/>
  <c r="N61" i="2"/>
  <c r="N73" i="2"/>
  <c r="N83" i="2"/>
  <c r="N93" i="2"/>
  <c r="N97" i="2"/>
  <c r="N101" i="2"/>
  <c r="N103" i="2"/>
  <c r="N107" i="2"/>
  <c r="N113" i="2"/>
  <c r="N117" i="2"/>
  <c r="N171" i="2"/>
  <c r="N167" i="2"/>
  <c r="N163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3" i="2"/>
  <c r="N65" i="2"/>
  <c r="N67" i="2"/>
  <c r="N69" i="2"/>
  <c r="N71" i="2"/>
  <c r="N129" i="2"/>
  <c r="N125" i="2"/>
  <c r="N131" i="2"/>
  <c r="N127" i="2"/>
  <c r="N123" i="2"/>
  <c r="N141" i="2"/>
  <c r="N137" i="2"/>
  <c r="N133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13" i="2"/>
  <c r="N44" i="2"/>
  <c r="N48" i="2"/>
  <c r="N84" i="2"/>
  <c r="N88" i="2"/>
  <c r="N104" i="2"/>
  <c r="N108" i="2"/>
  <c r="N139" i="2"/>
  <c r="N135" i="2"/>
  <c r="N159" i="2"/>
  <c r="N155" i="2"/>
  <c r="N153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<sst xmlns="http://schemas.openxmlformats.org/spreadsheetml/2006/main" count="7190" uniqueCount="37">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</sst>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1" fontId="0" fillId="3" borderId="0" xfId="0" applyNumberFormat="1" applyFill="1"/>
    <xf numFmtId="0" fontId="0" fillId="0" borderId="0" xfId="0" applyNumberFormat="1"/>
  </cellXfs>
  <cellStyles count="1">
    <cellStyle name="Standaard" xfId="0" builtinId="0"/>
  </cellStyles>
  <dxfs count="41"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UNILAB!$AI$2:$AI$100</c:f>
              <c:numCache>
                <c:formatCode>yyyy\-mm\-dd;@</c:formatCode>
                <c:ptCount val="99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</c:numCache>
            </c:numRef>
          </c:cat>
          <c:val>
            <c:numRef>
              <c:f>UNILAB!$AN$2:$AN$100</c:f>
              <c:numCache>
                <c:formatCode>General</c:formatCode>
                <c:ptCount val="99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  <c:pt idx="88">
                  <c:v>288234</c:v>
                </c:pt>
                <c:pt idx="89">
                  <c:v>288623</c:v>
                </c:pt>
                <c:pt idx="90">
                  <c:v>288808</c:v>
                </c:pt>
                <c:pt idx="91">
                  <c:v>289591</c:v>
                </c:pt>
                <c:pt idx="92">
                  <c:v>290360</c:v>
                </c:pt>
                <c:pt idx="93">
                  <c:v>290747</c:v>
                </c:pt>
                <c:pt idx="94">
                  <c:v>291180</c:v>
                </c:pt>
                <c:pt idx="95">
                  <c:v>291648</c:v>
                </c:pt>
                <c:pt idx="96">
                  <c:v>292227</c:v>
                </c:pt>
                <c:pt idx="97">
                  <c:v>292566</c:v>
                </c:pt>
                <c:pt idx="98">
                  <c:v>293192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UNILAB!$AI$2:$AI$100</c:f>
              <c:numCache>
                <c:formatCode>yyyy\-mm\-dd;@</c:formatCode>
                <c:ptCount val="99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</c:numCache>
            </c:numRef>
          </c:cat>
          <c:val>
            <c:numRef>
              <c:f>UNILAB!$AP$2:$AP$100</c:f>
              <c:numCache>
                <c:formatCode>General</c:formatCode>
                <c:ptCount val="99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  <c:pt idx="88">
                  <c:v>327680</c:v>
                </c:pt>
                <c:pt idx="89">
                  <c:v>327680</c:v>
                </c:pt>
                <c:pt idx="90">
                  <c:v>327680</c:v>
                </c:pt>
                <c:pt idx="91">
                  <c:v>327680</c:v>
                </c:pt>
                <c:pt idx="92">
                  <c:v>327680</c:v>
                </c:pt>
                <c:pt idx="93">
                  <c:v>327680</c:v>
                </c:pt>
                <c:pt idx="94">
                  <c:v>327680</c:v>
                </c:pt>
                <c:pt idx="95">
                  <c:v>327680</c:v>
                </c:pt>
                <c:pt idx="96">
                  <c:v>327680</c:v>
                </c:pt>
                <c:pt idx="97">
                  <c:v>327680</c:v>
                </c:pt>
                <c:pt idx="98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UNILAB!$R$2:$R$100</c:f>
              <c:numCache>
                <c:formatCode>yyyy\-mm\-dd;@</c:formatCode>
                <c:ptCount val="99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</c:numCache>
            </c:numRef>
          </c:cat>
          <c:val>
            <c:numRef>
              <c:f>UNILAB!$W$2:$W$100</c:f>
              <c:numCache>
                <c:formatCode>General</c:formatCode>
                <c:ptCount val="99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  <c:pt idx="88">
                  <c:v>440704</c:v>
                </c:pt>
                <c:pt idx="89">
                  <c:v>441033</c:v>
                </c:pt>
                <c:pt idx="90">
                  <c:v>441252</c:v>
                </c:pt>
                <c:pt idx="91">
                  <c:v>442303</c:v>
                </c:pt>
                <c:pt idx="92">
                  <c:v>442874</c:v>
                </c:pt>
                <c:pt idx="93">
                  <c:v>443395</c:v>
                </c:pt>
                <c:pt idx="94">
                  <c:v>443862</c:v>
                </c:pt>
                <c:pt idx="95">
                  <c:v>444782</c:v>
                </c:pt>
                <c:pt idx="96">
                  <c:v>445312</c:v>
                </c:pt>
                <c:pt idx="97">
                  <c:v>445881</c:v>
                </c:pt>
                <c:pt idx="98">
                  <c:v>446682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UNILAB!$R$2:$R$100</c:f>
              <c:numCache>
                <c:formatCode>yyyy\-mm\-dd;@</c:formatCode>
                <c:ptCount val="99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</c:numCache>
            </c:numRef>
          </c:cat>
          <c:val>
            <c:numRef>
              <c:f>UNILAB!$Y$2:$Y$100</c:f>
              <c:numCache>
                <c:formatCode>General</c:formatCode>
                <c:ptCount val="99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  <c:pt idx="88">
                  <c:v>491520</c:v>
                </c:pt>
                <c:pt idx="89">
                  <c:v>491520</c:v>
                </c:pt>
                <c:pt idx="90">
                  <c:v>491520</c:v>
                </c:pt>
                <c:pt idx="91">
                  <c:v>491520</c:v>
                </c:pt>
                <c:pt idx="92">
                  <c:v>491520</c:v>
                </c:pt>
                <c:pt idx="93">
                  <c:v>491520</c:v>
                </c:pt>
                <c:pt idx="94">
                  <c:v>491520</c:v>
                </c:pt>
                <c:pt idx="95">
                  <c:v>491520</c:v>
                </c:pt>
                <c:pt idx="96">
                  <c:v>491520</c:v>
                </c:pt>
                <c:pt idx="97">
                  <c:v>491520</c:v>
                </c:pt>
                <c:pt idx="98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UNILAB!$R$2:$R$100</c:f>
              <c:numCache>
                <c:formatCode>yyyy\-mm\-dd;@</c:formatCode>
                <c:ptCount val="99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</c:numCache>
            </c:numRef>
          </c:cat>
          <c:val>
            <c:numRef>
              <c:f>UNILAB!$AE$2:$AE$100</c:f>
              <c:numCache>
                <c:formatCode>0</c:formatCode>
                <c:ptCount val="99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100</c:v>
                </c:pt>
                <c:pt idx="48">
                  <c:v>1.477963803265008</c:v>
                </c:pt>
                <c:pt idx="49">
                  <c:v>100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  <c:pt idx="88">
                  <c:v>219.0344827586207</c:v>
                </c:pt>
                <c:pt idx="89">
                  <c:v>153.45592705167172</c:v>
                </c:pt>
                <c:pt idx="90">
                  <c:v>229.53424657534248</c:v>
                </c:pt>
                <c:pt idx="91">
                  <c:v>46.828734538534732</c:v>
                </c:pt>
                <c:pt idx="92">
                  <c:v>85.19439579684763</c:v>
                </c:pt>
                <c:pt idx="93">
                  <c:v>92.370441458733211</c:v>
                </c:pt>
                <c:pt idx="94">
                  <c:v>102.05139186295503</c:v>
                </c:pt>
                <c:pt idx="95">
                  <c:v>50.802173913043475</c:v>
                </c:pt>
                <c:pt idx="96">
                  <c:v>87.184905660377353</c:v>
                </c:pt>
                <c:pt idx="97">
                  <c:v>80.209138840070295</c:v>
                </c:pt>
                <c:pt idx="98">
                  <c:v>55.977528089887642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UNILAB!$AI$2:$AI$100</c:f>
              <c:numCache>
                <c:formatCode>yyyy\-mm\-dd;@</c:formatCode>
                <c:ptCount val="99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  <c:pt idx="98">
                  <c:v>45236</c:v>
                </c:pt>
              </c:numCache>
            </c:numRef>
          </c:cat>
          <c:val>
            <c:numRef>
              <c:f>UNILAB!$AV$2:$AV$100</c:f>
              <c:numCache>
                <c:formatCode>0</c:formatCode>
                <c:ptCount val="99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100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  <c:pt idx="88">
                  <c:v>178.48868778280544</c:v>
                </c:pt>
                <c:pt idx="89">
                  <c:v>100.40359897172236</c:v>
                </c:pt>
                <c:pt idx="90">
                  <c:v>210.11891891891892</c:v>
                </c:pt>
                <c:pt idx="91">
                  <c:v>48.644955300127712</c:v>
                </c:pt>
                <c:pt idx="92">
                  <c:v>48.530559167750326</c:v>
                </c:pt>
                <c:pt idx="93">
                  <c:v>95.434108527131784</c:v>
                </c:pt>
                <c:pt idx="94">
                  <c:v>84.295612009237871</c:v>
                </c:pt>
                <c:pt idx="95">
                  <c:v>76.991452991452988</c:v>
                </c:pt>
                <c:pt idx="96">
                  <c:v>61.231433506044908</c:v>
                </c:pt>
                <c:pt idx="97">
                  <c:v>103.5811209439528</c:v>
                </c:pt>
                <c:pt idx="98">
                  <c:v>55.092651757188499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INTERSPC!$AN$2:$AN$99</c:f>
              <c:numCache>
                <c:formatCode>General</c:formatCode>
                <c:ptCount val="98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  <c:pt idx="88">
                  <c:v>137249</c:v>
                </c:pt>
                <c:pt idx="89">
                  <c:v>137775</c:v>
                </c:pt>
                <c:pt idx="90">
                  <c:v>137976</c:v>
                </c:pt>
                <c:pt idx="91">
                  <c:v>138757</c:v>
                </c:pt>
                <c:pt idx="92">
                  <c:v>139000</c:v>
                </c:pt>
                <c:pt idx="93">
                  <c:v>139258</c:v>
                </c:pt>
                <c:pt idx="94">
                  <c:v>139620</c:v>
                </c:pt>
                <c:pt idx="95">
                  <c:v>148285</c:v>
                </c:pt>
                <c:pt idx="96">
                  <c:v>148615</c:v>
                </c:pt>
                <c:pt idx="97">
                  <c:v>149011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INTERSPC!$AP$2:$AP$99</c:f>
              <c:numCache>
                <c:formatCode>General</c:formatCode>
                <c:ptCount val="98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  <c:pt idx="88">
                  <c:v>163840</c:v>
                </c:pt>
                <c:pt idx="89">
                  <c:v>163840</c:v>
                </c:pt>
                <c:pt idx="90">
                  <c:v>163840</c:v>
                </c:pt>
                <c:pt idx="91">
                  <c:v>163840</c:v>
                </c:pt>
                <c:pt idx="92">
                  <c:v>163840</c:v>
                </c:pt>
                <c:pt idx="93">
                  <c:v>163840</c:v>
                </c:pt>
                <c:pt idx="94">
                  <c:v>163840</c:v>
                </c:pt>
                <c:pt idx="95">
                  <c:v>163840</c:v>
                </c:pt>
                <c:pt idx="96">
                  <c:v>163840</c:v>
                </c:pt>
                <c:pt idx="97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INTERSPC!$W$2:$W$99</c:f>
              <c:numCache>
                <c:formatCode>General</c:formatCode>
                <c:ptCount val="98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  <c:pt idx="88">
                  <c:v>16555</c:v>
                </c:pt>
                <c:pt idx="89">
                  <c:v>16582</c:v>
                </c:pt>
                <c:pt idx="90">
                  <c:v>16634</c:v>
                </c:pt>
                <c:pt idx="91">
                  <c:v>16799</c:v>
                </c:pt>
                <c:pt idx="92">
                  <c:v>16833</c:v>
                </c:pt>
                <c:pt idx="93">
                  <c:v>16875</c:v>
                </c:pt>
                <c:pt idx="94">
                  <c:v>16997</c:v>
                </c:pt>
                <c:pt idx="95">
                  <c:v>52081</c:v>
                </c:pt>
                <c:pt idx="96">
                  <c:v>52244</c:v>
                </c:pt>
                <c:pt idx="97">
                  <c:v>52349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INTERSPC!$Y$2:$Y$99</c:f>
              <c:numCache>
                <c:formatCode>General</c:formatCode>
                <c:ptCount val="98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  <c:pt idx="88">
                  <c:v>32768</c:v>
                </c:pt>
                <c:pt idx="89">
                  <c:v>32768</c:v>
                </c:pt>
                <c:pt idx="90">
                  <c:v>32768</c:v>
                </c:pt>
                <c:pt idx="91">
                  <c:v>32768</c:v>
                </c:pt>
                <c:pt idx="92">
                  <c:v>32768</c:v>
                </c:pt>
                <c:pt idx="93">
                  <c:v>32768</c:v>
                </c:pt>
                <c:pt idx="94">
                  <c:v>32768</c:v>
                </c:pt>
                <c:pt idx="95">
                  <c:v>65536</c:v>
                </c:pt>
                <c:pt idx="96">
                  <c:v>65536</c:v>
                </c:pt>
                <c:pt idx="97">
                  <c:v>65536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INTERSPC!$AV$2:$AV$99</c:f>
              <c:numCache>
                <c:formatCode>0</c:formatCode>
                <c:ptCount val="98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500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  <c:pt idx="88">
                  <c:v>151.08522727272728</c:v>
                </c:pt>
                <c:pt idx="89">
                  <c:v>49.553231939163496</c:v>
                </c:pt>
                <c:pt idx="90">
                  <c:v>128.6766169154229</c:v>
                </c:pt>
                <c:pt idx="91">
                  <c:v>32.116517285531373</c:v>
                </c:pt>
                <c:pt idx="92">
                  <c:v>102.22222222222223</c:v>
                </c:pt>
                <c:pt idx="93">
                  <c:v>95.279069767441854</c:v>
                </c:pt>
                <c:pt idx="94">
                  <c:v>66.906077348066304</c:v>
                </c:pt>
                <c:pt idx="95">
                  <c:v>1.7951529140219273</c:v>
                </c:pt>
                <c:pt idx="96">
                  <c:v>46.136363636363633</c:v>
                </c:pt>
                <c:pt idx="97">
                  <c:v>37.446969696969695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INTERSPC!$AE$2:$AE$99</c:f>
              <c:numCache>
                <c:formatCode>0</c:formatCode>
                <c:ptCount val="98"/>
                <c:pt idx="0">
                  <c:v>999</c:v>
                </c:pt>
                <c:pt idx="1">
                  <c:v>999</c:v>
                </c:pt>
                <c:pt idx="2">
                  <c:v>18.962740384615383</c:v>
                </c:pt>
                <c:pt idx="3">
                  <c:v>999</c:v>
                </c:pt>
                <c:pt idx="4">
                  <c:v>241.6</c:v>
                </c:pt>
                <c:pt idx="5">
                  <c:v>999</c:v>
                </c:pt>
                <c:pt idx="6">
                  <c:v>999</c:v>
                </c:pt>
                <c:pt idx="7">
                  <c:v>244.234375</c:v>
                </c:pt>
                <c:pt idx="8">
                  <c:v>999</c:v>
                </c:pt>
                <c:pt idx="9">
                  <c:v>999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999</c:v>
                </c:pt>
                <c:pt idx="13">
                  <c:v>999</c:v>
                </c:pt>
                <c:pt idx="14">
                  <c:v>240.875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999</c:v>
                </c:pt>
                <c:pt idx="21">
                  <c:v>999</c:v>
                </c:pt>
                <c:pt idx="22">
                  <c:v>210.91666666666666</c:v>
                </c:pt>
                <c:pt idx="23">
                  <c:v>999</c:v>
                </c:pt>
                <c:pt idx="24">
                  <c:v>999</c:v>
                </c:pt>
                <c:pt idx="25">
                  <c:v>999</c:v>
                </c:pt>
                <c:pt idx="26">
                  <c:v>999</c:v>
                </c:pt>
                <c:pt idx="27">
                  <c:v>999</c:v>
                </c:pt>
                <c:pt idx="28">
                  <c:v>999</c:v>
                </c:pt>
                <c:pt idx="29">
                  <c:v>209.65277777777777</c:v>
                </c:pt>
                <c:pt idx="30">
                  <c:v>999</c:v>
                </c:pt>
                <c:pt idx="31">
                  <c:v>999</c:v>
                </c:pt>
                <c:pt idx="32">
                  <c:v>202.97297297297297</c:v>
                </c:pt>
                <c:pt idx="33">
                  <c:v>999</c:v>
                </c:pt>
                <c:pt idx="34">
                  <c:v>999</c:v>
                </c:pt>
                <c:pt idx="35">
                  <c:v>229.92307692307693</c:v>
                </c:pt>
                <c:pt idx="36">
                  <c:v>999</c:v>
                </c:pt>
                <c:pt idx="37">
                  <c:v>999</c:v>
                </c:pt>
                <c:pt idx="38">
                  <c:v>999</c:v>
                </c:pt>
                <c:pt idx="39">
                  <c:v>999</c:v>
                </c:pt>
                <c:pt idx="40">
                  <c:v>999</c:v>
                </c:pt>
                <c:pt idx="41">
                  <c:v>999</c:v>
                </c:pt>
                <c:pt idx="42">
                  <c:v>198.2</c:v>
                </c:pt>
                <c:pt idx="43">
                  <c:v>999</c:v>
                </c:pt>
                <c:pt idx="44">
                  <c:v>999</c:v>
                </c:pt>
                <c:pt idx="45">
                  <c:v>999</c:v>
                </c:pt>
                <c:pt idx="46">
                  <c:v>999</c:v>
                </c:pt>
                <c:pt idx="47">
                  <c:v>227.41538461538462</c:v>
                </c:pt>
                <c:pt idx="48">
                  <c:v>999</c:v>
                </c:pt>
                <c:pt idx="49">
                  <c:v>999</c:v>
                </c:pt>
                <c:pt idx="50">
                  <c:v>999</c:v>
                </c:pt>
                <c:pt idx="51">
                  <c:v>999</c:v>
                </c:pt>
                <c:pt idx="52">
                  <c:v>999</c:v>
                </c:pt>
                <c:pt idx="53">
                  <c:v>999</c:v>
                </c:pt>
                <c:pt idx="54">
                  <c:v>261.44444444444446</c:v>
                </c:pt>
                <c:pt idx="55">
                  <c:v>999</c:v>
                </c:pt>
                <c:pt idx="56">
                  <c:v>999</c:v>
                </c:pt>
                <c:pt idx="57">
                  <c:v>999</c:v>
                </c:pt>
                <c:pt idx="58">
                  <c:v>999</c:v>
                </c:pt>
                <c:pt idx="59">
                  <c:v>292.96875</c:v>
                </c:pt>
                <c:pt idx="60">
                  <c:v>999</c:v>
                </c:pt>
                <c:pt idx="61">
                  <c:v>999</c:v>
                </c:pt>
                <c:pt idx="62">
                  <c:v>134.85507246376812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999</c:v>
                </c:pt>
                <c:pt idx="69">
                  <c:v>999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999</c:v>
                </c:pt>
                <c:pt idx="76">
                  <c:v>999</c:v>
                </c:pt>
                <c:pt idx="77">
                  <c:v>999</c:v>
                </c:pt>
                <c:pt idx="78">
                  <c:v>311.39285714285717</c:v>
                </c:pt>
                <c:pt idx="79">
                  <c:v>999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  <c:pt idx="88">
                  <c:v>491.30303030303031</c:v>
                </c:pt>
                <c:pt idx="89">
                  <c:v>599.48148148148152</c:v>
                </c:pt>
                <c:pt idx="90">
                  <c:v>310.26923076923077</c:v>
                </c:pt>
                <c:pt idx="91">
                  <c:v>96.781818181818181</c:v>
                </c:pt>
                <c:pt idx="92">
                  <c:v>468.6764705882353</c:v>
                </c:pt>
                <c:pt idx="93">
                  <c:v>378.40476190476193</c:v>
                </c:pt>
                <c:pt idx="94">
                  <c:v>129.2704918032787</c:v>
                </c:pt>
                <c:pt idx="95">
                  <c:v>0.38350815186409759</c:v>
                </c:pt>
                <c:pt idx="96">
                  <c:v>81.546012269938657</c:v>
                </c:pt>
                <c:pt idx="97">
                  <c:v>125.5904761904762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22</xdr:col>
      <xdr:colOff>38100</xdr:colOff>
      <xdr:row>32</xdr:row>
      <xdr:rowOff>190499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0</xdr:row>
      <xdr:rowOff>152400</xdr:rowOff>
    </xdr:from>
    <xdr:to>
      <xdr:col>19</xdr:col>
      <xdr:colOff>304800</xdr:colOff>
      <xdr:row>12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12</xdr:row>
      <xdr:rowOff>171450</xdr:rowOff>
    </xdr:from>
    <xdr:to>
      <xdr:col>19</xdr:col>
      <xdr:colOff>257175</xdr:colOff>
      <xdr:row>27</xdr:row>
      <xdr:rowOff>114299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991" totalsRowShown="0" headerRowDxfId="34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3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2"/>
    <tableColumn id="13" xr3:uid="{0CEBD44F-FBF6-49E8-81ED-F5726985BED3}" name="Free-of-Max" dataDxfId="31">
      <calculatedColumnFormula>UnilabUsage[[#This Row],[Max]]-UnilabUsage[[#This Row],[Used-MB]]</calculatedColumnFormula>
    </tableColumn>
    <tableColumn id="14" xr3:uid="{AAC6B1F7-003C-4163-82B8-C42E8D73EB5C}" name="#wk-FULL" dataDxfId="30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100" totalsRowShown="0" headerRowDxfId="29">
  <autoFilter ref="R1:AE100" xr:uid="{BC712C72-1583-4FDC-8263-1703798DDFB5}"/>
  <tableColumns count="14">
    <tableColumn id="1" xr3:uid="{2D23C763-2312-4F0B-AB02-B90CB707B51F}" name="Datum" dataDxfId="28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27"/>
    <tableColumn id="14" xr3:uid="{82E1EA8C-7445-4CF0-9134-D5D4C6F08706}" name="#wk-FULL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100" totalsRowShown="0" headerRowDxfId="25">
  <autoFilter ref="AI1:AV100" xr:uid="{C66531A2-B9AB-45BB-A6E7-D3F3AEBF7388}"/>
  <tableColumns count="14">
    <tableColumn id="1" xr3:uid="{F5336525-07D5-43DE-BB09-F0AA29E9FB08}" name="Datum" dataDxfId="24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3"/>
    <tableColumn id="14" xr3:uid="{5DEDE6D8-9694-4017-AEDC-73B4CEA96E73}" name="#wk-FULL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981" totalsRowShown="0" headerRowDxfId="14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3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2"/>
    <tableColumn id="13" xr3:uid="{6A56EEF8-3010-44B4-AB78-B7ED01CA70E8}" name="Free-of-Max" dataDxfId="11">
      <calculatedColumnFormula>InterspecUsage[[#This Row],[Max]]-InterspecUsage[[#This Row],[Used-MB]]</calculatedColumnFormula>
    </tableColumn>
    <tableColumn id="14" xr3:uid="{FE54647E-0C29-488E-866F-92D20951A0DE}" name="#wk-FULL" dataDxfId="10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99" totalsRowShown="0" headerRowDxfId="9">
  <autoFilter ref="R1:AE99" xr:uid="{2793290B-50BA-4D77-81FE-EE4A66BEE83F}"/>
  <tableColumns count="14">
    <tableColumn id="1" xr3:uid="{A98A44E9-79AF-4FA0-ABF6-EAAFD0FC5FA8}" name="Datum" dataDxfId="8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7"/>
    <tableColumn id="13" xr3:uid="{4CC440D0-ED92-4A2D-92B1-8657A8DFBF51}" name="Free-of-Max" dataDxfId="6"/>
    <tableColumn id="14" xr3:uid="{F9B1EB25-C25B-4652-847C-CB03336CA28E}" name="#wk-FUL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99" totalsRowShown="0" headerRowDxfId="4">
  <autoFilter ref="AI1:AV99" xr:uid="{F1328298-E51B-4DC4-A21F-E68D89F0CD7E}"/>
  <tableColumns count="14">
    <tableColumn id="1" xr3:uid="{783AAE0D-603F-49E6-8D16-72D404962E4F}" name="Datum" dataDxfId="3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2"/>
    <tableColumn id="13" xr3:uid="{E3445D2C-C26B-4C93-BEDE-155C641121F5}" name="Free-of-Max" dataDxfId="1"/>
    <tableColumn id="14" xr3:uid="{18FBE98E-29AB-433E-BFDA-E0C6351CEA9C}" name="#wk-FUL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991"/>
  <sheetViews>
    <sheetView topLeftCell="AB1" workbookViewId="0">
      <pane ySplit="1" topLeftCell="A68" activePane="bottomLeft" state="frozen"/>
      <selection pane="bottomLeft" activeCell="AV67" sqref="AV67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22">
        <v>100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22">
        <v>100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22">
        <v>100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  <c r="R90" s="3">
        <v>45159</v>
      </c>
      <c r="S90" s="15" t="s">
        <v>3</v>
      </c>
      <c r="T90" s="16">
        <v>90</v>
      </c>
      <c r="U90" s="16">
        <v>491518</v>
      </c>
      <c r="V90" s="16">
        <v>50813</v>
      </c>
      <c r="W90" s="16">
        <v>440704</v>
      </c>
      <c r="X90" s="16">
        <v>10</v>
      </c>
      <c r="Y90" s="16">
        <v>491520</v>
      </c>
      <c r="Z90" s="16">
        <v>90</v>
      </c>
      <c r="AA90" s="15" t="s">
        <v>1</v>
      </c>
      <c r="AB90" s="15" t="s">
        <v>2</v>
      </c>
      <c r="AC90" s="8">
        <v>232</v>
      </c>
      <c r="AD90">
        <v>50816</v>
      </c>
      <c r="AE90" s="5">
        <v>219.0344827586207</v>
      </c>
      <c r="AI90" s="3">
        <v>45159</v>
      </c>
      <c r="AJ90" s="15" t="s">
        <v>8</v>
      </c>
      <c r="AK90" s="16">
        <v>88</v>
      </c>
      <c r="AL90" s="16">
        <v>327680</v>
      </c>
      <c r="AM90" s="16">
        <v>39446</v>
      </c>
      <c r="AN90" s="16">
        <v>288234</v>
      </c>
      <c r="AO90" s="16">
        <v>12</v>
      </c>
      <c r="AP90" s="16">
        <v>327680</v>
      </c>
      <c r="AQ90" s="16">
        <v>88</v>
      </c>
      <c r="AR90" s="15" t="s">
        <v>1</v>
      </c>
      <c r="AS90" s="15" t="s">
        <v>2</v>
      </c>
      <c r="AT90" s="8">
        <v>221</v>
      </c>
      <c r="AU90">
        <v>39446</v>
      </c>
      <c r="AV90" s="5">
        <v>178.48868778280544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  <c r="R91" s="3">
        <v>45166</v>
      </c>
      <c r="S91" s="15" t="s">
        <v>3</v>
      </c>
      <c r="T91" s="16">
        <v>90</v>
      </c>
      <c r="U91" s="16">
        <v>491518</v>
      </c>
      <c r="V91" s="16">
        <v>50484</v>
      </c>
      <c r="W91" s="16">
        <v>441033</v>
      </c>
      <c r="X91" s="16">
        <v>10</v>
      </c>
      <c r="Y91" s="16">
        <v>491520</v>
      </c>
      <c r="Z91" s="16">
        <v>90</v>
      </c>
      <c r="AA91" s="15" t="s">
        <v>1</v>
      </c>
      <c r="AB91" s="15" t="s">
        <v>2</v>
      </c>
      <c r="AC91" s="8">
        <v>329</v>
      </c>
      <c r="AD91">
        <v>50487</v>
      </c>
      <c r="AE91" s="5">
        <v>153.45592705167172</v>
      </c>
      <c r="AI91" s="3">
        <v>45166</v>
      </c>
      <c r="AJ91" s="15" t="s">
        <v>8</v>
      </c>
      <c r="AK91" s="16">
        <v>88</v>
      </c>
      <c r="AL91" s="16">
        <v>327680</v>
      </c>
      <c r="AM91" s="16">
        <v>39057</v>
      </c>
      <c r="AN91" s="16">
        <v>288623</v>
      </c>
      <c r="AO91" s="16">
        <v>12</v>
      </c>
      <c r="AP91" s="16">
        <v>327680</v>
      </c>
      <c r="AQ91" s="16">
        <v>88</v>
      </c>
      <c r="AR91" s="15" t="s">
        <v>1</v>
      </c>
      <c r="AS91" s="15" t="s">
        <v>2</v>
      </c>
      <c r="AT91" s="8">
        <v>389</v>
      </c>
      <c r="AU91">
        <v>39057</v>
      </c>
      <c r="AV91" s="5">
        <v>100.40359897172236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  <c r="R92" s="3">
        <v>45173</v>
      </c>
      <c r="S92" s="15" t="s">
        <v>3</v>
      </c>
      <c r="T92" s="16">
        <v>90</v>
      </c>
      <c r="U92" s="16">
        <v>491518</v>
      </c>
      <c r="V92" s="16">
        <v>50266</v>
      </c>
      <c r="W92" s="16">
        <v>441252</v>
      </c>
      <c r="X92" s="16">
        <v>10</v>
      </c>
      <c r="Y92" s="16">
        <v>491520</v>
      </c>
      <c r="Z92" s="16">
        <v>90</v>
      </c>
      <c r="AA92" s="15" t="s">
        <v>1</v>
      </c>
      <c r="AB92" s="15" t="s">
        <v>2</v>
      </c>
      <c r="AC92" s="8">
        <v>219</v>
      </c>
      <c r="AD92">
        <v>50268</v>
      </c>
      <c r="AE92" s="5">
        <v>229.53424657534248</v>
      </c>
      <c r="AI92" s="3">
        <v>45173</v>
      </c>
      <c r="AJ92" s="15" t="s">
        <v>8</v>
      </c>
      <c r="AK92" s="16">
        <v>88</v>
      </c>
      <c r="AL92" s="16">
        <v>327680</v>
      </c>
      <c r="AM92" s="16">
        <v>38872</v>
      </c>
      <c r="AN92" s="16">
        <v>288808</v>
      </c>
      <c r="AO92" s="16">
        <v>12</v>
      </c>
      <c r="AP92" s="16">
        <v>327680</v>
      </c>
      <c r="AQ92" s="16">
        <v>88</v>
      </c>
      <c r="AR92" s="15" t="s">
        <v>1</v>
      </c>
      <c r="AS92" s="15" t="s">
        <v>2</v>
      </c>
      <c r="AT92" s="8">
        <v>185</v>
      </c>
      <c r="AU92">
        <v>38872</v>
      </c>
      <c r="AV92" s="5">
        <v>210.11891891891892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  <c r="R93" s="3">
        <v>45187</v>
      </c>
      <c r="S93" s="15" t="s">
        <v>3</v>
      </c>
      <c r="T93" s="16">
        <v>90</v>
      </c>
      <c r="U93" s="16">
        <v>491518</v>
      </c>
      <c r="V93" s="16">
        <v>49215</v>
      </c>
      <c r="W93" s="16">
        <v>442303</v>
      </c>
      <c r="X93" s="16">
        <v>10</v>
      </c>
      <c r="Y93" s="16">
        <v>491520</v>
      </c>
      <c r="Z93" s="16">
        <v>90</v>
      </c>
      <c r="AA93" s="15" t="s">
        <v>1</v>
      </c>
      <c r="AB93" s="15" t="s">
        <v>2</v>
      </c>
      <c r="AC93" s="8">
        <v>1051</v>
      </c>
      <c r="AD93">
        <v>49217</v>
      </c>
      <c r="AE93" s="5">
        <v>46.828734538534732</v>
      </c>
      <c r="AI93" s="3">
        <v>45187</v>
      </c>
      <c r="AJ93" s="15" t="s">
        <v>8</v>
      </c>
      <c r="AK93" s="16">
        <v>88</v>
      </c>
      <c r="AL93" s="16">
        <v>327680</v>
      </c>
      <c r="AM93" s="16">
        <v>38089</v>
      </c>
      <c r="AN93" s="16">
        <v>289591</v>
      </c>
      <c r="AO93" s="16">
        <v>12</v>
      </c>
      <c r="AP93" s="16">
        <v>327680</v>
      </c>
      <c r="AQ93" s="16">
        <v>88</v>
      </c>
      <c r="AR93" s="15" t="s">
        <v>1</v>
      </c>
      <c r="AS93" s="15" t="s">
        <v>2</v>
      </c>
      <c r="AT93" s="8">
        <v>783</v>
      </c>
      <c r="AU93">
        <v>38089</v>
      </c>
      <c r="AV93" s="5">
        <v>48.644955300127712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  <c r="R94" s="3">
        <v>45194</v>
      </c>
      <c r="S94" s="15" t="s">
        <v>3</v>
      </c>
      <c r="T94" s="16">
        <v>90</v>
      </c>
      <c r="U94" s="16">
        <v>491518</v>
      </c>
      <c r="V94" s="16">
        <v>48644</v>
      </c>
      <c r="W94" s="16">
        <v>442874</v>
      </c>
      <c r="X94" s="16">
        <v>10</v>
      </c>
      <c r="Y94" s="16">
        <v>491520</v>
      </c>
      <c r="Z94" s="16">
        <v>90</v>
      </c>
      <c r="AA94" s="15" t="s">
        <v>1</v>
      </c>
      <c r="AB94" s="15" t="s">
        <v>2</v>
      </c>
      <c r="AC94" s="8">
        <v>571</v>
      </c>
      <c r="AD94">
        <v>48646</v>
      </c>
      <c r="AE94" s="5">
        <v>85.19439579684763</v>
      </c>
      <c r="AI94" s="3">
        <v>45194</v>
      </c>
      <c r="AJ94" s="15" t="s">
        <v>8</v>
      </c>
      <c r="AK94" s="16">
        <v>89</v>
      </c>
      <c r="AL94" s="16">
        <v>327680</v>
      </c>
      <c r="AM94" s="16">
        <v>37320</v>
      </c>
      <c r="AN94" s="16">
        <v>290360</v>
      </c>
      <c r="AO94" s="16">
        <v>11</v>
      </c>
      <c r="AP94" s="16">
        <v>327680</v>
      </c>
      <c r="AQ94" s="16">
        <v>89</v>
      </c>
      <c r="AR94" s="15" t="s">
        <v>1</v>
      </c>
      <c r="AS94" s="15" t="s">
        <v>2</v>
      </c>
      <c r="AT94" s="8">
        <v>769</v>
      </c>
      <c r="AU94">
        <v>37320</v>
      </c>
      <c r="AV94" s="5">
        <v>48.530559167750326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  <c r="R95" s="3">
        <v>45201</v>
      </c>
      <c r="S95" s="15" t="s">
        <v>3</v>
      </c>
      <c r="T95" s="16">
        <v>90</v>
      </c>
      <c r="U95" s="16">
        <v>491518</v>
      </c>
      <c r="V95" s="16">
        <v>48123</v>
      </c>
      <c r="W95" s="16">
        <v>443395</v>
      </c>
      <c r="X95" s="16">
        <v>10</v>
      </c>
      <c r="Y95" s="16">
        <v>491520</v>
      </c>
      <c r="Z95" s="16">
        <v>90</v>
      </c>
      <c r="AA95" s="15" t="s">
        <v>1</v>
      </c>
      <c r="AB95" s="15" t="s">
        <v>2</v>
      </c>
      <c r="AC95" s="8">
        <v>521</v>
      </c>
      <c r="AD95">
        <v>48125</v>
      </c>
      <c r="AE95" s="5">
        <v>92.370441458733211</v>
      </c>
      <c r="AI95" s="3">
        <v>45201</v>
      </c>
      <c r="AJ95" s="15" t="s">
        <v>8</v>
      </c>
      <c r="AK95" s="16">
        <v>89</v>
      </c>
      <c r="AL95" s="16">
        <v>327680</v>
      </c>
      <c r="AM95" s="16">
        <v>36933</v>
      </c>
      <c r="AN95" s="16">
        <v>290747</v>
      </c>
      <c r="AO95" s="16">
        <v>11</v>
      </c>
      <c r="AP95" s="16">
        <v>327680</v>
      </c>
      <c r="AQ95" s="16">
        <v>89</v>
      </c>
      <c r="AR95" s="15" t="s">
        <v>1</v>
      </c>
      <c r="AS95" s="15" t="s">
        <v>2</v>
      </c>
      <c r="AT95" s="8">
        <v>387</v>
      </c>
      <c r="AU95">
        <v>36933</v>
      </c>
      <c r="AV95" s="5">
        <v>95.434108527131784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  <c r="R96" s="3">
        <v>45208</v>
      </c>
      <c r="S96" s="15" t="s">
        <v>3</v>
      </c>
      <c r="T96" s="16">
        <v>90</v>
      </c>
      <c r="U96" s="16">
        <v>491518</v>
      </c>
      <c r="V96" s="16">
        <v>47656</v>
      </c>
      <c r="W96" s="16">
        <v>443862</v>
      </c>
      <c r="X96" s="16">
        <v>10</v>
      </c>
      <c r="Y96" s="16">
        <v>491520</v>
      </c>
      <c r="Z96" s="16">
        <v>90</v>
      </c>
      <c r="AA96" s="15" t="s">
        <v>1</v>
      </c>
      <c r="AB96" s="15" t="s">
        <v>2</v>
      </c>
      <c r="AC96" s="8">
        <v>467</v>
      </c>
      <c r="AD96">
        <v>47658</v>
      </c>
      <c r="AE96" s="5">
        <v>102.05139186295503</v>
      </c>
      <c r="AI96" s="3">
        <v>45208</v>
      </c>
      <c r="AJ96" s="15" t="s">
        <v>8</v>
      </c>
      <c r="AK96" s="16">
        <v>89</v>
      </c>
      <c r="AL96" s="16">
        <v>327680</v>
      </c>
      <c r="AM96" s="16">
        <v>36500</v>
      </c>
      <c r="AN96" s="16">
        <v>291180</v>
      </c>
      <c r="AO96" s="16">
        <v>11</v>
      </c>
      <c r="AP96" s="16">
        <v>327680</v>
      </c>
      <c r="AQ96" s="16">
        <v>89</v>
      </c>
      <c r="AR96" s="15" t="s">
        <v>1</v>
      </c>
      <c r="AS96" s="15" t="s">
        <v>2</v>
      </c>
      <c r="AT96" s="8">
        <v>433</v>
      </c>
      <c r="AU96">
        <v>36500</v>
      </c>
      <c r="AV96" s="5">
        <v>84.295612009237871</v>
      </c>
    </row>
    <row r="97" spans="1:48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  <c r="R97" s="3">
        <v>45215</v>
      </c>
      <c r="S97" s="15" t="s">
        <v>3</v>
      </c>
      <c r="T97" s="16">
        <v>90</v>
      </c>
      <c r="U97" s="16">
        <v>491518</v>
      </c>
      <c r="V97" s="16">
        <v>46736</v>
      </c>
      <c r="W97" s="16">
        <v>444782</v>
      </c>
      <c r="X97" s="16">
        <v>10</v>
      </c>
      <c r="Y97" s="16">
        <v>491520</v>
      </c>
      <c r="Z97" s="16">
        <v>90</v>
      </c>
      <c r="AA97" s="15" t="s">
        <v>1</v>
      </c>
      <c r="AB97" s="15" t="s">
        <v>2</v>
      </c>
      <c r="AC97" s="8">
        <v>920</v>
      </c>
      <c r="AD97">
        <v>46738</v>
      </c>
      <c r="AE97" s="5">
        <v>50.802173913043475</v>
      </c>
      <c r="AI97" s="3">
        <v>45215</v>
      </c>
      <c r="AJ97" s="15" t="s">
        <v>8</v>
      </c>
      <c r="AK97" s="16">
        <v>89</v>
      </c>
      <c r="AL97" s="16">
        <v>327680</v>
      </c>
      <c r="AM97" s="16">
        <v>36032</v>
      </c>
      <c r="AN97" s="16">
        <v>291648</v>
      </c>
      <c r="AO97" s="16">
        <v>11</v>
      </c>
      <c r="AP97" s="16">
        <v>327680</v>
      </c>
      <c r="AQ97" s="16">
        <v>89</v>
      </c>
      <c r="AR97" s="15" t="s">
        <v>1</v>
      </c>
      <c r="AS97" s="15" t="s">
        <v>2</v>
      </c>
      <c r="AT97" s="8">
        <v>468</v>
      </c>
      <c r="AU97">
        <v>36032</v>
      </c>
      <c r="AV97" s="5">
        <v>76.991452991452988</v>
      </c>
    </row>
    <row r="98" spans="1:48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  <c r="R98" s="3">
        <v>45222</v>
      </c>
      <c r="S98" s="15" t="s">
        <v>3</v>
      </c>
      <c r="T98" s="16">
        <v>91</v>
      </c>
      <c r="U98" s="16">
        <v>491518</v>
      </c>
      <c r="V98" s="16">
        <v>46206</v>
      </c>
      <c r="W98" s="16">
        <v>445312</v>
      </c>
      <c r="X98" s="16">
        <v>9</v>
      </c>
      <c r="Y98" s="16">
        <v>491520</v>
      </c>
      <c r="Z98" s="16">
        <v>91</v>
      </c>
      <c r="AA98" s="15" t="s">
        <v>1</v>
      </c>
      <c r="AB98" s="15" t="s">
        <v>2</v>
      </c>
      <c r="AC98" s="8">
        <v>530</v>
      </c>
      <c r="AD98">
        <v>46208</v>
      </c>
      <c r="AE98" s="5">
        <v>87.184905660377353</v>
      </c>
      <c r="AI98" s="3">
        <v>45222</v>
      </c>
      <c r="AJ98" s="15" t="s">
        <v>8</v>
      </c>
      <c r="AK98" s="16">
        <v>89</v>
      </c>
      <c r="AL98" s="16">
        <v>327680</v>
      </c>
      <c r="AM98" s="16">
        <v>35453</v>
      </c>
      <c r="AN98" s="16">
        <v>292227</v>
      </c>
      <c r="AO98" s="16">
        <v>11</v>
      </c>
      <c r="AP98" s="16">
        <v>327680</v>
      </c>
      <c r="AQ98" s="16">
        <v>89</v>
      </c>
      <c r="AR98" s="15" t="s">
        <v>1</v>
      </c>
      <c r="AS98" s="15" t="s">
        <v>2</v>
      </c>
      <c r="AT98" s="8">
        <v>579</v>
      </c>
      <c r="AU98">
        <v>35453</v>
      </c>
      <c r="AV98" s="5">
        <v>61.231433506044908</v>
      </c>
    </row>
    <row r="99" spans="1:48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  <c r="R99" s="3">
        <v>45229</v>
      </c>
      <c r="S99" s="15" t="s">
        <v>3</v>
      </c>
      <c r="T99" s="16">
        <v>91</v>
      </c>
      <c r="U99" s="16">
        <v>491518</v>
      </c>
      <c r="V99" s="16">
        <v>45637</v>
      </c>
      <c r="W99" s="16">
        <v>445881</v>
      </c>
      <c r="X99" s="16">
        <v>9</v>
      </c>
      <c r="Y99" s="16">
        <v>491520</v>
      </c>
      <c r="Z99" s="16">
        <v>91</v>
      </c>
      <c r="AA99" s="15" t="s">
        <v>1</v>
      </c>
      <c r="AB99" s="15" t="s">
        <v>2</v>
      </c>
      <c r="AC99" s="8">
        <v>569</v>
      </c>
      <c r="AD99">
        <v>45639</v>
      </c>
      <c r="AE99" s="5">
        <v>80.209138840070295</v>
      </c>
      <c r="AI99" s="3">
        <v>45229</v>
      </c>
      <c r="AJ99" s="15" t="s">
        <v>8</v>
      </c>
      <c r="AK99" s="16">
        <v>89</v>
      </c>
      <c r="AL99" s="16">
        <v>327680</v>
      </c>
      <c r="AM99" s="16">
        <v>35113</v>
      </c>
      <c r="AN99" s="16">
        <v>292566</v>
      </c>
      <c r="AO99" s="16">
        <v>11</v>
      </c>
      <c r="AP99" s="16">
        <v>327680</v>
      </c>
      <c r="AQ99" s="16">
        <v>89</v>
      </c>
      <c r="AR99" s="15" t="s">
        <v>1</v>
      </c>
      <c r="AS99" s="15" t="s">
        <v>2</v>
      </c>
      <c r="AT99" s="8">
        <v>339</v>
      </c>
      <c r="AU99">
        <v>35114</v>
      </c>
      <c r="AV99" s="5">
        <v>103.5811209439528</v>
      </c>
    </row>
    <row r="100" spans="1:48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  <c r="R100" s="3">
        <v>45236</v>
      </c>
      <c r="S100" s="15" t="s">
        <v>3</v>
      </c>
      <c r="T100" s="16">
        <v>91</v>
      </c>
      <c r="U100" s="16">
        <v>491518</v>
      </c>
      <c r="V100" s="16">
        <v>44835</v>
      </c>
      <c r="W100" s="16">
        <v>446682</v>
      </c>
      <c r="X100" s="16">
        <v>9</v>
      </c>
      <c r="Y100" s="16">
        <v>491520</v>
      </c>
      <c r="Z100" s="16">
        <v>91</v>
      </c>
      <c r="AA100" s="15" t="s">
        <v>1</v>
      </c>
      <c r="AB100" s="15" t="s">
        <v>2</v>
      </c>
      <c r="AC100" s="8">
        <v>801</v>
      </c>
      <c r="AD100" s="23">
        <v>44838</v>
      </c>
      <c r="AE100" s="5">
        <v>55.977528089887642</v>
      </c>
      <c r="AI100" s="3">
        <v>45236</v>
      </c>
      <c r="AJ100" s="15" t="s">
        <v>8</v>
      </c>
      <c r="AK100" s="16">
        <v>89</v>
      </c>
      <c r="AL100" s="16">
        <v>327680</v>
      </c>
      <c r="AM100" s="16">
        <v>34488</v>
      </c>
      <c r="AN100" s="16">
        <v>293192</v>
      </c>
      <c r="AO100" s="16">
        <v>11</v>
      </c>
      <c r="AP100" s="16">
        <v>327680</v>
      </c>
      <c r="AQ100" s="16">
        <v>89</v>
      </c>
      <c r="AR100" s="15" t="s">
        <v>1</v>
      </c>
      <c r="AS100" s="15" t="s">
        <v>2</v>
      </c>
      <c r="AT100" s="8">
        <v>626</v>
      </c>
      <c r="AU100" s="23">
        <v>34488</v>
      </c>
      <c r="AV100" s="5">
        <v>55.092651757188499</v>
      </c>
    </row>
    <row r="101" spans="1:48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</row>
    <row r="102" spans="1:48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</row>
    <row r="103" spans="1:48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</row>
    <row r="104" spans="1:48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</row>
    <row r="105" spans="1:48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</row>
    <row r="106" spans="1:48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</row>
    <row r="107" spans="1:48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</row>
    <row r="108" spans="1:48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</row>
    <row r="109" spans="1:48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</row>
    <row r="110" spans="1:48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</row>
    <row r="111" spans="1:48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</row>
    <row r="112" spans="1:48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</row>
    <row r="113" spans="1:14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</row>
    <row r="114" spans="1:14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</row>
    <row r="115" spans="1:14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</row>
    <row r="116" spans="1:14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</row>
    <row r="117" spans="1:14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</row>
    <row r="118" spans="1:14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</row>
    <row r="119" spans="1:14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</row>
    <row r="120" spans="1:14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</row>
    <row r="121" spans="1:14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</row>
    <row r="122" spans="1:14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</row>
    <row r="123" spans="1:14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14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14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14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14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14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5">
        <f>IF($L476&gt;0,UnilabUsage[[#This Row],[Free-of-Max]]/UnilabUsage[[#This Row],[Usage-Delta-MB]],UnilabUsage[[#This Row],[Free-of-Max]])</f>
        <v>14742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5">
        <f>IF($L496&gt;0,UnilabUsage[[#This Row],[Free-of-Max]]/UnilabUsage[[#This Row],[Usage-Delta-MB]],UnilabUsage[[#This Row],[Free-of-Max]])</f>
        <v>28347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5">
        <f>IF($L658&gt;0,UnilabUsage[[#This Row],[Free-of-Max]]/UnilabUsage[[#This Row],[Usage-Delta-MB]],UnilabUsage[[#This Row],[Free-of-Max]])</f>
        <v>36209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  <row r="882" spans="1:14" x14ac:dyDescent="0.25">
      <c r="A882" s="3">
        <v>45159</v>
      </c>
      <c r="B882" s="15" t="s">
        <v>7</v>
      </c>
      <c r="C882" s="16">
        <v>96</v>
      </c>
      <c r="D882" s="16">
        <v>2220</v>
      </c>
      <c r="E882" s="16">
        <v>100</v>
      </c>
      <c r="F882" s="16">
        <v>2120</v>
      </c>
      <c r="G882" s="16">
        <v>4</v>
      </c>
      <c r="H882" s="16">
        <v>32768</v>
      </c>
      <c r="I882" s="16">
        <v>6</v>
      </c>
      <c r="J882" s="15" t="s">
        <v>1</v>
      </c>
      <c r="K882" s="15" t="s">
        <v>2</v>
      </c>
      <c r="L882" s="8">
        <f>UnilabUsage[[#This Row],[Used-MB]]-F872</f>
        <v>7</v>
      </c>
      <c r="M882">
        <f>UnilabUsage[[#This Row],[Max]]-UnilabUsage[[#This Row],[Used-MB]]</f>
        <v>30648</v>
      </c>
      <c r="N882" s="5">
        <f>IF($L882&gt;0,UnilabUsage[[#This Row],[Free-of-Max]]/UnilabUsage[[#This Row],[Usage-Delta-MB]],UnilabUsage[[#This Row],[Free-of-Max]])</f>
        <v>4378.2857142857147</v>
      </c>
    </row>
    <row r="883" spans="1:14" x14ac:dyDescent="0.25">
      <c r="A883" s="3">
        <v>45159</v>
      </c>
      <c r="B883" s="15" t="s">
        <v>0</v>
      </c>
      <c r="C883" s="16">
        <v>100</v>
      </c>
      <c r="D883" s="16">
        <v>22450</v>
      </c>
      <c r="E883" s="16">
        <v>41</v>
      </c>
      <c r="F883" s="16">
        <v>22409</v>
      </c>
      <c r="G883" s="16">
        <v>0</v>
      </c>
      <c r="H883" s="16">
        <v>32768</v>
      </c>
      <c r="I883" s="16">
        <v>68</v>
      </c>
      <c r="J883" s="15" t="s">
        <v>1</v>
      </c>
      <c r="K883" s="15" t="s">
        <v>2</v>
      </c>
      <c r="L883" s="8">
        <f>UnilabUsage[[#This Row],[Used-MB]]-F873</f>
        <v>64</v>
      </c>
      <c r="M883">
        <f>UnilabUsage[[#This Row],[Max]]-UnilabUsage[[#This Row],[Used-MB]]</f>
        <v>10359</v>
      </c>
      <c r="N883" s="5">
        <f>IF($L883&gt;0,UnilabUsage[[#This Row],[Free-of-Max]]/UnilabUsage[[#This Row],[Usage-Delta-MB]],UnilabUsage[[#This Row],[Free-of-Max]])</f>
        <v>161.859375</v>
      </c>
    </row>
    <row r="884" spans="1:14" x14ac:dyDescent="0.25">
      <c r="A884" s="3">
        <v>45159</v>
      </c>
      <c r="B884" s="15" t="s">
        <v>11</v>
      </c>
      <c r="C884" s="16">
        <v>1</v>
      </c>
      <c r="D884" s="16">
        <v>100</v>
      </c>
      <c r="E884" s="16">
        <v>99</v>
      </c>
      <c r="F884" s="16">
        <v>1</v>
      </c>
      <c r="G884" s="16">
        <v>99</v>
      </c>
      <c r="H884" s="16">
        <v>32768</v>
      </c>
      <c r="I884" s="16">
        <v>0</v>
      </c>
      <c r="J884" s="15" t="s">
        <v>1</v>
      </c>
      <c r="K884" s="15" t="s">
        <v>2</v>
      </c>
      <c r="L884" s="8">
        <f>UnilabUsage[[#This Row],[Used-MB]]-F874</f>
        <v>0</v>
      </c>
      <c r="M884">
        <f>UnilabUsage[[#This Row],[Max]]-UnilabUsage[[#This Row],[Used-MB]]</f>
        <v>32767</v>
      </c>
      <c r="N884" s="5">
        <f>IF($L884&gt;0,UnilabUsage[[#This Row],[Free-of-Max]]/UnilabUsage[[#This Row],[Usage-Delta-MB]],UnilabUsage[[#This Row],[Free-of-Max]])</f>
        <v>32767</v>
      </c>
    </row>
    <row r="885" spans="1:14" x14ac:dyDescent="0.25">
      <c r="A885" s="3">
        <v>45159</v>
      </c>
      <c r="B885" s="15" t="s">
        <v>6</v>
      </c>
      <c r="C885" s="16">
        <v>95</v>
      </c>
      <c r="D885" s="16">
        <v>7605</v>
      </c>
      <c r="E885" s="16">
        <v>371</v>
      </c>
      <c r="F885" s="16">
        <v>7234</v>
      </c>
      <c r="G885" s="16">
        <v>5</v>
      </c>
      <c r="H885" s="16">
        <v>32768</v>
      </c>
      <c r="I885" s="16">
        <v>22</v>
      </c>
      <c r="J885" s="15" t="s">
        <v>1</v>
      </c>
      <c r="K885" s="15" t="s">
        <v>2</v>
      </c>
      <c r="L885" s="8">
        <f>UnilabUsage[[#This Row],[Used-MB]]-F875</f>
        <v>10</v>
      </c>
      <c r="M885">
        <f>UnilabUsage[[#This Row],[Max]]-UnilabUsage[[#This Row],[Used-MB]]</f>
        <v>25534</v>
      </c>
      <c r="N885" s="5">
        <f>IF($L885&gt;0,UnilabUsage[[#This Row],[Free-of-Max]]/UnilabUsage[[#This Row],[Usage-Delta-MB]],UnilabUsage[[#This Row],[Free-of-Max]])</f>
        <v>2553.4</v>
      </c>
    </row>
    <row r="886" spans="1:14" x14ac:dyDescent="0.25">
      <c r="A886" s="3">
        <v>45159</v>
      </c>
      <c r="B886" s="15" t="s">
        <v>3</v>
      </c>
      <c r="C886" s="16">
        <v>90</v>
      </c>
      <c r="D886" s="16">
        <v>491518</v>
      </c>
      <c r="E886" s="16">
        <v>50813</v>
      </c>
      <c r="F886" s="16">
        <v>440704</v>
      </c>
      <c r="G886" s="16">
        <v>10</v>
      </c>
      <c r="H886" s="16">
        <v>491520</v>
      </c>
      <c r="I886" s="16">
        <v>90</v>
      </c>
      <c r="J886" s="15" t="s">
        <v>1</v>
      </c>
      <c r="K886" s="15" t="s">
        <v>2</v>
      </c>
      <c r="L886" s="8">
        <f>UnilabUsage[[#This Row],[Used-MB]]-F876</f>
        <v>232</v>
      </c>
      <c r="M886">
        <f>UnilabUsage[[#This Row],[Max]]-UnilabUsage[[#This Row],[Used-MB]]</f>
        <v>50816</v>
      </c>
      <c r="N886" s="5">
        <f>IF($L886&gt;0,UnilabUsage[[#This Row],[Free-of-Max]]/UnilabUsage[[#This Row],[Usage-Delta-MB]],UnilabUsage[[#This Row],[Free-of-Max]])</f>
        <v>219.0344827586207</v>
      </c>
    </row>
    <row r="887" spans="1:14" x14ac:dyDescent="0.25">
      <c r="A887" s="3">
        <v>45159</v>
      </c>
      <c r="B887" s="15" t="s">
        <v>5</v>
      </c>
      <c r="C887" s="16">
        <v>95</v>
      </c>
      <c r="D887" s="16">
        <v>23200</v>
      </c>
      <c r="E887" s="16">
        <v>1119</v>
      </c>
      <c r="F887" s="16">
        <v>22081</v>
      </c>
      <c r="G887" s="16">
        <v>5</v>
      </c>
      <c r="H887" s="16">
        <v>32768</v>
      </c>
      <c r="I887" s="16">
        <v>67</v>
      </c>
      <c r="J887" s="15" t="s">
        <v>1</v>
      </c>
      <c r="K887" s="15" t="s">
        <v>2</v>
      </c>
      <c r="L887" s="8">
        <f>UnilabUsage[[#This Row],[Used-MB]]-F877</f>
        <v>9</v>
      </c>
      <c r="M887">
        <f>UnilabUsage[[#This Row],[Max]]-UnilabUsage[[#This Row],[Used-MB]]</f>
        <v>10687</v>
      </c>
      <c r="N887" s="5">
        <f>IF($L887&gt;0,UnilabUsage[[#This Row],[Free-of-Max]]/UnilabUsage[[#This Row],[Usage-Delta-MB]],UnilabUsage[[#This Row],[Free-of-Max]])</f>
        <v>1187.4444444444443</v>
      </c>
    </row>
    <row r="888" spans="1:14" x14ac:dyDescent="0.25">
      <c r="A888" s="3">
        <v>45159</v>
      </c>
      <c r="B888" s="15" t="s">
        <v>8</v>
      </c>
      <c r="C888" s="16">
        <v>88</v>
      </c>
      <c r="D888" s="16">
        <v>327680</v>
      </c>
      <c r="E888" s="16">
        <v>39446</v>
      </c>
      <c r="F888" s="16">
        <v>288234</v>
      </c>
      <c r="G888" s="16">
        <v>12</v>
      </c>
      <c r="H888" s="16">
        <v>327680</v>
      </c>
      <c r="I888" s="16">
        <v>88</v>
      </c>
      <c r="J888" s="15" t="s">
        <v>1</v>
      </c>
      <c r="K888" s="15" t="s">
        <v>2</v>
      </c>
      <c r="L888" s="8">
        <f>UnilabUsage[[#This Row],[Used-MB]]-F878</f>
        <v>221</v>
      </c>
      <c r="M888">
        <f>UnilabUsage[[#This Row],[Max]]-UnilabUsage[[#This Row],[Used-MB]]</f>
        <v>39446</v>
      </c>
      <c r="N888" s="5">
        <f>IF($L888&gt;0,UnilabUsage[[#This Row],[Free-of-Max]]/UnilabUsage[[#This Row],[Usage-Delta-MB]],UnilabUsage[[#This Row],[Free-of-Max]])</f>
        <v>178.48868778280544</v>
      </c>
    </row>
    <row r="889" spans="1:14" x14ac:dyDescent="0.25">
      <c r="A889" s="3">
        <v>45159</v>
      </c>
      <c r="B889" s="15" t="s">
        <v>4</v>
      </c>
      <c r="C889" s="16">
        <v>93</v>
      </c>
      <c r="D889" s="16">
        <v>98260</v>
      </c>
      <c r="E889" s="16">
        <v>6821</v>
      </c>
      <c r="F889" s="16">
        <v>91439</v>
      </c>
      <c r="G889" s="16">
        <v>7</v>
      </c>
      <c r="H889" s="16">
        <v>98304</v>
      </c>
      <c r="I889" s="16">
        <v>93</v>
      </c>
      <c r="J889" s="15" t="s">
        <v>1</v>
      </c>
      <c r="K889" s="15" t="s">
        <v>2</v>
      </c>
      <c r="L889" s="8">
        <f>UnilabUsage[[#This Row],[Used-MB]]-F879</f>
        <v>257</v>
      </c>
      <c r="M889">
        <f>UnilabUsage[[#This Row],[Max]]-UnilabUsage[[#This Row],[Used-MB]]</f>
        <v>6865</v>
      </c>
      <c r="N889" s="5">
        <f>IF($L889&gt;0,UnilabUsage[[#This Row],[Free-of-Max]]/UnilabUsage[[#This Row],[Usage-Delta-MB]],UnilabUsage[[#This Row],[Free-of-Max]])</f>
        <v>26.71206225680934</v>
      </c>
    </row>
    <row r="890" spans="1:14" x14ac:dyDescent="0.25">
      <c r="A890" s="3">
        <v>45159</v>
      </c>
      <c r="B890" s="15" t="s">
        <v>12</v>
      </c>
      <c r="C890" s="16">
        <v>0</v>
      </c>
      <c r="D890" s="16">
        <v>30720</v>
      </c>
      <c r="E890" s="16">
        <v>30698</v>
      </c>
      <c r="F890" s="16">
        <v>22</v>
      </c>
      <c r="G890" s="16">
        <v>100</v>
      </c>
      <c r="H890" s="16">
        <v>30720</v>
      </c>
      <c r="I890" s="16">
        <v>0</v>
      </c>
      <c r="J890" s="15" t="s">
        <v>1</v>
      </c>
      <c r="K890" s="15" t="s">
        <v>13</v>
      </c>
      <c r="L890" s="8">
        <f>UnilabUsage[[#This Row],[Used-MB]]-F880</f>
        <v>-27</v>
      </c>
      <c r="M890">
        <f>UnilabUsage[[#This Row],[Max]]-UnilabUsage[[#This Row],[Used-MB]]</f>
        <v>30698</v>
      </c>
      <c r="N890" s="5">
        <f>IF($L890&gt;0,UnilabUsage[[#This Row],[Free-of-Max]]/UnilabUsage[[#This Row],[Usage-Delta-MB]],UnilabUsage[[#This Row],[Free-of-Max]])</f>
        <v>30698</v>
      </c>
    </row>
    <row r="891" spans="1:14" x14ac:dyDescent="0.25">
      <c r="A891" s="3">
        <v>45159</v>
      </c>
      <c r="B891" s="15" t="s">
        <v>9</v>
      </c>
      <c r="C891" s="16">
        <v>4</v>
      </c>
      <c r="D891" s="16">
        <v>10440</v>
      </c>
      <c r="E891" s="16">
        <v>10012</v>
      </c>
      <c r="F891" s="16">
        <v>428</v>
      </c>
      <c r="G891" s="16">
        <v>96</v>
      </c>
      <c r="H891" s="16">
        <v>32768</v>
      </c>
      <c r="I891" s="16">
        <v>1</v>
      </c>
      <c r="J891" s="15" t="s">
        <v>1</v>
      </c>
      <c r="K891" s="15" t="s">
        <v>10</v>
      </c>
      <c r="L891" s="8">
        <f>UnilabUsage[[#This Row],[Used-MB]]-F881</f>
        <v>7</v>
      </c>
      <c r="M891">
        <f>UnilabUsage[[#This Row],[Max]]-UnilabUsage[[#This Row],[Used-MB]]</f>
        <v>32340</v>
      </c>
      <c r="N891" s="5">
        <f>IF($L891&gt;0,UnilabUsage[[#This Row],[Free-of-Max]]/UnilabUsage[[#This Row],[Usage-Delta-MB]],UnilabUsage[[#This Row],[Free-of-Max]])</f>
        <v>4620</v>
      </c>
    </row>
    <row r="892" spans="1:14" x14ac:dyDescent="0.25">
      <c r="A892" s="3">
        <v>45166</v>
      </c>
      <c r="B892" s="15" t="s">
        <v>7</v>
      </c>
      <c r="C892" s="16">
        <v>95</v>
      </c>
      <c r="D892" s="16">
        <v>2240</v>
      </c>
      <c r="E892" s="16">
        <v>112</v>
      </c>
      <c r="F892" s="16">
        <v>2128</v>
      </c>
      <c r="G892" s="16">
        <v>5</v>
      </c>
      <c r="H892" s="16">
        <v>32768</v>
      </c>
      <c r="I892" s="16">
        <v>6</v>
      </c>
      <c r="J892" s="15" t="s">
        <v>1</v>
      </c>
      <c r="K892" s="15" t="s">
        <v>2</v>
      </c>
      <c r="L892" s="8">
        <f>UnilabUsage[[#This Row],[Used-MB]]-F882</f>
        <v>8</v>
      </c>
      <c r="M892">
        <f>UnilabUsage[[#This Row],[Max]]-UnilabUsage[[#This Row],[Used-MB]]</f>
        <v>30640</v>
      </c>
      <c r="N892" s="5">
        <f>IF($L892&gt;0,UnilabUsage[[#This Row],[Free-of-Max]]/UnilabUsage[[#This Row],[Usage-Delta-MB]],UnilabUsage[[#This Row],[Free-of-Max]])</f>
        <v>3830</v>
      </c>
    </row>
    <row r="893" spans="1:14" x14ac:dyDescent="0.25">
      <c r="A893" s="3">
        <v>45166</v>
      </c>
      <c r="B893" s="15" t="s">
        <v>0</v>
      </c>
      <c r="C893" s="16">
        <v>100</v>
      </c>
      <c r="D893" s="16">
        <v>22550</v>
      </c>
      <c r="E893" s="16">
        <v>77</v>
      </c>
      <c r="F893" s="16">
        <v>22473</v>
      </c>
      <c r="G893" s="16">
        <v>0</v>
      </c>
      <c r="H893" s="16">
        <v>32768</v>
      </c>
      <c r="I893" s="16">
        <v>69</v>
      </c>
      <c r="J893" s="15" t="s">
        <v>1</v>
      </c>
      <c r="K893" s="15" t="s">
        <v>2</v>
      </c>
      <c r="L893" s="8">
        <f>UnilabUsage[[#This Row],[Used-MB]]-F883</f>
        <v>64</v>
      </c>
      <c r="M893">
        <f>UnilabUsage[[#This Row],[Max]]-UnilabUsage[[#This Row],[Used-MB]]</f>
        <v>10295</v>
      </c>
      <c r="N893" s="5">
        <f>IF($L893&gt;0,UnilabUsage[[#This Row],[Free-of-Max]]/UnilabUsage[[#This Row],[Usage-Delta-MB]],UnilabUsage[[#This Row],[Free-of-Max]])</f>
        <v>160.859375</v>
      </c>
    </row>
    <row r="894" spans="1:14" x14ac:dyDescent="0.25">
      <c r="A894" s="3">
        <v>45166</v>
      </c>
      <c r="B894" s="15" t="s">
        <v>11</v>
      </c>
      <c r="C894" s="16">
        <v>1</v>
      </c>
      <c r="D894" s="16">
        <v>100</v>
      </c>
      <c r="E894" s="16">
        <v>99</v>
      </c>
      <c r="F894" s="16">
        <v>1</v>
      </c>
      <c r="G894" s="16">
        <v>99</v>
      </c>
      <c r="H894" s="16">
        <v>32768</v>
      </c>
      <c r="I894" s="16">
        <v>0</v>
      </c>
      <c r="J894" s="15" t="s">
        <v>1</v>
      </c>
      <c r="K894" s="15" t="s">
        <v>2</v>
      </c>
      <c r="L894" s="8">
        <f>UnilabUsage[[#This Row],[Used-MB]]-F884</f>
        <v>0</v>
      </c>
      <c r="M894">
        <f>UnilabUsage[[#This Row],[Max]]-UnilabUsage[[#This Row],[Used-MB]]</f>
        <v>32767</v>
      </c>
      <c r="N894" s="5">
        <f>IF($L894&gt;0,UnilabUsage[[#This Row],[Free-of-Max]]/UnilabUsage[[#This Row],[Usage-Delta-MB]],UnilabUsage[[#This Row],[Free-of-Max]])</f>
        <v>32767</v>
      </c>
    </row>
    <row r="895" spans="1:14" x14ac:dyDescent="0.25">
      <c r="A895" s="3">
        <v>45166</v>
      </c>
      <c r="B895" s="15" t="s">
        <v>6</v>
      </c>
      <c r="C895" s="16">
        <v>95</v>
      </c>
      <c r="D895" s="16">
        <v>7605</v>
      </c>
      <c r="E895" s="16">
        <v>363</v>
      </c>
      <c r="F895" s="16">
        <v>7242</v>
      </c>
      <c r="G895" s="16">
        <v>5</v>
      </c>
      <c r="H895" s="16">
        <v>32768</v>
      </c>
      <c r="I895" s="16">
        <v>22</v>
      </c>
      <c r="J895" s="15" t="s">
        <v>1</v>
      </c>
      <c r="K895" s="15" t="s">
        <v>2</v>
      </c>
      <c r="L895" s="8">
        <f>UnilabUsage[[#This Row],[Used-MB]]-F885</f>
        <v>8</v>
      </c>
      <c r="M895">
        <f>UnilabUsage[[#This Row],[Max]]-UnilabUsage[[#This Row],[Used-MB]]</f>
        <v>25526</v>
      </c>
      <c r="N895" s="5">
        <f>IF($L895&gt;0,UnilabUsage[[#This Row],[Free-of-Max]]/UnilabUsage[[#This Row],[Usage-Delta-MB]],UnilabUsage[[#This Row],[Free-of-Max]])</f>
        <v>3190.75</v>
      </c>
    </row>
    <row r="896" spans="1:14" x14ac:dyDescent="0.25">
      <c r="A896" s="3">
        <v>45166</v>
      </c>
      <c r="B896" s="15" t="s">
        <v>3</v>
      </c>
      <c r="C896" s="16">
        <v>90</v>
      </c>
      <c r="D896" s="16">
        <v>491518</v>
      </c>
      <c r="E896" s="16">
        <v>50484</v>
      </c>
      <c r="F896" s="16">
        <v>441033</v>
      </c>
      <c r="G896" s="16">
        <v>10</v>
      </c>
      <c r="H896" s="16">
        <v>491520</v>
      </c>
      <c r="I896" s="16">
        <v>90</v>
      </c>
      <c r="J896" s="15" t="s">
        <v>1</v>
      </c>
      <c r="K896" s="15" t="s">
        <v>2</v>
      </c>
      <c r="L896" s="8">
        <f>UnilabUsage[[#This Row],[Used-MB]]-F886</f>
        <v>329</v>
      </c>
      <c r="M896">
        <f>UnilabUsage[[#This Row],[Max]]-UnilabUsage[[#This Row],[Used-MB]]</f>
        <v>50487</v>
      </c>
      <c r="N896" s="5">
        <f>IF($L896&gt;0,UnilabUsage[[#This Row],[Free-of-Max]]/UnilabUsage[[#This Row],[Usage-Delta-MB]],UnilabUsage[[#This Row],[Free-of-Max]])</f>
        <v>153.45592705167172</v>
      </c>
    </row>
    <row r="897" spans="1:14" x14ac:dyDescent="0.25">
      <c r="A897" s="3">
        <v>45166</v>
      </c>
      <c r="B897" s="15" t="s">
        <v>5</v>
      </c>
      <c r="C897" s="16">
        <v>95</v>
      </c>
      <c r="D897" s="16">
        <v>23200</v>
      </c>
      <c r="E897" s="16">
        <v>1117</v>
      </c>
      <c r="F897" s="16">
        <v>22083</v>
      </c>
      <c r="G897" s="16">
        <v>5</v>
      </c>
      <c r="H897" s="16">
        <v>32768</v>
      </c>
      <c r="I897" s="16">
        <v>67</v>
      </c>
      <c r="J897" s="15" t="s">
        <v>1</v>
      </c>
      <c r="K897" s="15" t="s">
        <v>2</v>
      </c>
      <c r="L897" s="8">
        <f>UnilabUsage[[#This Row],[Used-MB]]-F887</f>
        <v>2</v>
      </c>
      <c r="M897">
        <f>UnilabUsage[[#This Row],[Max]]-UnilabUsage[[#This Row],[Used-MB]]</f>
        <v>10685</v>
      </c>
      <c r="N897" s="5">
        <f>IF($L897&gt;0,UnilabUsage[[#This Row],[Free-of-Max]]/UnilabUsage[[#This Row],[Usage-Delta-MB]],UnilabUsage[[#This Row],[Free-of-Max]])</f>
        <v>5342.5</v>
      </c>
    </row>
    <row r="898" spans="1:14" x14ac:dyDescent="0.25">
      <c r="A898" s="3">
        <v>45166</v>
      </c>
      <c r="B898" s="15" t="s">
        <v>8</v>
      </c>
      <c r="C898" s="16">
        <v>88</v>
      </c>
      <c r="D898" s="16">
        <v>327680</v>
      </c>
      <c r="E898" s="16">
        <v>39057</v>
      </c>
      <c r="F898" s="16">
        <v>288623</v>
      </c>
      <c r="G898" s="16">
        <v>12</v>
      </c>
      <c r="H898" s="16">
        <v>327680</v>
      </c>
      <c r="I898" s="16">
        <v>88</v>
      </c>
      <c r="J898" s="15" t="s">
        <v>1</v>
      </c>
      <c r="K898" s="15" t="s">
        <v>2</v>
      </c>
      <c r="L898" s="8">
        <f>UnilabUsage[[#This Row],[Used-MB]]-F888</f>
        <v>389</v>
      </c>
      <c r="M898">
        <f>UnilabUsage[[#This Row],[Max]]-UnilabUsage[[#This Row],[Used-MB]]</f>
        <v>39057</v>
      </c>
      <c r="N898" s="5">
        <f>IF($L898&gt;0,UnilabUsage[[#This Row],[Free-of-Max]]/UnilabUsage[[#This Row],[Usage-Delta-MB]],UnilabUsage[[#This Row],[Free-of-Max]])</f>
        <v>100.40359897172236</v>
      </c>
    </row>
    <row r="899" spans="1:14" x14ac:dyDescent="0.25">
      <c r="A899" s="3">
        <v>45166</v>
      </c>
      <c r="B899" s="15" t="s">
        <v>4</v>
      </c>
      <c r="C899" s="16">
        <v>94</v>
      </c>
      <c r="D899" s="16">
        <v>98260</v>
      </c>
      <c r="E899" s="16">
        <v>6373</v>
      </c>
      <c r="F899" s="16">
        <v>91887</v>
      </c>
      <c r="G899" s="16">
        <v>6</v>
      </c>
      <c r="H899" s="16">
        <v>98304</v>
      </c>
      <c r="I899" s="16">
        <v>93</v>
      </c>
      <c r="J899" s="15" t="s">
        <v>1</v>
      </c>
      <c r="K899" s="15" t="s">
        <v>2</v>
      </c>
      <c r="L899" s="8">
        <f>UnilabUsage[[#This Row],[Used-MB]]-F889</f>
        <v>448</v>
      </c>
      <c r="M899">
        <f>UnilabUsage[[#This Row],[Max]]-UnilabUsage[[#This Row],[Used-MB]]</f>
        <v>6417</v>
      </c>
      <c r="N899" s="5">
        <f>IF($L899&gt;0,UnilabUsage[[#This Row],[Free-of-Max]]/UnilabUsage[[#This Row],[Usage-Delta-MB]],UnilabUsage[[#This Row],[Free-of-Max]])</f>
        <v>14.323660714285714</v>
      </c>
    </row>
    <row r="900" spans="1:14" x14ac:dyDescent="0.25">
      <c r="A900" s="3">
        <v>45166</v>
      </c>
      <c r="B900" s="15" t="s">
        <v>12</v>
      </c>
      <c r="C900" s="16">
        <v>0</v>
      </c>
      <c r="D900" s="16">
        <v>30720</v>
      </c>
      <c r="E900" s="16">
        <v>30660</v>
      </c>
      <c r="F900" s="16">
        <v>60</v>
      </c>
      <c r="G900" s="16">
        <v>100</v>
      </c>
      <c r="H900" s="16">
        <v>30720</v>
      </c>
      <c r="I900" s="16">
        <v>0</v>
      </c>
      <c r="J900" s="15" t="s">
        <v>1</v>
      </c>
      <c r="K900" s="15" t="s">
        <v>13</v>
      </c>
      <c r="L900" s="8">
        <f>UnilabUsage[[#This Row],[Used-MB]]-F890</f>
        <v>38</v>
      </c>
      <c r="M900">
        <f>UnilabUsage[[#This Row],[Max]]-UnilabUsage[[#This Row],[Used-MB]]</f>
        <v>30660</v>
      </c>
      <c r="N900" s="5">
        <f>IF($L900&gt;0,UnilabUsage[[#This Row],[Free-of-Max]]/UnilabUsage[[#This Row],[Usage-Delta-MB]],UnilabUsage[[#This Row],[Free-of-Max]])</f>
        <v>806.84210526315792</v>
      </c>
    </row>
    <row r="901" spans="1:14" x14ac:dyDescent="0.25">
      <c r="A901" s="3">
        <v>45166</v>
      </c>
      <c r="B901" s="15" t="s">
        <v>9</v>
      </c>
      <c r="C901" s="16">
        <v>3</v>
      </c>
      <c r="D901" s="16">
        <v>10440</v>
      </c>
      <c r="E901" s="16">
        <v>10091</v>
      </c>
      <c r="F901" s="16">
        <v>349</v>
      </c>
      <c r="G901" s="16">
        <v>97</v>
      </c>
      <c r="H901" s="16">
        <v>32768</v>
      </c>
      <c r="I901" s="16">
        <v>1</v>
      </c>
      <c r="J901" s="15" t="s">
        <v>1</v>
      </c>
      <c r="K901" s="15" t="s">
        <v>10</v>
      </c>
      <c r="L901" s="8">
        <f>UnilabUsage[[#This Row],[Used-MB]]-F891</f>
        <v>-79</v>
      </c>
      <c r="M901">
        <f>UnilabUsage[[#This Row],[Max]]-UnilabUsage[[#This Row],[Used-MB]]</f>
        <v>32419</v>
      </c>
      <c r="N901" s="5">
        <f>IF($L901&gt;0,UnilabUsage[[#This Row],[Free-of-Max]]/UnilabUsage[[#This Row],[Usage-Delta-MB]],UnilabUsage[[#This Row],[Free-of-Max]])</f>
        <v>32419</v>
      </c>
    </row>
    <row r="902" spans="1:14" x14ac:dyDescent="0.25">
      <c r="A902" s="3">
        <v>45173</v>
      </c>
      <c r="B902" s="15" t="s">
        <v>7</v>
      </c>
      <c r="C902" s="16">
        <v>95</v>
      </c>
      <c r="D902" s="16">
        <v>2240</v>
      </c>
      <c r="E902" s="16">
        <v>103</v>
      </c>
      <c r="F902" s="16">
        <v>2137</v>
      </c>
      <c r="G902" s="16">
        <v>5</v>
      </c>
      <c r="H902" s="16">
        <v>32768</v>
      </c>
      <c r="I902" s="16">
        <v>7</v>
      </c>
      <c r="J902" s="15" t="s">
        <v>1</v>
      </c>
      <c r="K902" s="15" t="s">
        <v>2</v>
      </c>
      <c r="L902" s="8">
        <f>UnilabUsage[[#This Row],[Used-MB]]-F892</f>
        <v>9</v>
      </c>
      <c r="M902">
        <f>UnilabUsage[[#This Row],[Max]]-UnilabUsage[[#This Row],[Used-MB]]</f>
        <v>30631</v>
      </c>
      <c r="N902" s="5">
        <f>IF($L902&gt;0,UnilabUsage[[#This Row],[Free-of-Max]]/UnilabUsage[[#This Row],[Usage-Delta-MB]],UnilabUsage[[#This Row],[Free-of-Max]])</f>
        <v>3403.4444444444443</v>
      </c>
    </row>
    <row r="903" spans="1:14" x14ac:dyDescent="0.25">
      <c r="A903" s="3">
        <v>45173</v>
      </c>
      <c r="B903" s="15" t="s">
        <v>0</v>
      </c>
      <c r="C903" s="16">
        <v>100</v>
      </c>
      <c r="D903" s="16">
        <v>22550</v>
      </c>
      <c r="E903" s="16">
        <v>11</v>
      </c>
      <c r="F903" s="16">
        <v>22539</v>
      </c>
      <c r="G903" s="16">
        <v>0</v>
      </c>
      <c r="H903" s="16">
        <v>32768</v>
      </c>
      <c r="I903" s="16">
        <v>69</v>
      </c>
      <c r="J903" s="15" t="s">
        <v>1</v>
      </c>
      <c r="K903" s="15" t="s">
        <v>2</v>
      </c>
      <c r="L903" s="8">
        <f>UnilabUsage[[#This Row],[Used-MB]]-F893</f>
        <v>66</v>
      </c>
      <c r="M903">
        <f>UnilabUsage[[#This Row],[Max]]-UnilabUsage[[#This Row],[Used-MB]]</f>
        <v>10229</v>
      </c>
      <c r="N903" s="5">
        <f>IF($L903&gt;0,UnilabUsage[[#This Row],[Free-of-Max]]/UnilabUsage[[#This Row],[Usage-Delta-MB]],UnilabUsage[[#This Row],[Free-of-Max]])</f>
        <v>154.9848484848485</v>
      </c>
    </row>
    <row r="904" spans="1:14" x14ac:dyDescent="0.25">
      <c r="A904" s="3">
        <v>45173</v>
      </c>
      <c r="B904" s="15" t="s">
        <v>11</v>
      </c>
      <c r="C904" s="16">
        <v>1</v>
      </c>
      <c r="D904" s="16">
        <v>100</v>
      </c>
      <c r="E904" s="16">
        <v>99</v>
      </c>
      <c r="F904" s="16">
        <v>1</v>
      </c>
      <c r="G904" s="16">
        <v>99</v>
      </c>
      <c r="H904" s="16">
        <v>32768</v>
      </c>
      <c r="I904" s="16">
        <v>0</v>
      </c>
      <c r="J904" s="15" t="s">
        <v>1</v>
      </c>
      <c r="K904" s="15" t="s">
        <v>2</v>
      </c>
      <c r="L904" s="8">
        <f>UnilabUsage[[#This Row],[Used-MB]]-F894</f>
        <v>0</v>
      </c>
      <c r="M904">
        <f>UnilabUsage[[#This Row],[Max]]-UnilabUsage[[#This Row],[Used-MB]]</f>
        <v>32767</v>
      </c>
      <c r="N904" s="5">
        <f>IF($L904&gt;0,UnilabUsage[[#This Row],[Free-of-Max]]/UnilabUsage[[#This Row],[Usage-Delta-MB]],UnilabUsage[[#This Row],[Free-of-Max]])</f>
        <v>32767</v>
      </c>
    </row>
    <row r="905" spans="1:14" x14ac:dyDescent="0.25">
      <c r="A905" s="3">
        <v>45173</v>
      </c>
      <c r="B905" s="15" t="s">
        <v>6</v>
      </c>
      <c r="C905" s="16">
        <v>95</v>
      </c>
      <c r="D905" s="16">
        <v>7615</v>
      </c>
      <c r="E905" s="16">
        <v>372</v>
      </c>
      <c r="F905" s="16">
        <v>7243</v>
      </c>
      <c r="G905" s="16">
        <v>5</v>
      </c>
      <c r="H905" s="16">
        <v>32768</v>
      </c>
      <c r="I905" s="16">
        <v>22</v>
      </c>
      <c r="J905" s="15" t="s">
        <v>1</v>
      </c>
      <c r="K905" s="15" t="s">
        <v>2</v>
      </c>
      <c r="L905" s="8">
        <f>UnilabUsage[[#This Row],[Used-MB]]-F895</f>
        <v>1</v>
      </c>
      <c r="M905">
        <f>UnilabUsage[[#This Row],[Max]]-UnilabUsage[[#This Row],[Used-MB]]</f>
        <v>25525</v>
      </c>
      <c r="N905" s="5">
        <f>IF($L905&gt;0,UnilabUsage[[#This Row],[Free-of-Max]]/UnilabUsage[[#This Row],[Usage-Delta-MB]],UnilabUsage[[#This Row],[Free-of-Max]])</f>
        <v>25525</v>
      </c>
    </row>
    <row r="906" spans="1:14" x14ac:dyDescent="0.25">
      <c r="A906" s="3">
        <v>45173</v>
      </c>
      <c r="B906" s="15" t="s">
        <v>3</v>
      </c>
      <c r="C906" s="16">
        <v>90</v>
      </c>
      <c r="D906" s="16">
        <v>491518</v>
      </c>
      <c r="E906" s="16">
        <v>50266</v>
      </c>
      <c r="F906" s="16">
        <v>441252</v>
      </c>
      <c r="G906" s="16">
        <v>10</v>
      </c>
      <c r="H906" s="16">
        <v>491520</v>
      </c>
      <c r="I906" s="16">
        <v>90</v>
      </c>
      <c r="J906" s="15" t="s">
        <v>1</v>
      </c>
      <c r="K906" s="15" t="s">
        <v>2</v>
      </c>
      <c r="L906" s="8">
        <f>UnilabUsage[[#This Row],[Used-MB]]-F896</f>
        <v>219</v>
      </c>
      <c r="M906">
        <f>UnilabUsage[[#This Row],[Max]]-UnilabUsage[[#This Row],[Used-MB]]</f>
        <v>50268</v>
      </c>
      <c r="N906" s="5">
        <f>IF($L906&gt;0,UnilabUsage[[#This Row],[Free-of-Max]]/UnilabUsage[[#This Row],[Usage-Delta-MB]],UnilabUsage[[#This Row],[Free-of-Max]])</f>
        <v>229.53424657534248</v>
      </c>
    </row>
    <row r="907" spans="1:14" x14ac:dyDescent="0.25">
      <c r="A907" s="3">
        <v>45173</v>
      </c>
      <c r="B907" s="15" t="s">
        <v>5</v>
      </c>
      <c r="C907" s="16">
        <v>96</v>
      </c>
      <c r="D907" s="16">
        <v>23200</v>
      </c>
      <c r="E907" s="16">
        <v>1037</v>
      </c>
      <c r="F907" s="16">
        <v>22164</v>
      </c>
      <c r="G907" s="16">
        <v>4</v>
      </c>
      <c r="H907" s="16">
        <v>32768</v>
      </c>
      <c r="I907" s="16">
        <v>68</v>
      </c>
      <c r="J907" s="15" t="s">
        <v>1</v>
      </c>
      <c r="K907" s="15" t="s">
        <v>2</v>
      </c>
      <c r="L907" s="8">
        <f>UnilabUsage[[#This Row],[Used-MB]]-F897</f>
        <v>81</v>
      </c>
      <c r="M907">
        <f>UnilabUsage[[#This Row],[Max]]-UnilabUsage[[#This Row],[Used-MB]]</f>
        <v>10604</v>
      </c>
      <c r="N907" s="5">
        <f>IF($L907&gt;0,UnilabUsage[[#This Row],[Free-of-Max]]/UnilabUsage[[#This Row],[Usage-Delta-MB]],UnilabUsage[[#This Row],[Free-of-Max]])</f>
        <v>130.91358024691357</v>
      </c>
    </row>
    <row r="908" spans="1:14" x14ac:dyDescent="0.25">
      <c r="A908" s="3">
        <v>45173</v>
      </c>
      <c r="B908" s="15" t="s">
        <v>8</v>
      </c>
      <c r="C908" s="16">
        <v>88</v>
      </c>
      <c r="D908" s="16">
        <v>327680</v>
      </c>
      <c r="E908" s="16">
        <v>38872</v>
      </c>
      <c r="F908" s="16">
        <v>288808</v>
      </c>
      <c r="G908" s="16">
        <v>12</v>
      </c>
      <c r="H908" s="16">
        <v>327680</v>
      </c>
      <c r="I908" s="16">
        <v>88</v>
      </c>
      <c r="J908" s="15" t="s">
        <v>1</v>
      </c>
      <c r="K908" s="15" t="s">
        <v>2</v>
      </c>
      <c r="L908" s="8">
        <f>UnilabUsage[[#This Row],[Used-MB]]-F898</f>
        <v>185</v>
      </c>
      <c r="M908">
        <f>UnilabUsage[[#This Row],[Max]]-UnilabUsage[[#This Row],[Used-MB]]</f>
        <v>38872</v>
      </c>
      <c r="N908" s="5">
        <f>IF($L908&gt;0,UnilabUsage[[#This Row],[Free-of-Max]]/UnilabUsage[[#This Row],[Usage-Delta-MB]],UnilabUsage[[#This Row],[Free-of-Max]])</f>
        <v>210.11891891891892</v>
      </c>
    </row>
    <row r="909" spans="1:14" x14ac:dyDescent="0.25">
      <c r="A909" s="3">
        <v>45173</v>
      </c>
      <c r="B909" s="15" t="s">
        <v>4</v>
      </c>
      <c r="C909" s="16">
        <v>93</v>
      </c>
      <c r="D909" s="16">
        <v>99260</v>
      </c>
      <c r="E909" s="16">
        <v>6924</v>
      </c>
      <c r="F909" s="16">
        <v>92336</v>
      </c>
      <c r="G909" s="16">
        <v>7</v>
      </c>
      <c r="H909" s="16">
        <v>131072</v>
      </c>
      <c r="I909" s="16">
        <v>70</v>
      </c>
      <c r="J909" s="15" t="s">
        <v>1</v>
      </c>
      <c r="K909" s="15" t="s">
        <v>2</v>
      </c>
      <c r="L909" s="8">
        <f>UnilabUsage[[#This Row],[Used-MB]]-F899</f>
        <v>449</v>
      </c>
      <c r="M909">
        <f>UnilabUsage[[#This Row],[Max]]-UnilabUsage[[#This Row],[Used-MB]]</f>
        <v>38736</v>
      </c>
      <c r="N909" s="5">
        <f>IF($L909&gt;0,UnilabUsage[[#This Row],[Free-of-Max]]/UnilabUsage[[#This Row],[Usage-Delta-MB]],UnilabUsage[[#This Row],[Free-of-Max]])</f>
        <v>86.271714922049</v>
      </c>
    </row>
    <row r="910" spans="1:14" x14ac:dyDescent="0.25">
      <c r="A910" s="3">
        <v>45173</v>
      </c>
      <c r="B910" s="15" t="s">
        <v>12</v>
      </c>
      <c r="C910" s="16">
        <v>0</v>
      </c>
      <c r="D910" s="16">
        <v>30720</v>
      </c>
      <c r="E910" s="16">
        <v>30645</v>
      </c>
      <c r="F910" s="16">
        <v>75</v>
      </c>
      <c r="G910" s="16">
        <v>100</v>
      </c>
      <c r="H910" s="16">
        <v>30720</v>
      </c>
      <c r="I910" s="16">
        <v>0</v>
      </c>
      <c r="J910" s="15" t="s">
        <v>1</v>
      </c>
      <c r="K910" s="15" t="s">
        <v>13</v>
      </c>
      <c r="L910" s="8">
        <f>UnilabUsage[[#This Row],[Used-MB]]-F900</f>
        <v>15</v>
      </c>
      <c r="M910">
        <f>UnilabUsage[[#This Row],[Max]]-UnilabUsage[[#This Row],[Used-MB]]</f>
        <v>30645</v>
      </c>
      <c r="N910" s="5">
        <f>IF($L910&gt;0,UnilabUsage[[#This Row],[Free-of-Max]]/UnilabUsage[[#This Row],[Usage-Delta-MB]],UnilabUsage[[#This Row],[Free-of-Max]])</f>
        <v>2043</v>
      </c>
    </row>
    <row r="911" spans="1:14" x14ac:dyDescent="0.25">
      <c r="A911" s="3">
        <v>45173</v>
      </c>
      <c r="B911" s="15" t="s">
        <v>9</v>
      </c>
      <c r="C911" s="16">
        <v>3</v>
      </c>
      <c r="D911" s="16">
        <v>10440</v>
      </c>
      <c r="E911" s="16">
        <v>10087</v>
      </c>
      <c r="F911" s="16">
        <v>353</v>
      </c>
      <c r="G911" s="16">
        <v>97</v>
      </c>
      <c r="H911" s="16">
        <v>32768</v>
      </c>
      <c r="I911" s="16">
        <v>1</v>
      </c>
      <c r="J911" s="15" t="s">
        <v>1</v>
      </c>
      <c r="K911" s="15" t="s">
        <v>10</v>
      </c>
      <c r="L911" s="8">
        <f>UnilabUsage[[#This Row],[Used-MB]]-F901</f>
        <v>4</v>
      </c>
      <c r="M911">
        <f>UnilabUsage[[#This Row],[Max]]-UnilabUsage[[#This Row],[Used-MB]]</f>
        <v>32415</v>
      </c>
      <c r="N911" s="5">
        <f>IF($L911&gt;0,UnilabUsage[[#This Row],[Free-of-Max]]/UnilabUsage[[#This Row],[Usage-Delta-MB]],UnilabUsage[[#This Row],[Free-of-Max]])</f>
        <v>8103.75</v>
      </c>
    </row>
    <row r="912" spans="1:14" x14ac:dyDescent="0.25">
      <c r="A912" s="3">
        <v>45187</v>
      </c>
      <c r="B912" s="15" t="s">
        <v>7</v>
      </c>
      <c r="C912" s="16">
        <v>95</v>
      </c>
      <c r="D912" s="16">
        <v>2260</v>
      </c>
      <c r="E912" s="16">
        <v>106</v>
      </c>
      <c r="F912" s="16">
        <v>2154</v>
      </c>
      <c r="G912" s="16">
        <v>5</v>
      </c>
      <c r="H912" s="16">
        <v>32768</v>
      </c>
      <c r="I912" s="16">
        <v>7</v>
      </c>
      <c r="J912" s="15" t="s">
        <v>1</v>
      </c>
      <c r="K912" s="15" t="s">
        <v>2</v>
      </c>
      <c r="L912" s="8">
        <f>UnilabUsage[[#This Row],[Used-MB]]-F902</f>
        <v>17</v>
      </c>
      <c r="M912">
        <f>UnilabUsage[[#This Row],[Max]]-UnilabUsage[[#This Row],[Used-MB]]</f>
        <v>30614</v>
      </c>
      <c r="N912" s="5">
        <f>IF($L912&gt;0,UnilabUsage[[#This Row],[Free-of-Max]]/UnilabUsage[[#This Row],[Usage-Delta-MB]],UnilabUsage[[#This Row],[Free-of-Max]])</f>
        <v>1800.8235294117646</v>
      </c>
    </row>
    <row r="913" spans="1:14" x14ac:dyDescent="0.25">
      <c r="A913" s="3">
        <v>45187</v>
      </c>
      <c r="B913" s="15" t="s">
        <v>0</v>
      </c>
      <c r="C913" s="16">
        <v>100</v>
      </c>
      <c r="D913" s="16">
        <v>22750</v>
      </c>
      <c r="E913" s="16">
        <v>83</v>
      </c>
      <c r="F913" s="16">
        <v>22667</v>
      </c>
      <c r="G913" s="16">
        <v>0</v>
      </c>
      <c r="H913" s="16">
        <v>32768</v>
      </c>
      <c r="I913" s="16">
        <v>69</v>
      </c>
      <c r="J913" s="15" t="s">
        <v>1</v>
      </c>
      <c r="K913" s="15" t="s">
        <v>2</v>
      </c>
      <c r="L913" s="8">
        <f>UnilabUsage[[#This Row],[Used-MB]]-F903</f>
        <v>128</v>
      </c>
      <c r="M913">
        <f>UnilabUsage[[#This Row],[Max]]-UnilabUsage[[#This Row],[Used-MB]]</f>
        <v>10101</v>
      </c>
      <c r="N913" s="5">
        <f>IF($L913&gt;0,UnilabUsage[[#This Row],[Free-of-Max]]/UnilabUsage[[#This Row],[Usage-Delta-MB]],UnilabUsage[[#This Row],[Free-of-Max]])</f>
        <v>78.9140625</v>
      </c>
    </row>
    <row r="914" spans="1:14" x14ac:dyDescent="0.25">
      <c r="A914" s="3">
        <v>45187</v>
      </c>
      <c r="B914" s="15" t="s">
        <v>11</v>
      </c>
      <c r="C914" s="16">
        <v>1</v>
      </c>
      <c r="D914" s="16">
        <v>100</v>
      </c>
      <c r="E914" s="16">
        <v>99</v>
      </c>
      <c r="F914" s="16">
        <v>1</v>
      </c>
      <c r="G914" s="16">
        <v>99</v>
      </c>
      <c r="H914" s="16">
        <v>32768</v>
      </c>
      <c r="I914" s="16">
        <v>0</v>
      </c>
      <c r="J914" s="15" t="s">
        <v>1</v>
      </c>
      <c r="K914" s="15" t="s">
        <v>2</v>
      </c>
      <c r="L914" s="8">
        <f>UnilabUsage[[#This Row],[Used-MB]]-F904</f>
        <v>0</v>
      </c>
      <c r="M914">
        <f>UnilabUsage[[#This Row],[Max]]-UnilabUsage[[#This Row],[Used-MB]]</f>
        <v>32767</v>
      </c>
      <c r="N914" s="5">
        <f>IF($L914&gt;0,UnilabUsage[[#This Row],[Free-of-Max]]/UnilabUsage[[#This Row],[Usage-Delta-MB]],UnilabUsage[[#This Row],[Free-of-Max]])</f>
        <v>32767</v>
      </c>
    </row>
    <row r="915" spans="1:14" x14ac:dyDescent="0.25">
      <c r="A915" s="3">
        <v>45187</v>
      </c>
      <c r="B915" s="15" t="s">
        <v>6</v>
      </c>
      <c r="C915" s="16">
        <v>95</v>
      </c>
      <c r="D915" s="16">
        <v>7625</v>
      </c>
      <c r="E915" s="16">
        <v>373</v>
      </c>
      <c r="F915" s="16">
        <v>7252</v>
      </c>
      <c r="G915" s="16">
        <v>5</v>
      </c>
      <c r="H915" s="16">
        <v>32768</v>
      </c>
      <c r="I915" s="16">
        <v>22</v>
      </c>
      <c r="J915" s="15" t="s">
        <v>1</v>
      </c>
      <c r="K915" s="15" t="s">
        <v>2</v>
      </c>
      <c r="L915" s="8">
        <f>UnilabUsage[[#This Row],[Used-MB]]-F905</f>
        <v>9</v>
      </c>
      <c r="M915">
        <f>UnilabUsage[[#This Row],[Max]]-UnilabUsage[[#This Row],[Used-MB]]</f>
        <v>25516</v>
      </c>
      <c r="N915" s="5">
        <f>IF($L915&gt;0,UnilabUsage[[#This Row],[Free-of-Max]]/UnilabUsage[[#This Row],[Usage-Delta-MB]],UnilabUsage[[#This Row],[Free-of-Max]])</f>
        <v>2835.1111111111113</v>
      </c>
    </row>
    <row r="916" spans="1:14" x14ac:dyDescent="0.25">
      <c r="A916" s="3">
        <v>45187</v>
      </c>
      <c r="B916" s="15" t="s">
        <v>3</v>
      </c>
      <c r="C916" s="16">
        <v>90</v>
      </c>
      <c r="D916" s="16">
        <v>491518</v>
      </c>
      <c r="E916" s="16">
        <v>49215</v>
      </c>
      <c r="F916" s="16">
        <v>442303</v>
      </c>
      <c r="G916" s="16">
        <v>10</v>
      </c>
      <c r="H916" s="16">
        <v>491520</v>
      </c>
      <c r="I916" s="16">
        <v>90</v>
      </c>
      <c r="J916" s="15" t="s">
        <v>1</v>
      </c>
      <c r="K916" s="15" t="s">
        <v>2</v>
      </c>
      <c r="L916" s="8">
        <f>UnilabUsage[[#This Row],[Used-MB]]-F906</f>
        <v>1051</v>
      </c>
      <c r="M916">
        <f>UnilabUsage[[#This Row],[Max]]-UnilabUsage[[#This Row],[Used-MB]]</f>
        <v>49217</v>
      </c>
      <c r="N916" s="5">
        <f>IF($L916&gt;0,UnilabUsage[[#This Row],[Free-of-Max]]/UnilabUsage[[#This Row],[Usage-Delta-MB]],UnilabUsage[[#This Row],[Free-of-Max]])</f>
        <v>46.828734538534732</v>
      </c>
    </row>
    <row r="917" spans="1:14" x14ac:dyDescent="0.25">
      <c r="A917" s="3">
        <v>45187</v>
      </c>
      <c r="B917" s="15" t="s">
        <v>5</v>
      </c>
      <c r="C917" s="16">
        <v>95</v>
      </c>
      <c r="D917" s="16">
        <v>23300</v>
      </c>
      <c r="E917" s="16">
        <v>1102</v>
      </c>
      <c r="F917" s="16">
        <v>22198</v>
      </c>
      <c r="G917" s="16">
        <v>5</v>
      </c>
      <c r="H917" s="16">
        <v>32768</v>
      </c>
      <c r="I917" s="16">
        <v>68</v>
      </c>
      <c r="J917" s="15" t="s">
        <v>1</v>
      </c>
      <c r="K917" s="15" t="s">
        <v>2</v>
      </c>
      <c r="L917" s="8">
        <f>UnilabUsage[[#This Row],[Used-MB]]-F907</f>
        <v>34</v>
      </c>
      <c r="M917">
        <f>UnilabUsage[[#This Row],[Max]]-UnilabUsage[[#This Row],[Used-MB]]</f>
        <v>10570</v>
      </c>
      <c r="N917" s="5">
        <f>IF($L917&gt;0,UnilabUsage[[#This Row],[Free-of-Max]]/UnilabUsage[[#This Row],[Usage-Delta-MB]],UnilabUsage[[#This Row],[Free-of-Max]])</f>
        <v>310.88235294117646</v>
      </c>
    </row>
    <row r="918" spans="1:14" x14ac:dyDescent="0.25">
      <c r="A918" s="3">
        <v>45187</v>
      </c>
      <c r="B918" s="15" t="s">
        <v>8</v>
      </c>
      <c r="C918" s="16">
        <v>88</v>
      </c>
      <c r="D918" s="16">
        <v>327680</v>
      </c>
      <c r="E918" s="16">
        <v>38089</v>
      </c>
      <c r="F918" s="16">
        <v>289591</v>
      </c>
      <c r="G918" s="16">
        <v>12</v>
      </c>
      <c r="H918" s="16">
        <v>327680</v>
      </c>
      <c r="I918" s="16">
        <v>88</v>
      </c>
      <c r="J918" s="15" t="s">
        <v>1</v>
      </c>
      <c r="K918" s="15" t="s">
        <v>2</v>
      </c>
      <c r="L918" s="8">
        <f>UnilabUsage[[#This Row],[Used-MB]]-F908</f>
        <v>783</v>
      </c>
      <c r="M918">
        <f>UnilabUsage[[#This Row],[Max]]-UnilabUsage[[#This Row],[Used-MB]]</f>
        <v>38089</v>
      </c>
      <c r="N918" s="5">
        <f>IF($L918&gt;0,UnilabUsage[[#This Row],[Free-of-Max]]/UnilabUsage[[#This Row],[Usage-Delta-MB]],UnilabUsage[[#This Row],[Free-of-Max]])</f>
        <v>48.644955300127712</v>
      </c>
    </row>
    <row r="919" spans="1:14" x14ac:dyDescent="0.25">
      <c r="A919" s="3">
        <v>45187</v>
      </c>
      <c r="B919" s="15" t="s">
        <v>4</v>
      </c>
      <c r="C919" s="16">
        <v>93</v>
      </c>
      <c r="D919" s="16">
        <v>99260</v>
      </c>
      <c r="E919" s="16">
        <v>6732</v>
      </c>
      <c r="F919" s="16">
        <v>92528</v>
      </c>
      <c r="G919" s="16">
        <v>7</v>
      </c>
      <c r="H919" s="16">
        <v>131072</v>
      </c>
      <c r="I919" s="16">
        <v>71</v>
      </c>
      <c r="J919" s="15" t="s">
        <v>1</v>
      </c>
      <c r="K919" s="15" t="s">
        <v>2</v>
      </c>
      <c r="L919" s="8">
        <f>UnilabUsage[[#This Row],[Used-MB]]-F909</f>
        <v>192</v>
      </c>
      <c r="M919">
        <f>UnilabUsage[[#This Row],[Max]]-UnilabUsage[[#This Row],[Used-MB]]</f>
        <v>38544</v>
      </c>
      <c r="N919" s="5">
        <f>IF($L919&gt;0,UnilabUsage[[#This Row],[Free-of-Max]]/UnilabUsage[[#This Row],[Usage-Delta-MB]],UnilabUsage[[#This Row],[Free-of-Max]])</f>
        <v>200.75</v>
      </c>
    </row>
    <row r="920" spans="1:14" x14ac:dyDescent="0.25">
      <c r="A920" s="3">
        <v>45187</v>
      </c>
      <c r="B920" s="15" t="s">
        <v>12</v>
      </c>
      <c r="C920" s="16">
        <v>0</v>
      </c>
      <c r="D920" s="16">
        <v>30720</v>
      </c>
      <c r="E920" s="16">
        <v>30625</v>
      </c>
      <c r="F920" s="16">
        <v>95</v>
      </c>
      <c r="G920" s="16">
        <v>100</v>
      </c>
      <c r="H920" s="16">
        <v>30720</v>
      </c>
      <c r="I920" s="16">
        <v>0</v>
      </c>
      <c r="J920" s="15" t="s">
        <v>1</v>
      </c>
      <c r="K920" s="15" t="s">
        <v>13</v>
      </c>
      <c r="L920" s="8">
        <f>UnilabUsage[[#This Row],[Used-MB]]-F910</f>
        <v>20</v>
      </c>
      <c r="M920">
        <f>UnilabUsage[[#This Row],[Max]]-UnilabUsage[[#This Row],[Used-MB]]</f>
        <v>30625</v>
      </c>
      <c r="N920" s="5">
        <f>IF($L920&gt;0,UnilabUsage[[#This Row],[Free-of-Max]]/UnilabUsage[[#This Row],[Usage-Delta-MB]],UnilabUsage[[#This Row],[Free-of-Max]])</f>
        <v>1531.25</v>
      </c>
    </row>
    <row r="921" spans="1:14" x14ac:dyDescent="0.25">
      <c r="A921" s="3">
        <v>45187</v>
      </c>
      <c r="B921" s="15" t="s">
        <v>9</v>
      </c>
      <c r="C921" s="16">
        <v>4</v>
      </c>
      <c r="D921" s="16">
        <v>10440</v>
      </c>
      <c r="E921" s="16">
        <v>10063</v>
      </c>
      <c r="F921" s="16">
        <v>377</v>
      </c>
      <c r="G921" s="16">
        <v>96</v>
      </c>
      <c r="H921" s="16">
        <v>32768</v>
      </c>
      <c r="I921" s="16">
        <v>1</v>
      </c>
      <c r="J921" s="15" t="s">
        <v>1</v>
      </c>
      <c r="K921" s="15" t="s">
        <v>10</v>
      </c>
      <c r="L921" s="8">
        <f>UnilabUsage[[#This Row],[Used-MB]]-F911</f>
        <v>24</v>
      </c>
      <c r="M921">
        <f>UnilabUsage[[#This Row],[Max]]-UnilabUsage[[#This Row],[Used-MB]]</f>
        <v>32391</v>
      </c>
      <c r="N921" s="5">
        <f>IF($L921&gt;0,UnilabUsage[[#This Row],[Free-of-Max]]/UnilabUsage[[#This Row],[Usage-Delta-MB]],UnilabUsage[[#This Row],[Free-of-Max]])</f>
        <v>1349.625</v>
      </c>
    </row>
    <row r="922" spans="1:14" x14ac:dyDescent="0.25">
      <c r="A922" s="3">
        <v>45194</v>
      </c>
      <c r="B922" s="15" t="s">
        <v>7</v>
      </c>
      <c r="C922" s="16">
        <v>95</v>
      </c>
      <c r="D922" s="16">
        <v>2280</v>
      </c>
      <c r="E922" s="16">
        <v>117</v>
      </c>
      <c r="F922" s="16">
        <v>2163</v>
      </c>
      <c r="G922" s="16">
        <v>5</v>
      </c>
      <c r="H922" s="16">
        <v>32768</v>
      </c>
      <c r="I922" s="16">
        <v>7</v>
      </c>
      <c r="J922" s="15" t="s">
        <v>1</v>
      </c>
      <c r="K922" s="15" t="s">
        <v>2</v>
      </c>
      <c r="L922" s="8">
        <f>UnilabUsage[[#This Row],[Used-MB]]-F912</f>
        <v>9</v>
      </c>
      <c r="M922">
        <f>UnilabUsage[[#This Row],[Max]]-UnilabUsage[[#This Row],[Used-MB]]</f>
        <v>30605</v>
      </c>
      <c r="N922" s="5">
        <f>IF($L922&gt;0,UnilabUsage[[#This Row],[Free-of-Max]]/UnilabUsage[[#This Row],[Usage-Delta-MB]],UnilabUsage[[#This Row],[Free-of-Max]])</f>
        <v>3400.5555555555557</v>
      </c>
    </row>
    <row r="923" spans="1:14" x14ac:dyDescent="0.25">
      <c r="A923" s="3">
        <v>45194</v>
      </c>
      <c r="B923" s="15" t="s">
        <v>0</v>
      </c>
      <c r="C923" s="16">
        <v>100</v>
      </c>
      <c r="D923" s="16">
        <v>22750</v>
      </c>
      <c r="E923" s="16">
        <v>18</v>
      </c>
      <c r="F923" s="16">
        <v>22732</v>
      </c>
      <c r="G923" s="16">
        <v>0</v>
      </c>
      <c r="H923" s="16">
        <v>32768</v>
      </c>
      <c r="I923" s="16">
        <v>69</v>
      </c>
      <c r="J923" s="15" t="s">
        <v>1</v>
      </c>
      <c r="K923" s="15" t="s">
        <v>2</v>
      </c>
      <c r="L923" s="8">
        <f>UnilabUsage[[#This Row],[Used-MB]]-F913</f>
        <v>65</v>
      </c>
      <c r="M923">
        <f>UnilabUsage[[#This Row],[Max]]-UnilabUsage[[#This Row],[Used-MB]]</f>
        <v>10036</v>
      </c>
      <c r="N923" s="5">
        <f>IF($L923&gt;0,UnilabUsage[[#This Row],[Free-of-Max]]/UnilabUsage[[#This Row],[Usage-Delta-MB]],UnilabUsage[[#This Row],[Free-of-Max]])</f>
        <v>154.4</v>
      </c>
    </row>
    <row r="924" spans="1:14" x14ac:dyDescent="0.25">
      <c r="A924" s="3">
        <v>45194</v>
      </c>
      <c r="B924" s="15" t="s">
        <v>11</v>
      </c>
      <c r="C924" s="16">
        <v>1</v>
      </c>
      <c r="D924" s="16">
        <v>100</v>
      </c>
      <c r="E924" s="16">
        <v>99</v>
      </c>
      <c r="F924" s="16">
        <v>1</v>
      </c>
      <c r="G924" s="16">
        <v>99</v>
      </c>
      <c r="H924" s="16">
        <v>32768</v>
      </c>
      <c r="I924" s="16">
        <v>0</v>
      </c>
      <c r="J924" s="15" t="s">
        <v>1</v>
      </c>
      <c r="K924" s="15" t="s">
        <v>2</v>
      </c>
      <c r="L924" s="8">
        <f>UnilabUsage[[#This Row],[Used-MB]]-F914</f>
        <v>0</v>
      </c>
      <c r="M924">
        <f>UnilabUsage[[#This Row],[Max]]-UnilabUsage[[#This Row],[Used-MB]]</f>
        <v>32767</v>
      </c>
      <c r="N924" s="5">
        <f>IF($L924&gt;0,UnilabUsage[[#This Row],[Free-of-Max]]/UnilabUsage[[#This Row],[Usage-Delta-MB]],UnilabUsage[[#This Row],[Free-of-Max]])</f>
        <v>32767</v>
      </c>
    </row>
    <row r="925" spans="1:14" x14ac:dyDescent="0.25">
      <c r="A925" s="3">
        <v>45194</v>
      </c>
      <c r="B925" s="15" t="s">
        <v>6</v>
      </c>
      <c r="C925" s="16">
        <v>95</v>
      </c>
      <c r="D925" s="16">
        <v>7685</v>
      </c>
      <c r="E925" s="16">
        <v>369</v>
      </c>
      <c r="F925" s="16">
        <v>7316</v>
      </c>
      <c r="G925" s="16">
        <v>5</v>
      </c>
      <c r="H925" s="16">
        <v>32768</v>
      </c>
      <c r="I925" s="16">
        <v>22</v>
      </c>
      <c r="J925" s="15" t="s">
        <v>1</v>
      </c>
      <c r="K925" s="15" t="s">
        <v>2</v>
      </c>
      <c r="L925" s="8">
        <f>UnilabUsage[[#This Row],[Used-MB]]-F915</f>
        <v>64</v>
      </c>
      <c r="M925">
        <f>UnilabUsage[[#This Row],[Max]]-UnilabUsage[[#This Row],[Used-MB]]</f>
        <v>25452</v>
      </c>
      <c r="N925" s="5">
        <f>IF($L925&gt;0,UnilabUsage[[#This Row],[Free-of-Max]]/UnilabUsage[[#This Row],[Usage-Delta-MB]],UnilabUsage[[#This Row],[Free-of-Max]])</f>
        <v>397.6875</v>
      </c>
    </row>
    <row r="926" spans="1:14" x14ac:dyDescent="0.25">
      <c r="A926" s="3">
        <v>45194</v>
      </c>
      <c r="B926" s="15" t="s">
        <v>3</v>
      </c>
      <c r="C926" s="16">
        <v>90</v>
      </c>
      <c r="D926" s="16">
        <v>491518</v>
      </c>
      <c r="E926" s="16">
        <v>48644</v>
      </c>
      <c r="F926" s="16">
        <v>442874</v>
      </c>
      <c r="G926" s="16">
        <v>10</v>
      </c>
      <c r="H926" s="16">
        <v>491520</v>
      </c>
      <c r="I926" s="16">
        <v>90</v>
      </c>
      <c r="J926" s="15" t="s">
        <v>1</v>
      </c>
      <c r="K926" s="15" t="s">
        <v>2</v>
      </c>
      <c r="L926" s="8">
        <f>UnilabUsage[[#This Row],[Used-MB]]-F916</f>
        <v>571</v>
      </c>
      <c r="M926">
        <f>UnilabUsage[[#This Row],[Max]]-UnilabUsage[[#This Row],[Used-MB]]</f>
        <v>48646</v>
      </c>
      <c r="N926" s="5">
        <f>IF($L926&gt;0,UnilabUsage[[#This Row],[Free-of-Max]]/UnilabUsage[[#This Row],[Usage-Delta-MB]],UnilabUsage[[#This Row],[Free-of-Max]])</f>
        <v>85.19439579684763</v>
      </c>
    </row>
    <row r="927" spans="1:14" x14ac:dyDescent="0.25">
      <c r="A927" s="3">
        <v>45194</v>
      </c>
      <c r="B927" s="15" t="s">
        <v>5</v>
      </c>
      <c r="C927" s="16">
        <v>96</v>
      </c>
      <c r="D927" s="16">
        <v>23300</v>
      </c>
      <c r="E927" s="16">
        <v>1038</v>
      </c>
      <c r="F927" s="16">
        <v>22262</v>
      </c>
      <c r="G927" s="16">
        <v>4</v>
      </c>
      <c r="H927" s="16">
        <v>32768</v>
      </c>
      <c r="I927" s="16">
        <v>68</v>
      </c>
      <c r="J927" s="15" t="s">
        <v>1</v>
      </c>
      <c r="K927" s="15" t="s">
        <v>2</v>
      </c>
      <c r="L927" s="8">
        <f>UnilabUsage[[#This Row],[Used-MB]]-F917</f>
        <v>64</v>
      </c>
      <c r="M927">
        <f>UnilabUsage[[#This Row],[Max]]-UnilabUsage[[#This Row],[Used-MB]]</f>
        <v>10506</v>
      </c>
      <c r="N927" s="5">
        <f>IF($L927&gt;0,UnilabUsage[[#This Row],[Free-of-Max]]/UnilabUsage[[#This Row],[Usage-Delta-MB]],UnilabUsage[[#This Row],[Free-of-Max]])</f>
        <v>164.15625</v>
      </c>
    </row>
    <row r="928" spans="1:14" x14ac:dyDescent="0.25">
      <c r="A928" s="3">
        <v>45194</v>
      </c>
      <c r="B928" s="15" t="s">
        <v>8</v>
      </c>
      <c r="C928" s="16">
        <v>89</v>
      </c>
      <c r="D928" s="16">
        <v>327680</v>
      </c>
      <c r="E928" s="16">
        <v>37320</v>
      </c>
      <c r="F928" s="16">
        <v>290360</v>
      </c>
      <c r="G928" s="16">
        <v>11</v>
      </c>
      <c r="H928" s="16">
        <v>327680</v>
      </c>
      <c r="I928" s="16">
        <v>89</v>
      </c>
      <c r="J928" s="15" t="s">
        <v>1</v>
      </c>
      <c r="K928" s="15" t="s">
        <v>2</v>
      </c>
      <c r="L928" s="8">
        <f>UnilabUsage[[#This Row],[Used-MB]]-F918</f>
        <v>769</v>
      </c>
      <c r="M928">
        <f>UnilabUsage[[#This Row],[Max]]-UnilabUsage[[#This Row],[Used-MB]]</f>
        <v>37320</v>
      </c>
      <c r="N928" s="5">
        <f>IF($L928&gt;0,UnilabUsage[[#This Row],[Free-of-Max]]/UnilabUsage[[#This Row],[Usage-Delta-MB]],UnilabUsage[[#This Row],[Free-of-Max]])</f>
        <v>48.530559167750326</v>
      </c>
    </row>
    <row r="929" spans="1:14" x14ac:dyDescent="0.25">
      <c r="A929" s="3">
        <v>45194</v>
      </c>
      <c r="B929" s="15" t="s">
        <v>4</v>
      </c>
      <c r="C929" s="16">
        <v>93</v>
      </c>
      <c r="D929" s="16">
        <v>99260</v>
      </c>
      <c r="E929" s="16">
        <v>6540</v>
      </c>
      <c r="F929" s="16">
        <v>92720</v>
      </c>
      <c r="G929" s="16">
        <v>7</v>
      </c>
      <c r="H929" s="16">
        <v>131072</v>
      </c>
      <c r="I929" s="16">
        <v>71</v>
      </c>
      <c r="J929" s="15" t="s">
        <v>1</v>
      </c>
      <c r="K929" s="15" t="s">
        <v>2</v>
      </c>
      <c r="L929" s="8">
        <f>UnilabUsage[[#This Row],[Used-MB]]-F919</f>
        <v>192</v>
      </c>
      <c r="M929">
        <f>UnilabUsage[[#This Row],[Max]]-UnilabUsage[[#This Row],[Used-MB]]</f>
        <v>38352</v>
      </c>
      <c r="N929" s="5">
        <f>IF($L929&gt;0,UnilabUsage[[#This Row],[Free-of-Max]]/UnilabUsage[[#This Row],[Usage-Delta-MB]],UnilabUsage[[#This Row],[Free-of-Max]])</f>
        <v>199.75</v>
      </c>
    </row>
    <row r="930" spans="1:14" x14ac:dyDescent="0.25">
      <c r="A930" s="3">
        <v>45194</v>
      </c>
      <c r="B930" s="15" t="s">
        <v>12</v>
      </c>
      <c r="C930" s="16">
        <v>0</v>
      </c>
      <c r="D930" s="16">
        <v>30720</v>
      </c>
      <c r="E930" s="16">
        <v>30634</v>
      </c>
      <c r="F930" s="16">
        <v>86</v>
      </c>
      <c r="G930" s="16">
        <v>100</v>
      </c>
      <c r="H930" s="16">
        <v>30720</v>
      </c>
      <c r="I930" s="16">
        <v>0</v>
      </c>
      <c r="J930" s="15" t="s">
        <v>1</v>
      </c>
      <c r="K930" s="15" t="s">
        <v>13</v>
      </c>
      <c r="L930" s="8">
        <f>UnilabUsage[[#This Row],[Used-MB]]-F920</f>
        <v>-9</v>
      </c>
      <c r="M930">
        <f>UnilabUsage[[#This Row],[Max]]-UnilabUsage[[#This Row],[Used-MB]]</f>
        <v>30634</v>
      </c>
      <c r="N930" s="5">
        <f>IF($L930&gt;0,UnilabUsage[[#This Row],[Free-of-Max]]/UnilabUsage[[#This Row],[Usage-Delta-MB]],UnilabUsage[[#This Row],[Free-of-Max]])</f>
        <v>30634</v>
      </c>
    </row>
    <row r="931" spans="1:14" x14ac:dyDescent="0.25">
      <c r="A931" s="3">
        <v>45194</v>
      </c>
      <c r="B931" s="15" t="s">
        <v>9</v>
      </c>
      <c r="C931" s="16">
        <v>3</v>
      </c>
      <c r="D931" s="16">
        <v>10440</v>
      </c>
      <c r="E931" s="16">
        <v>10091</v>
      </c>
      <c r="F931" s="16">
        <v>349</v>
      </c>
      <c r="G931" s="16">
        <v>97</v>
      </c>
      <c r="H931" s="16">
        <v>32768</v>
      </c>
      <c r="I931" s="16">
        <v>1</v>
      </c>
      <c r="J931" s="15" t="s">
        <v>1</v>
      </c>
      <c r="K931" s="15" t="s">
        <v>10</v>
      </c>
      <c r="L931" s="8">
        <f>UnilabUsage[[#This Row],[Used-MB]]-F921</f>
        <v>-28</v>
      </c>
      <c r="M931">
        <f>UnilabUsage[[#This Row],[Max]]-UnilabUsage[[#This Row],[Used-MB]]</f>
        <v>32419</v>
      </c>
      <c r="N931" s="5">
        <f>IF($L931&gt;0,UnilabUsage[[#This Row],[Free-of-Max]]/UnilabUsage[[#This Row],[Usage-Delta-MB]],UnilabUsage[[#This Row],[Free-of-Max]])</f>
        <v>32419</v>
      </c>
    </row>
    <row r="932" spans="1:14" x14ac:dyDescent="0.25">
      <c r="A932" s="3">
        <v>45201</v>
      </c>
      <c r="B932" s="15" t="s">
        <v>7</v>
      </c>
      <c r="C932" s="16">
        <v>95</v>
      </c>
      <c r="D932" s="16">
        <v>2340</v>
      </c>
      <c r="E932" s="16">
        <v>113</v>
      </c>
      <c r="F932" s="16">
        <v>2227</v>
      </c>
      <c r="G932" s="16">
        <v>5</v>
      </c>
      <c r="H932" s="16">
        <v>32768</v>
      </c>
      <c r="I932" s="16">
        <v>7</v>
      </c>
      <c r="J932" s="15" t="s">
        <v>1</v>
      </c>
      <c r="K932" s="15" t="s">
        <v>2</v>
      </c>
      <c r="L932" s="8">
        <f>UnilabUsage[[#This Row],[Used-MB]]-F922</f>
        <v>64</v>
      </c>
      <c r="M932">
        <f>UnilabUsage[[#This Row],[Max]]-UnilabUsage[[#This Row],[Used-MB]]</f>
        <v>30541</v>
      </c>
      <c r="N932" s="5">
        <f>IF($L932&gt;0,UnilabUsage[[#This Row],[Free-of-Max]]/UnilabUsage[[#This Row],[Usage-Delta-MB]],UnilabUsage[[#This Row],[Free-of-Max]])</f>
        <v>477.203125</v>
      </c>
    </row>
    <row r="933" spans="1:14" x14ac:dyDescent="0.25">
      <c r="A933" s="3">
        <v>45201</v>
      </c>
      <c r="B933" s="15" t="s">
        <v>0</v>
      </c>
      <c r="C933" s="16">
        <v>100</v>
      </c>
      <c r="D933" s="16">
        <v>22850</v>
      </c>
      <c r="E933" s="16">
        <v>54</v>
      </c>
      <c r="F933" s="16">
        <v>22796</v>
      </c>
      <c r="G933" s="16">
        <v>0</v>
      </c>
      <c r="H933" s="16">
        <v>32768</v>
      </c>
      <c r="I933" s="16">
        <v>70</v>
      </c>
      <c r="J933" s="15" t="s">
        <v>1</v>
      </c>
      <c r="K933" s="15" t="s">
        <v>2</v>
      </c>
      <c r="L933" s="8">
        <f>UnilabUsage[[#This Row],[Used-MB]]-F923</f>
        <v>64</v>
      </c>
      <c r="M933">
        <f>UnilabUsage[[#This Row],[Max]]-UnilabUsage[[#This Row],[Used-MB]]</f>
        <v>9972</v>
      </c>
      <c r="N933" s="5">
        <f>IF($L933&gt;0,UnilabUsage[[#This Row],[Free-of-Max]]/UnilabUsage[[#This Row],[Usage-Delta-MB]],UnilabUsage[[#This Row],[Free-of-Max]])</f>
        <v>155.8125</v>
      </c>
    </row>
    <row r="934" spans="1:14" x14ac:dyDescent="0.25">
      <c r="A934" s="3">
        <v>45201</v>
      </c>
      <c r="B934" s="15" t="s">
        <v>11</v>
      </c>
      <c r="C934" s="16">
        <v>1</v>
      </c>
      <c r="D934" s="16">
        <v>100</v>
      </c>
      <c r="E934" s="16">
        <v>99</v>
      </c>
      <c r="F934" s="16">
        <v>1</v>
      </c>
      <c r="G934" s="16">
        <v>99</v>
      </c>
      <c r="H934" s="16">
        <v>32768</v>
      </c>
      <c r="I934" s="16">
        <v>0</v>
      </c>
      <c r="J934" s="15" t="s">
        <v>1</v>
      </c>
      <c r="K934" s="15" t="s">
        <v>2</v>
      </c>
      <c r="L934" s="8">
        <f>UnilabUsage[[#This Row],[Used-MB]]-F924</f>
        <v>0</v>
      </c>
      <c r="M934">
        <f>UnilabUsage[[#This Row],[Max]]-UnilabUsage[[#This Row],[Used-MB]]</f>
        <v>32767</v>
      </c>
      <c r="N934" s="5">
        <f>IF($L934&gt;0,UnilabUsage[[#This Row],[Free-of-Max]]/UnilabUsage[[#This Row],[Usage-Delta-MB]],UnilabUsage[[#This Row],[Free-of-Max]])</f>
        <v>32767</v>
      </c>
    </row>
    <row r="935" spans="1:14" x14ac:dyDescent="0.25">
      <c r="A935" s="3">
        <v>45201</v>
      </c>
      <c r="B935" s="15" t="s">
        <v>6</v>
      </c>
      <c r="C935" s="16">
        <v>95</v>
      </c>
      <c r="D935" s="16">
        <v>7685</v>
      </c>
      <c r="E935" s="16">
        <v>368</v>
      </c>
      <c r="F935" s="16">
        <v>7317</v>
      </c>
      <c r="G935" s="16">
        <v>5</v>
      </c>
      <c r="H935" s="16">
        <v>32768</v>
      </c>
      <c r="I935" s="16">
        <v>22</v>
      </c>
      <c r="J935" s="15" t="s">
        <v>1</v>
      </c>
      <c r="K935" s="15" t="s">
        <v>2</v>
      </c>
      <c r="L935" s="8">
        <f>UnilabUsage[[#This Row],[Used-MB]]-F925</f>
        <v>1</v>
      </c>
      <c r="M935">
        <f>UnilabUsage[[#This Row],[Max]]-UnilabUsage[[#This Row],[Used-MB]]</f>
        <v>25451</v>
      </c>
      <c r="N935" s="5">
        <f>IF($L935&gt;0,UnilabUsage[[#This Row],[Free-of-Max]]/UnilabUsage[[#This Row],[Usage-Delta-MB]],UnilabUsage[[#This Row],[Free-of-Max]])</f>
        <v>25451</v>
      </c>
    </row>
    <row r="936" spans="1:14" x14ac:dyDescent="0.25">
      <c r="A936" s="3">
        <v>45201</v>
      </c>
      <c r="B936" s="15" t="s">
        <v>3</v>
      </c>
      <c r="C936" s="16">
        <v>90</v>
      </c>
      <c r="D936" s="16">
        <v>491518</v>
      </c>
      <c r="E936" s="16">
        <v>48123</v>
      </c>
      <c r="F936" s="16">
        <v>443395</v>
      </c>
      <c r="G936" s="16">
        <v>10</v>
      </c>
      <c r="H936" s="16">
        <v>491520</v>
      </c>
      <c r="I936" s="16">
        <v>90</v>
      </c>
      <c r="J936" s="15" t="s">
        <v>1</v>
      </c>
      <c r="K936" s="15" t="s">
        <v>2</v>
      </c>
      <c r="L936" s="8">
        <f>UnilabUsage[[#This Row],[Used-MB]]-F926</f>
        <v>521</v>
      </c>
      <c r="M936">
        <f>UnilabUsage[[#This Row],[Max]]-UnilabUsage[[#This Row],[Used-MB]]</f>
        <v>48125</v>
      </c>
      <c r="N936" s="5">
        <f>IF($L936&gt;0,UnilabUsage[[#This Row],[Free-of-Max]]/UnilabUsage[[#This Row],[Usage-Delta-MB]],UnilabUsage[[#This Row],[Free-of-Max]])</f>
        <v>92.370441458733211</v>
      </c>
    </row>
    <row r="937" spans="1:14" x14ac:dyDescent="0.25">
      <c r="A937" s="3">
        <v>45201</v>
      </c>
      <c r="B937" s="15" t="s">
        <v>5</v>
      </c>
      <c r="C937" s="16">
        <v>96</v>
      </c>
      <c r="D937" s="16">
        <v>23300</v>
      </c>
      <c r="E937" s="16">
        <v>1028</v>
      </c>
      <c r="F937" s="16">
        <v>22272</v>
      </c>
      <c r="G937" s="16">
        <v>4</v>
      </c>
      <c r="H937" s="16">
        <v>32768</v>
      </c>
      <c r="I937" s="16">
        <v>68</v>
      </c>
      <c r="J937" s="15" t="s">
        <v>1</v>
      </c>
      <c r="K937" s="15" t="s">
        <v>2</v>
      </c>
      <c r="L937" s="8">
        <f>UnilabUsage[[#This Row],[Used-MB]]-F927</f>
        <v>10</v>
      </c>
      <c r="M937">
        <f>UnilabUsage[[#This Row],[Max]]-UnilabUsage[[#This Row],[Used-MB]]</f>
        <v>10496</v>
      </c>
      <c r="N937" s="5">
        <f>IF($L937&gt;0,UnilabUsage[[#This Row],[Free-of-Max]]/UnilabUsage[[#This Row],[Usage-Delta-MB]],UnilabUsage[[#This Row],[Free-of-Max]])</f>
        <v>1049.5999999999999</v>
      </c>
    </row>
    <row r="938" spans="1:14" x14ac:dyDescent="0.25">
      <c r="A938" s="3">
        <v>45201</v>
      </c>
      <c r="B938" s="15" t="s">
        <v>8</v>
      </c>
      <c r="C938" s="16">
        <v>89</v>
      </c>
      <c r="D938" s="16">
        <v>327680</v>
      </c>
      <c r="E938" s="16">
        <v>36933</v>
      </c>
      <c r="F938" s="16">
        <v>290747</v>
      </c>
      <c r="G938" s="16">
        <v>11</v>
      </c>
      <c r="H938" s="16">
        <v>327680</v>
      </c>
      <c r="I938" s="16">
        <v>89</v>
      </c>
      <c r="J938" s="15" t="s">
        <v>1</v>
      </c>
      <c r="K938" s="15" t="s">
        <v>2</v>
      </c>
      <c r="L938" s="8">
        <f>UnilabUsage[[#This Row],[Used-MB]]-F928</f>
        <v>387</v>
      </c>
      <c r="M938">
        <f>UnilabUsage[[#This Row],[Max]]-UnilabUsage[[#This Row],[Used-MB]]</f>
        <v>36933</v>
      </c>
      <c r="N938" s="5">
        <f>IF($L938&gt;0,UnilabUsage[[#This Row],[Free-of-Max]]/UnilabUsage[[#This Row],[Usage-Delta-MB]],UnilabUsage[[#This Row],[Free-of-Max]])</f>
        <v>95.434108527131784</v>
      </c>
    </row>
    <row r="939" spans="1:14" x14ac:dyDescent="0.25">
      <c r="A939" s="3">
        <v>45201</v>
      </c>
      <c r="B939" s="15" t="s">
        <v>4</v>
      </c>
      <c r="C939" s="16">
        <v>94</v>
      </c>
      <c r="D939" s="16">
        <v>99260</v>
      </c>
      <c r="E939" s="16">
        <v>6412</v>
      </c>
      <c r="F939" s="16">
        <v>92848</v>
      </c>
      <c r="G939" s="16">
        <v>6</v>
      </c>
      <c r="H939" s="16">
        <v>131072</v>
      </c>
      <c r="I939" s="16">
        <v>71</v>
      </c>
      <c r="J939" s="15" t="s">
        <v>1</v>
      </c>
      <c r="K939" s="15" t="s">
        <v>2</v>
      </c>
      <c r="L939" s="8">
        <f>UnilabUsage[[#This Row],[Used-MB]]-F929</f>
        <v>128</v>
      </c>
      <c r="M939">
        <f>UnilabUsage[[#This Row],[Max]]-UnilabUsage[[#This Row],[Used-MB]]</f>
        <v>38224</v>
      </c>
      <c r="N939" s="5">
        <f>IF($L939&gt;0,UnilabUsage[[#This Row],[Free-of-Max]]/UnilabUsage[[#This Row],[Usage-Delta-MB]],UnilabUsage[[#This Row],[Free-of-Max]])</f>
        <v>298.625</v>
      </c>
    </row>
    <row r="940" spans="1:14" x14ac:dyDescent="0.25">
      <c r="A940" s="3">
        <v>45201</v>
      </c>
      <c r="B940" s="15" t="s">
        <v>12</v>
      </c>
      <c r="C940" s="16">
        <v>0</v>
      </c>
      <c r="D940" s="16">
        <v>30720</v>
      </c>
      <c r="E940" s="16">
        <v>30597</v>
      </c>
      <c r="F940" s="16">
        <v>123</v>
      </c>
      <c r="G940" s="16">
        <v>100</v>
      </c>
      <c r="H940" s="16">
        <v>30720</v>
      </c>
      <c r="I940" s="16">
        <v>0</v>
      </c>
      <c r="J940" s="15" t="s">
        <v>1</v>
      </c>
      <c r="K940" s="15" t="s">
        <v>13</v>
      </c>
      <c r="L940" s="8">
        <f>UnilabUsage[[#This Row],[Used-MB]]-F930</f>
        <v>37</v>
      </c>
      <c r="M940">
        <f>UnilabUsage[[#This Row],[Max]]-UnilabUsage[[#This Row],[Used-MB]]</f>
        <v>30597</v>
      </c>
      <c r="N940" s="5">
        <f>IF($L940&gt;0,UnilabUsage[[#This Row],[Free-of-Max]]/UnilabUsage[[#This Row],[Usage-Delta-MB]],UnilabUsage[[#This Row],[Free-of-Max]])</f>
        <v>826.94594594594594</v>
      </c>
    </row>
    <row r="941" spans="1:14" x14ac:dyDescent="0.25">
      <c r="A941" s="3">
        <v>45201</v>
      </c>
      <c r="B941" s="15" t="s">
        <v>9</v>
      </c>
      <c r="C941" s="16">
        <v>3</v>
      </c>
      <c r="D941" s="16">
        <v>10440</v>
      </c>
      <c r="E941" s="16">
        <v>10089</v>
      </c>
      <c r="F941" s="16">
        <v>351</v>
      </c>
      <c r="G941" s="16">
        <v>97</v>
      </c>
      <c r="H941" s="16">
        <v>32768</v>
      </c>
      <c r="I941" s="16">
        <v>1</v>
      </c>
      <c r="J941" s="15" t="s">
        <v>1</v>
      </c>
      <c r="K941" s="15" t="s">
        <v>10</v>
      </c>
      <c r="L941" s="8">
        <f>UnilabUsage[[#This Row],[Used-MB]]-F931</f>
        <v>2</v>
      </c>
      <c r="M941">
        <f>UnilabUsage[[#This Row],[Max]]-UnilabUsage[[#This Row],[Used-MB]]</f>
        <v>32417</v>
      </c>
      <c r="N941" s="5">
        <f>IF($L941&gt;0,UnilabUsage[[#This Row],[Free-of-Max]]/UnilabUsage[[#This Row],[Usage-Delta-MB]],UnilabUsage[[#This Row],[Free-of-Max]])</f>
        <v>16208.5</v>
      </c>
    </row>
    <row r="942" spans="1:14" x14ac:dyDescent="0.25">
      <c r="A942" s="3">
        <v>45208</v>
      </c>
      <c r="B942" s="15" t="s">
        <v>7</v>
      </c>
      <c r="C942" s="16">
        <v>96</v>
      </c>
      <c r="D942" s="16">
        <v>2340</v>
      </c>
      <c r="E942" s="16">
        <v>105</v>
      </c>
      <c r="F942" s="16">
        <v>2235</v>
      </c>
      <c r="G942" s="16">
        <v>4</v>
      </c>
      <c r="H942" s="16">
        <v>32768</v>
      </c>
      <c r="I942" s="16">
        <v>7</v>
      </c>
      <c r="J942" s="15" t="s">
        <v>1</v>
      </c>
      <c r="K942" s="15" t="s">
        <v>2</v>
      </c>
      <c r="L942" s="8">
        <f>UnilabUsage[[#This Row],[Used-MB]]-F932</f>
        <v>8</v>
      </c>
      <c r="M942">
        <f>UnilabUsage[[#This Row],[Max]]-UnilabUsage[[#This Row],[Used-MB]]</f>
        <v>30533</v>
      </c>
      <c r="N942" s="5">
        <f>IF($L942&gt;0,UnilabUsage[[#This Row],[Free-of-Max]]/UnilabUsage[[#This Row],[Usage-Delta-MB]],UnilabUsage[[#This Row],[Free-of-Max]])</f>
        <v>3816.625</v>
      </c>
    </row>
    <row r="943" spans="1:14" x14ac:dyDescent="0.25">
      <c r="A943" s="3">
        <v>45208</v>
      </c>
      <c r="B943" s="15" t="s">
        <v>0</v>
      </c>
      <c r="C943" s="16">
        <v>100</v>
      </c>
      <c r="D943" s="16">
        <v>22950</v>
      </c>
      <c r="E943" s="16">
        <v>90</v>
      </c>
      <c r="F943" s="16">
        <v>22860</v>
      </c>
      <c r="G943" s="16">
        <v>0</v>
      </c>
      <c r="H943" s="16">
        <v>32768</v>
      </c>
      <c r="I943" s="16">
        <v>70</v>
      </c>
      <c r="J943" s="15" t="s">
        <v>1</v>
      </c>
      <c r="K943" s="15" t="s">
        <v>2</v>
      </c>
      <c r="L943" s="8">
        <f>UnilabUsage[[#This Row],[Used-MB]]-F933</f>
        <v>64</v>
      </c>
      <c r="M943">
        <f>UnilabUsage[[#This Row],[Max]]-UnilabUsage[[#This Row],[Used-MB]]</f>
        <v>9908</v>
      </c>
      <c r="N943" s="5">
        <f>IF($L943&gt;0,UnilabUsage[[#This Row],[Free-of-Max]]/UnilabUsage[[#This Row],[Usage-Delta-MB]],UnilabUsage[[#This Row],[Free-of-Max]])</f>
        <v>154.8125</v>
      </c>
    </row>
    <row r="944" spans="1:14" x14ac:dyDescent="0.25">
      <c r="A944" s="3">
        <v>45208</v>
      </c>
      <c r="B944" s="15" t="s">
        <v>11</v>
      </c>
      <c r="C944" s="16">
        <v>1</v>
      </c>
      <c r="D944" s="16">
        <v>100</v>
      </c>
      <c r="E944" s="16">
        <v>99</v>
      </c>
      <c r="F944" s="16">
        <v>1</v>
      </c>
      <c r="G944" s="16">
        <v>99</v>
      </c>
      <c r="H944" s="16">
        <v>32768</v>
      </c>
      <c r="I944" s="16">
        <v>0</v>
      </c>
      <c r="J944" s="15" t="s">
        <v>1</v>
      </c>
      <c r="K944" s="15" t="s">
        <v>2</v>
      </c>
      <c r="L944" s="8">
        <f>UnilabUsage[[#This Row],[Used-MB]]-F934</f>
        <v>0</v>
      </c>
      <c r="M944">
        <f>UnilabUsage[[#This Row],[Max]]-UnilabUsage[[#This Row],[Used-MB]]</f>
        <v>32767</v>
      </c>
      <c r="N944" s="5">
        <f>IF($L944&gt;0,UnilabUsage[[#This Row],[Free-of-Max]]/UnilabUsage[[#This Row],[Usage-Delta-MB]],UnilabUsage[[#This Row],[Free-of-Max]])</f>
        <v>32767</v>
      </c>
    </row>
    <row r="945" spans="1:14" x14ac:dyDescent="0.25">
      <c r="A945" s="3">
        <v>45208</v>
      </c>
      <c r="B945" s="15" t="s">
        <v>6</v>
      </c>
      <c r="C945" s="16">
        <v>95</v>
      </c>
      <c r="D945" s="16">
        <v>7685</v>
      </c>
      <c r="E945" s="16">
        <v>367</v>
      </c>
      <c r="F945" s="16">
        <v>7318</v>
      </c>
      <c r="G945" s="16">
        <v>5</v>
      </c>
      <c r="H945" s="16">
        <v>32768</v>
      </c>
      <c r="I945" s="16">
        <v>22</v>
      </c>
      <c r="J945" s="15" t="s">
        <v>1</v>
      </c>
      <c r="K945" s="15" t="s">
        <v>2</v>
      </c>
      <c r="L945" s="8">
        <f>UnilabUsage[[#This Row],[Used-MB]]-F935</f>
        <v>1</v>
      </c>
      <c r="M945">
        <f>UnilabUsage[[#This Row],[Max]]-UnilabUsage[[#This Row],[Used-MB]]</f>
        <v>25450</v>
      </c>
      <c r="N945" s="5">
        <f>IF($L945&gt;0,UnilabUsage[[#This Row],[Free-of-Max]]/UnilabUsage[[#This Row],[Usage-Delta-MB]],UnilabUsage[[#This Row],[Free-of-Max]])</f>
        <v>25450</v>
      </c>
    </row>
    <row r="946" spans="1:14" x14ac:dyDescent="0.25">
      <c r="A946" s="3">
        <v>45208</v>
      </c>
      <c r="B946" s="15" t="s">
        <v>3</v>
      </c>
      <c r="C946" s="16">
        <v>90</v>
      </c>
      <c r="D946" s="16">
        <v>491518</v>
      </c>
      <c r="E946" s="16">
        <v>47656</v>
      </c>
      <c r="F946" s="16">
        <v>443862</v>
      </c>
      <c r="G946" s="16">
        <v>10</v>
      </c>
      <c r="H946" s="16">
        <v>491520</v>
      </c>
      <c r="I946" s="16">
        <v>90</v>
      </c>
      <c r="J946" s="15" t="s">
        <v>1</v>
      </c>
      <c r="K946" s="15" t="s">
        <v>2</v>
      </c>
      <c r="L946" s="8">
        <f>UnilabUsage[[#This Row],[Used-MB]]-F936</f>
        <v>467</v>
      </c>
      <c r="M946">
        <f>UnilabUsage[[#This Row],[Max]]-UnilabUsage[[#This Row],[Used-MB]]</f>
        <v>47658</v>
      </c>
      <c r="N946" s="5">
        <f>IF($L946&gt;0,UnilabUsage[[#This Row],[Free-of-Max]]/UnilabUsage[[#This Row],[Usage-Delta-MB]],UnilabUsage[[#This Row],[Free-of-Max]])</f>
        <v>102.05139186295503</v>
      </c>
    </row>
    <row r="947" spans="1:14" x14ac:dyDescent="0.25">
      <c r="A947" s="3">
        <v>45208</v>
      </c>
      <c r="B947" s="15" t="s">
        <v>5</v>
      </c>
      <c r="C947" s="16">
        <v>95</v>
      </c>
      <c r="D947" s="16">
        <v>23500</v>
      </c>
      <c r="E947" s="16">
        <v>1163</v>
      </c>
      <c r="F947" s="16">
        <v>22337</v>
      </c>
      <c r="G947" s="16">
        <v>5</v>
      </c>
      <c r="H947" s="16">
        <v>32768</v>
      </c>
      <c r="I947" s="16">
        <v>68</v>
      </c>
      <c r="J947" s="15" t="s">
        <v>1</v>
      </c>
      <c r="K947" s="15" t="s">
        <v>2</v>
      </c>
      <c r="L947" s="8">
        <f>UnilabUsage[[#This Row],[Used-MB]]-F937</f>
        <v>65</v>
      </c>
      <c r="M947">
        <f>UnilabUsage[[#This Row],[Max]]-UnilabUsage[[#This Row],[Used-MB]]</f>
        <v>10431</v>
      </c>
      <c r="N947" s="5">
        <f>IF($L947&gt;0,UnilabUsage[[#This Row],[Free-of-Max]]/UnilabUsage[[#This Row],[Usage-Delta-MB]],UnilabUsage[[#This Row],[Free-of-Max]])</f>
        <v>160.47692307692307</v>
      </c>
    </row>
    <row r="948" spans="1:14" x14ac:dyDescent="0.25">
      <c r="A948" s="3">
        <v>45208</v>
      </c>
      <c r="B948" s="15" t="s">
        <v>8</v>
      </c>
      <c r="C948" s="16">
        <v>89</v>
      </c>
      <c r="D948" s="16">
        <v>327680</v>
      </c>
      <c r="E948" s="16">
        <v>36500</v>
      </c>
      <c r="F948" s="16">
        <v>291180</v>
      </c>
      <c r="G948" s="16">
        <v>11</v>
      </c>
      <c r="H948" s="16">
        <v>327680</v>
      </c>
      <c r="I948" s="16">
        <v>89</v>
      </c>
      <c r="J948" s="15" t="s">
        <v>1</v>
      </c>
      <c r="K948" s="15" t="s">
        <v>2</v>
      </c>
      <c r="L948" s="8">
        <f>UnilabUsage[[#This Row],[Used-MB]]-F938</f>
        <v>433</v>
      </c>
      <c r="M948">
        <f>UnilabUsage[[#This Row],[Max]]-UnilabUsage[[#This Row],[Used-MB]]</f>
        <v>36500</v>
      </c>
      <c r="N948" s="5">
        <f>IF($L948&gt;0,UnilabUsage[[#This Row],[Free-of-Max]]/UnilabUsage[[#This Row],[Usage-Delta-MB]],UnilabUsage[[#This Row],[Free-of-Max]])</f>
        <v>84.295612009237871</v>
      </c>
    </row>
    <row r="949" spans="1:14" x14ac:dyDescent="0.25">
      <c r="A949" s="3">
        <v>45208</v>
      </c>
      <c r="B949" s="15" t="s">
        <v>4</v>
      </c>
      <c r="C949" s="16">
        <v>94</v>
      </c>
      <c r="D949" s="16">
        <v>99260</v>
      </c>
      <c r="E949" s="16">
        <v>6348</v>
      </c>
      <c r="F949" s="16">
        <v>92912</v>
      </c>
      <c r="G949" s="16">
        <v>6</v>
      </c>
      <c r="H949" s="16">
        <v>131072</v>
      </c>
      <c r="I949" s="16">
        <v>71</v>
      </c>
      <c r="J949" s="15" t="s">
        <v>1</v>
      </c>
      <c r="K949" s="15" t="s">
        <v>2</v>
      </c>
      <c r="L949" s="8">
        <f>UnilabUsage[[#This Row],[Used-MB]]-F939</f>
        <v>64</v>
      </c>
      <c r="M949">
        <f>UnilabUsage[[#This Row],[Max]]-UnilabUsage[[#This Row],[Used-MB]]</f>
        <v>38160</v>
      </c>
      <c r="N949" s="5">
        <f>IF($L949&gt;0,UnilabUsage[[#This Row],[Free-of-Max]]/UnilabUsage[[#This Row],[Usage-Delta-MB]],UnilabUsage[[#This Row],[Free-of-Max]])</f>
        <v>596.25</v>
      </c>
    </row>
    <row r="950" spans="1:14" x14ac:dyDescent="0.25">
      <c r="A950" s="3">
        <v>45208</v>
      </c>
      <c r="B950" s="15" t="s">
        <v>12</v>
      </c>
      <c r="C950" s="16">
        <v>0</v>
      </c>
      <c r="D950" s="16">
        <v>30720</v>
      </c>
      <c r="E950" s="16">
        <v>30628</v>
      </c>
      <c r="F950" s="16">
        <v>92</v>
      </c>
      <c r="G950" s="16">
        <v>100</v>
      </c>
      <c r="H950" s="16">
        <v>30720</v>
      </c>
      <c r="I950" s="16">
        <v>0</v>
      </c>
      <c r="J950" s="15" t="s">
        <v>1</v>
      </c>
      <c r="K950" s="15" t="s">
        <v>13</v>
      </c>
      <c r="L950" s="8">
        <f>UnilabUsage[[#This Row],[Used-MB]]-F940</f>
        <v>-31</v>
      </c>
      <c r="M950">
        <f>UnilabUsage[[#This Row],[Max]]-UnilabUsage[[#This Row],[Used-MB]]</f>
        <v>30628</v>
      </c>
      <c r="N950" s="5">
        <f>IF($L950&gt;0,UnilabUsage[[#This Row],[Free-of-Max]]/UnilabUsage[[#This Row],[Usage-Delta-MB]],UnilabUsage[[#This Row],[Free-of-Max]])</f>
        <v>30628</v>
      </c>
    </row>
    <row r="951" spans="1:14" x14ac:dyDescent="0.25">
      <c r="A951" s="3">
        <v>45208</v>
      </c>
      <c r="B951" s="15" t="s">
        <v>9</v>
      </c>
      <c r="C951" s="16">
        <v>3</v>
      </c>
      <c r="D951" s="16">
        <v>10440</v>
      </c>
      <c r="E951" s="16">
        <v>10075</v>
      </c>
      <c r="F951" s="16">
        <v>365</v>
      </c>
      <c r="G951" s="16">
        <v>97</v>
      </c>
      <c r="H951" s="16">
        <v>32768</v>
      </c>
      <c r="I951" s="16">
        <v>1</v>
      </c>
      <c r="J951" s="15" t="s">
        <v>1</v>
      </c>
      <c r="K951" s="15" t="s">
        <v>10</v>
      </c>
      <c r="L951" s="8">
        <f>UnilabUsage[[#This Row],[Used-MB]]-F941</f>
        <v>14</v>
      </c>
      <c r="M951">
        <f>UnilabUsage[[#This Row],[Max]]-UnilabUsage[[#This Row],[Used-MB]]</f>
        <v>32403</v>
      </c>
      <c r="N951" s="5">
        <f>IF($L951&gt;0,UnilabUsage[[#This Row],[Free-of-Max]]/UnilabUsage[[#This Row],[Usage-Delta-MB]],UnilabUsage[[#This Row],[Free-of-Max]])</f>
        <v>2314.5</v>
      </c>
    </row>
    <row r="952" spans="1:14" x14ac:dyDescent="0.25">
      <c r="A952" s="3">
        <v>45215</v>
      </c>
      <c r="B952" s="15" t="s">
        <v>7</v>
      </c>
      <c r="C952" s="16">
        <v>96</v>
      </c>
      <c r="D952" s="16">
        <v>2340</v>
      </c>
      <c r="E952" s="16">
        <v>105</v>
      </c>
      <c r="F952" s="16">
        <v>2235</v>
      </c>
      <c r="G952" s="16">
        <v>4</v>
      </c>
      <c r="H952" s="16">
        <v>32768</v>
      </c>
      <c r="I952" s="16">
        <v>7</v>
      </c>
      <c r="J952" s="15" t="s">
        <v>1</v>
      </c>
      <c r="K952" s="15" t="s">
        <v>2</v>
      </c>
      <c r="L952" s="8">
        <f>UnilabUsage[[#This Row],[Used-MB]]-F942</f>
        <v>0</v>
      </c>
      <c r="M952">
        <f>UnilabUsage[[#This Row],[Max]]-UnilabUsage[[#This Row],[Used-MB]]</f>
        <v>30533</v>
      </c>
      <c r="N952" s="5">
        <f>IF($L952&gt;0,UnilabUsage[[#This Row],[Free-of-Max]]/UnilabUsage[[#This Row],[Usage-Delta-MB]],UnilabUsage[[#This Row],[Free-of-Max]])</f>
        <v>30533</v>
      </c>
    </row>
    <row r="953" spans="1:14" x14ac:dyDescent="0.25">
      <c r="A953" s="3">
        <v>45215</v>
      </c>
      <c r="B953" s="15" t="s">
        <v>0</v>
      </c>
      <c r="C953" s="16">
        <v>100</v>
      </c>
      <c r="D953" s="16">
        <v>22950</v>
      </c>
      <c r="E953" s="16">
        <v>24</v>
      </c>
      <c r="F953" s="16">
        <v>22926</v>
      </c>
      <c r="G953" s="16">
        <v>0</v>
      </c>
      <c r="H953" s="16">
        <v>32768</v>
      </c>
      <c r="I953" s="16">
        <v>70</v>
      </c>
      <c r="J953" s="15" t="s">
        <v>1</v>
      </c>
      <c r="K953" s="15" t="s">
        <v>2</v>
      </c>
      <c r="L953" s="8">
        <f>UnilabUsage[[#This Row],[Used-MB]]-F943</f>
        <v>66</v>
      </c>
      <c r="M953">
        <f>UnilabUsage[[#This Row],[Max]]-UnilabUsage[[#This Row],[Used-MB]]</f>
        <v>9842</v>
      </c>
      <c r="N953" s="5">
        <f>IF($L953&gt;0,UnilabUsage[[#This Row],[Free-of-Max]]/UnilabUsage[[#This Row],[Usage-Delta-MB]],UnilabUsage[[#This Row],[Free-of-Max]])</f>
        <v>149.12121212121212</v>
      </c>
    </row>
    <row r="954" spans="1:14" x14ac:dyDescent="0.25">
      <c r="A954" s="3">
        <v>45215</v>
      </c>
      <c r="B954" s="15" t="s">
        <v>11</v>
      </c>
      <c r="C954" s="16">
        <v>1</v>
      </c>
      <c r="D954" s="16">
        <v>100</v>
      </c>
      <c r="E954" s="16">
        <v>99</v>
      </c>
      <c r="F954" s="16">
        <v>1</v>
      </c>
      <c r="G954" s="16">
        <v>99</v>
      </c>
      <c r="H954" s="16">
        <v>32768</v>
      </c>
      <c r="I954" s="16">
        <v>0</v>
      </c>
      <c r="J954" s="15" t="s">
        <v>1</v>
      </c>
      <c r="K954" s="15" t="s">
        <v>2</v>
      </c>
      <c r="L954" s="8">
        <f>UnilabUsage[[#This Row],[Used-MB]]-F944</f>
        <v>0</v>
      </c>
      <c r="M954">
        <f>UnilabUsage[[#This Row],[Max]]-UnilabUsage[[#This Row],[Used-MB]]</f>
        <v>32767</v>
      </c>
      <c r="N954" s="5">
        <f>IF($L954&gt;0,UnilabUsage[[#This Row],[Free-of-Max]]/UnilabUsage[[#This Row],[Usage-Delta-MB]],UnilabUsage[[#This Row],[Free-of-Max]])</f>
        <v>32767</v>
      </c>
    </row>
    <row r="955" spans="1:14" x14ac:dyDescent="0.25">
      <c r="A955" s="3">
        <v>45215</v>
      </c>
      <c r="B955" s="15" t="s">
        <v>6</v>
      </c>
      <c r="C955" s="16">
        <v>95</v>
      </c>
      <c r="D955" s="16">
        <v>7695</v>
      </c>
      <c r="E955" s="16">
        <v>376</v>
      </c>
      <c r="F955" s="16">
        <v>7319</v>
      </c>
      <c r="G955" s="16">
        <v>5</v>
      </c>
      <c r="H955" s="16">
        <v>32768</v>
      </c>
      <c r="I955" s="16">
        <v>22</v>
      </c>
      <c r="J955" s="15" t="s">
        <v>1</v>
      </c>
      <c r="K955" s="15" t="s">
        <v>2</v>
      </c>
      <c r="L955" s="8">
        <f>UnilabUsage[[#This Row],[Used-MB]]-F945</f>
        <v>1</v>
      </c>
      <c r="M955">
        <f>UnilabUsage[[#This Row],[Max]]-UnilabUsage[[#This Row],[Used-MB]]</f>
        <v>25449</v>
      </c>
      <c r="N955" s="5">
        <f>IF($L955&gt;0,UnilabUsage[[#This Row],[Free-of-Max]]/UnilabUsage[[#This Row],[Usage-Delta-MB]],UnilabUsage[[#This Row],[Free-of-Max]])</f>
        <v>25449</v>
      </c>
    </row>
    <row r="956" spans="1:14" x14ac:dyDescent="0.25">
      <c r="A956" s="3">
        <v>45215</v>
      </c>
      <c r="B956" s="15" t="s">
        <v>3</v>
      </c>
      <c r="C956" s="16">
        <v>90</v>
      </c>
      <c r="D956" s="16">
        <v>491518</v>
      </c>
      <c r="E956" s="16">
        <v>46736</v>
      </c>
      <c r="F956" s="16">
        <v>444782</v>
      </c>
      <c r="G956" s="16">
        <v>10</v>
      </c>
      <c r="H956" s="16">
        <v>491520</v>
      </c>
      <c r="I956" s="16">
        <v>90</v>
      </c>
      <c r="J956" s="15" t="s">
        <v>1</v>
      </c>
      <c r="K956" s="15" t="s">
        <v>2</v>
      </c>
      <c r="L956" s="8">
        <f>UnilabUsage[[#This Row],[Used-MB]]-F946</f>
        <v>920</v>
      </c>
      <c r="M956">
        <f>UnilabUsage[[#This Row],[Max]]-UnilabUsage[[#This Row],[Used-MB]]</f>
        <v>46738</v>
      </c>
      <c r="N956" s="5">
        <f>IF($L956&gt;0,UnilabUsage[[#This Row],[Free-of-Max]]/UnilabUsage[[#This Row],[Usage-Delta-MB]],UnilabUsage[[#This Row],[Free-of-Max]])</f>
        <v>50.802173913043475</v>
      </c>
    </row>
    <row r="957" spans="1:14" x14ac:dyDescent="0.25">
      <c r="A957" s="3">
        <v>45215</v>
      </c>
      <c r="B957" s="15" t="s">
        <v>5</v>
      </c>
      <c r="C957" s="16">
        <v>95</v>
      </c>
      <c r="D957" s="16">
        <v>23500</v>
      </c>
      <c r="E957" s="16">
        <v>1091</v>
      </c>
      <c r="F957" s="16">
        <v>22409</v>
      </c>
      <c r="G957" s="16">
        <v>5</v>
      </c>
      <c r="H957" s="16">
        <v>32768</v>
      </c>
      <c r="I957" s="16">
        <v>68</v>
      </c>
      <c r="J957" s="15" t="s">
        <v>1</v>
      </c>
      <c r="K957" s="15" t="s">
        <v>2</v>
      </c>
      <c r="L957" s="8">
        <f>UnilabUsage[[#This Row],[Used-MB]]-F947</f>
        <v>72</v>
      </c>
      <c r="M957">
        <f>UnilabUsage[[#This Row],[Max]]-UnilabUsage[[#This Row],[Used-MB]]</f>
        <v>10359</v>
      </c>
      <c r="N957" s="5">
        <f>IF($L957&gt;0,UnilabUsage[[#This Row],[Free-of-Max]]/UnilabUsage[[#This Row],[Usage-Delta-MB]],UnilabUsage[[#This Row],[Free-of-Max]])</f>
        <v>143.875</v>
      </c>
    </row>
    <row r="958" spans="1:14" x14ac:dyDescent="0.25">
      <c r="A958" s="3">
        <v>45215</v>
      </c>
      <c r="B958" s="15" t="s">
        <v>8</v>
      </c>
      <c r="C958" s="16">
        <v>89</v>
      </c>
      <c r="D958" s="16">
        <v>327680</v>
      </c>
      <c r="E958" s="16">
        <v>36032</v>
      </c>
      <c r="F958" s="16">
        <v>291648</v>
      </c>
      <c r="G958" s="16">
        <v>11</v>
      </c>
      <c r="H958" s="16">
        <v>327680</v>
      </c>
      <c r="I958" s="16">
        <v>89</v>
      </c>
      <c r="J958" s="15" t="s">
        <v>1</v>
      </c>
      <c r="K958" s="15" t="s">
        <v>2</v>
      </c>
      <c r="L958" s="8">
        <f>UnilabUsage[[#This Row],[Used-MB]]-F948</f>
        <v>468</v>
      </c>
      <c r="M958">
        <f>UnilabUsage[[#This Row],[Max]]-UnilabUsage[[#This Row],[Used-MB]]</f>
        <v>36032</v>
      </c>
      <c r="N958" s="5">
        <f>IF($L958&gt;0,UnilabUsage[[#This Row],[Free-of-Max]]/UnilabUsage[[#This Row],[Usage-Delta-MB]],UnilabUsage[[#This Row],[Free-of-Max]])</f>
        <v>76.991452991452988</v>
      </c>
    </row>
    <row r="959" spans="1:14" x14ac:dyDescent="0.25">
      <c r="A959" s="3">
        <v>45215</v>
      </c>
      <c r="B959" s="15" t="s">
        <v>4</v>
      </c>
      <c r="C959" s="16">
        <v>94</v>
      </c>
      <c r="D959" s="16">
        <v>99260</v>
      </c>
      <c r="E959" s="16">
        <v>6156</v>
      </c>
      <c r="F959" s="16">
        <v>93104</v>
      </c>
      <c r="G959" s="16">
        <v>6</v>
      </c>
      <c r="H959" s="16">
        <v>131072</v>
      </c>
      <c r="I959" s="16">
        <v>71</v>
      </c>
      <c r="J959" s="15" t="s">
        <v>1</v>
      </c>
      <c r="K959" s="15" t="s">
        <v>2</v>
      </c>
      <c r="L959" s="8">
        <f>UnilabUsage[[#This Row],[Used-MB]]-F949</f>
        <v>192</v>
      </c>
      <c r="M959">
        <f>UnilabUsage[[#This Row],[Max]]-UnilabUsage[[#This Row],[Used-MB]]</f>
        <v>37968</v>
      </c>
      <c r="N959" s="5">
        <f>IF($L959&gt;0,UnilabUsage[[#This Row],[Free-of-Max]]/UnilabUsage[[#This Row],[Usage-Delta-MB]],UnilabUsage[[#This Row],[Free-of-Max]])</f>
        <v>197.75</v>
      </c>
    </row>
    <row r="960" spans="1:14" x14ac:dyDescent="0.25">
      <c r="A960" s="3">
        <v>45215</v>
      </c>
      <c r="B960" s="15" t="s">
        <v>12</v>
      </c>
      <c r="C960" s="16">
        <v>0</v>
      </c>
      <c r="D960" s="16">
        <v>30720</v>
      </c>
      <c r="E960" s="16">
        <v>30608</v>
      </c>
      <c r="F960" s="16">
        <v>112</v>
      </c>
      <c r="G960" s="16">
        <v>100</v>
      </c>
      <c r="H960" s="16">
        <v>30720</v>
      </c>
      <c r="I960" s="16">
        <v>0</v>
      </c>
      <c r="J960" s="15" t="s">
        <v>1</v>
      </c>
      <c r="K960" s="15" t="s">
        <v>13</v>
      </c>
      <c r="L960" s="8">
        <f>UnilabUsage[[#This Row],[Used-MB]]-F950</f>
        <v>20</v>
      </c>
      <c r="M960">
        <f>UnilabUsage[[#This Row],[Max]]-UnilabUsage[[#This Row],[Used-MB]]</f>
        <v>30608</v>
      </c>
      <c r="N960" s="5">
        <f>IF($L960&gt;0,UnilabUsage[[#This Row],[Free-of-Max]]/UnilabUsage[[#This Row],[Usage-Delta-MB]],UnilabUsage[[#This Row],[Free-of-Max]])</f>
        <v>1530.4</v>
      </c>
    </row>
    <row r="961" spans="1:14" x14ac:dyDescent="0.25">
      <c r="A961" s="3">
        <v>45215</v>
      </c>
      <c r="B961" s="15" t="s">
        <v>9</v>
      </c>
      <c r="C961" s="16">
        <v>3</v>
      </c>
      <c r="D961" s="16">
        <v>10440</v>
      </c>
      <c r="E961" s="16">
        <v>10078</v>
      </c>
      <c r="F961" s="16">
        <v>362</v>
      </c>
      <c r="G961" s="16">
        <v>97</v>
      </c>
      <c r="H961" s="16">
        <v>32768</v>
      </c>
      <c r="I961" s="16">
        <v>1</v>
      </c>
      <c r="J961" s="15" t="s">
        <v>1</v>
      </c>
      <c r="K961" s="15" t="s">
        <v>10</v>
      </c>
      <c r="L961" s="8">
        <f>UnilabUsage[[#This Row],[Used-MB]]-F951</f>
        <v>-3</v>
      </c>
      <c r="M961">
        <f>UnilabUsage[[#This Row],[Max]]-UnilabUsage[[#This Row],[Used-MB]]</f>
        <v>32406</v>
      </c>
      <c r="N961" s="5">
        <f>IF($L961&gt;0,UnilabUsage[[#This Row],[Free-of-Max]]/UnilabUsage[[#This Row],[Usage-Delta-MB]],UnilabUsage[[#This Row],[Free-of-Max]])</f>
        <v>32406</v>
      </c>
    </row>
    <row r="962" spans="1:14" x14ac:dyDescent="0.25">
      <c r="A962" s="3">
        <v>45222</v>
      </c>
      <c r="B962" s="15" t="s">
        <v>7</v>
      </c>
      <c r="C962" s="16">
        <v>96</v>
      </c>
      <c r="D962" s="16">
        <v>2340</v>
      </c>
      <c r="E962" s="16">
        <v>105</v>
      </c>
      <c r="F962" s="16">
        <v>2236</v>
      </c>
      <c r="G962" s="16">
        <v>4</v>
      </c>
      <c r="H962" s="16">
        <v>32768</v>
      </c>
      <c r="I962" s="16">
        <v>7</v>
      </c>
      <c r="J962" s="15" t="s">
        <v>1</v>
      </c>
      <c r="K962" s="15" t="s">
        <v>2</v>
      </c>
      <c r="L962" s="8">
        <f>UnilabUsage[[#This Row],[Used-MB]]-F952</f>
        <v>1</v>
      </c>
      <c r="M962">
        <f>UnilabUsage[[#This Row],[Max]]-UnilabUsage[[#This Row],[Used-MB]]</f>
        <v>30532</v>
      </c>
      <c r="N962" s="5">
        <f>IF($L962&gt;0,UnilabUsage[[#This Row],[Free-of-Max]]/UnilabUsage[[#This Row],[Usage-Delta-MB]],UnilabUsage[[#This Row],[Free-of-Max]])</f>
        <v>30532</v>
      </c>
    </row>
    <row r="963" spans="1:14" x14ac:dyDescent="0.25">
      <c r="A963" s="3">
        <v>45222</v>
      </c>
      <c r="B963" s="15" t="s">
        <v>0</v>
      </c>
      <c r="C963" s="16">
        <v>100</v>
      </c>
      <c r="D963" s="16">
        <v>22950</v>
      </c>
      <c r="E963" s="16">
        <v>24</v>
      </c>
      <c r="F963" s="16">
        <v>22926</v>
      </c>
      <c r="G963" s="16">
        <v>0</v>
      </c>
      <c r="H963" s="16">
        <v>32768</v>
      </c>
      <c r="I963" s="16">
        <v>70</v>
      </c>
      <c r="J963" s="15" t="s">
        <v>1</v>
      </c>
      <c r="K963" s="15" t="s">
        <v>2</v>
      </c>
      <c r="L963" s="8">
        <f>UnilabUsage[[#This Row],[Used-MB]]-F953</f>
        <v>0</v>
      </c>
      <c r="M963">
        <f>UnilabUsage[[#This Row],[Max]]-UnilabUsage[[#This Row],[Used-MB]]</f>
        <v>9842</v>
      </c>
      <c r="N963" s="5">
        <f>IF($L963&gt;0,UnilabUsage[[#This Row],[Free-of-Max]]/UnilabUsage[[#This Row],[Usage-Delta-MB]],UnilabUsage[[#This Row],[Free-of-Max]])</f>
        <v>9842</v>
      </c>
    </row>
    <row r="964" spans="1:14" x14ac:dyDescent="0.25">
      <c r="A964" s="3">
        <v>45222</v>
      </c>
      <c r="B964" s="15" t="s">
        <v>11</v>
      </c>
      <c r="C964" s="16">
        <v>1</v>
      </c>
      <c r="D964" s="16">
        <v>100</v>
      </c>
      <c r="E964" s="16">
        <v>99</v>
      </c>
      <c r="F964" s="16">
        <v>1</v>
      </c>
      <c r="G964" s="16">
        <v>99</v>
      </c>
      <c r="H964" s="16">
        <v>32768</v>
      </c>
      <c r="I964" s="16">
        <v>0</v>
      </c>
      <c r="J964" s="15" t="s">
        <v>1</v>
      </c>
      <c r="K964" s="15" t="s">
        <v>2</v>
      </c>
      <c r="L964" s="8">
        <f>UnilabUsage[[#This Row],[Used-MB]]-F954</f>
        <v>0</v>
      </c>
      <c r="M964">
        <f>UnilabUsage[[#This Row],[Max]]-UnilabUsage[[#This Row],[Used-MB]]</f>
        <v>32767</v>
      </c>
      <c r="N964" s="5">
        <f>IF($L964&gt;0,UnilabUsage[[#This Row],[Free-of-Max]]/UnilabUsage[[#This Row],[Usage-Delta-MB]],UnilabUsage[[#This Row],[Free-of-Max]])</f>
        <v>32767</v>
      </c>
    </row>
    <row r="965" spans="1:14" x14ac:dyDescent="0.25">
      <c r="A965" s="3">
        <v>45222</v>
      </c>
      <c r="B965" s="15" t="s">
        <v>6</v>
      </c>
      <c r="C965" s="16">
        <v>95</v>
      </c>
      <c r="D965" s="16">
        <v>7705</v>
      </c>
      <c r="E965" s="16">
        <v>369</v>
      </c>
      <c r="F965" s="16">
        <v>7336</v>
      </c>
      <c r="G965" s="16">
        <v>5</v>
      </c>
      <c r="H965" s="16">
        <v>32768</v>
      </c>
      <c r="I965" s="16">
        <v>22</v>
      </c>
      <c r="J965" s="15" t="s">
        <v>1</v>
      </c>
      <c r="K965" s="15" t="s">
        <v>2</v>
      </c>
      <c r="L965" s="8">
        <f>UnilabUsage[[#This Row],[Used-MB]]-F955</f>
        <v>17</v>
      </c>
      <c r="M965">
        <f>UnilabUsage[[#This Row],[Max]]-UnilabUsage[[#This Row],[Used-MB]]</f>
        <v>25432</v>
      </c>
      <c r="N965" s="5">
        <f>IF($L965&gt;0,UnilabUsage[[#This Row],[Free-of-Max]]/UnilabUsage[[#This Row],[Usage-Delta-MB]],UnilabUsage[[#This Row],[Free-of-Max]])</f>
        <v>1496</v>
      </c>
    </row>
    <row r="966" spans="1:14" x14ac:dyDescent="0.25">
      <c r="A966" s="3">
        <v>45222</v>
      </c>
      <c r="B966" s="15" t="s">
        <v>3</v>
      </c>
      <c r="C966" s="16">
        <v>91</v>
      </c>
      <c r="D966" s="16">
        <v>491518</v>
      </c>
      <c r="E966" s="16">
        <v>46206</v>
      </c>
      <c r="F966" s="16">
        <v>445312</v>
      </c>
      <c r="G966" s="16">
        <v>9</v>
      </c>
      <c r="H966" s="16">
        <v>491520</v>
      </c>
      <c r="I966" s="16">
        <v>91</v>
      </c>
      <c r="J966" s="15" t="s">
        <v>1</v>
      </c>
      <c r="K966" s="15" t="s">
        <v>2</v>
      </c>
      <c r="L966" s="8">
        <f>UnilabUsage[[#This Row],[Used-MB]]-F956</f>
        <v>530</v>
      </c>
      <c r="M966">
        <f>UnilabUsage[[#This Row],[Max]]-UnilabUsage[[#This Row],[Used-MB]]</f>
        <v>46208</v>
      </c>
      <c r="N966" s="5">
        <f>IF($L966&gt;0,UnilabUsage[[#This Row],[Free-of-Max]]/UnilabUsage[[#This Row],[Usage-Delta-MB]],UnilabUsage[[#This Row],[Free-of-Max]])</f>
        <v>87.184905660377353</v>
      </c>
    </row>
    <row r="967" spans="1:14" x14ac:dyDescent="0.25">
      <c r="A967" s="3">
        <v>45222</v>
      </c>
      <c r="B967" s="15" t="s">
        <v>5</v>
      </c>
      <c r="C967" s="16">
        <v>95</v>
      </c>
      <c r="D967" s="16">
        <v>23700</v>
      </c>
      <c r="E967" s="16">
        <v>1146</v>
      </c>
      <c r="F967" s="16">
        <v>22554</v>
      </c>
      <c r="G967" s="16">
        <v>5</v>
      </c>
      <c r="H967" s="16">
        <v>32768</v>
      </c>
      <c r="I967" s="16">
        <v>69</v>
      </c>
      <c r="J967" s="15" t="s">
        <v>1</v>
      </c>
      <c r="K967" s="15" t="s">
        <v>2</v>
      </c>
      <c r="L967" s="8">
        <f>UnilabUsage[[#This Row],[Used-MB]]-F957</f>
        <v>145</v>
      </c>
      <c r="M967">
        <f>UnilabUsage[[#This Row],[Max]]-UnilabUsage[[#This Row],[Used-MB]]</f>
        <v>10214</v>
      </c>
      <c r="N967" s="5">
        <f>IF($L967&gt;0,UnilabUsage[[#This Row],[Free-of-Max]]/UnilabUsage[[#This Row],[Usage-Delta-MB]],UnilabUsage[[#This Row],[Free-of-Max]])</f>
        <v>70.441379310344828</v>
      </c>
    </row>
    <row r="968" spans="1:14" x14ac:dyDescent="0.25">
      <c r="A968" s="3">
        <v>45222</v>
      </c>
      <c r="B968" s="15" t="s">
        <v>8</v>
      </c>
      <c r="C968" s="16">
        <v>89</v>
      </c>
      <c r="D968" s="16">
        <v>327680</v>
      </c>
      <c r="E968" s="16">
        <v>35453</v>
      </c>
      <c r="F968" s="16">
        <v>292227</v>
      </c>
      <c r="G968" s="16">
        <v>11</v>
      </c>
      <c r="H968" s="16">
        <v>327680</v>
      </c>
      <c r="I968" s="16">
        <v>89</v>
      </c>
      <c r="J968" s="15" t="s">
        <v>1</v>
      </c>
      <c r="K968" s="15" t="s">
        <v>2</v>
      </c>
      <c r="L968" s="8">
        <f>UnilabUsage[[#This Row],[Used-MB]]-F958</f>
        <v>579</v>
      </c>
      <c r="M968">
        <f>UnilabUsage[[#This Row],[Max]]-UnilabUsage[[#This Row],[Used-MB]]</f>
        <v>35453</v>
      </c>
      <c r="N968" s="5">
        <f>IF($L968&gt;0,UnilabUsage[[#This Row],[Free-of-Max]]/UnilabUsage[[#This Row],[Usage-Delta-MB]],UnilabUsage[[#This Row],[Free-of-Max]])</f>
        <v>61.231433506044908</v>
      </c>
    </row>
    <row r="969" spans="1:14" x14ac:dyDescent="0.25">
      <c r="A969" s="3">
        <v>45222</v>
      </c>
      <c r="B969" s="15" t="s">
        <v>4</v>
      </c>
      <c r="C969" s="16">
        <v>94</v>
      </c>
      <c r="D969" s="16">
        <v>99260</v>
      </c>
      <c r="E969" s="16">
        <v>6092</v>
      </c>
      <c r="F969" s="16">
        <v>93168</v>
      </c>
      <c r="G969" s="16">
        <v>6</v>
      </c>
      <c r="H969" s="16">
        <v>131072</v>
      </c>
      <c r="I969" s="16">
        <v>71</v>
      </c>
      <c r="J969" s="15" t="s">
        <v>1</v>
      </c>
      <c r="K969" s="15" t="s">
        <v>2</v>
      </c>
      <c r="L969" s="8">
        <f>UnilabUsage[[#This Row],[Used-MB]]-F959</f>
        <v>64</v>
      </c>
      <c r="M969">
        <f>UnilabUsage[[#This Row],[Max]]-UnilabUsage[[#This Row],[Used-MB]]</f>
        <v>37904</v>
      </c>
      <c r="N969" s="5">
        <f>IF($L969&gt;0,UnilabUsage[[#This Row],[Free-of-Max]]/UnilabUsage[[#This Row],[Usage-Delta-MB]],UnilabUsage[[#This Row],[Free-of-Max]])</f>
        <v>592.25</v>
      </c>
    </row>
    <row r="970" spans="1:14" x14ac:dyDescent="0.25">
      <c r="A970" s="3">
        <v>45222</v>
      </c>
      <c r="B970" s="15" t="s">
        <v>12</v>
      </c>
      <c r="C970" s="16">
        <v>0</v>
      </c>
      <c r="D970" s="16">
        <v>30720</v>
      </c>
      <c r="E970" s="16">
        <v>30632</v>
      </c>
      <c r="F970" s="16">
        <v>88</v>
      </c>
      <c r="G970" s="16">
        <v>100</v>
      </c>
      <c r="H970" s="16">
        <v>30720</v>
      </c>
      <c r="I970" s="16">
        <v>0</v>
      </c>
      <c r="J970" s="15" t="s">
        <v>1</v>
      </c>
      <c r="K970" s="15" t="s">
        <v>13</v>
      </c>
      <c r="L970" s="8">
        <f>UnilabUsage[[#This Row],[Used-MB]]-F960</f>
        <v>-24</v>
      </c>
      <c r="M970">
        <f>UnilabUsage[[#This Row],[Max]]-UnilabUsage[[#This Row],[Used-MB]]</f>
        <v>30632</v>
      </c>
      <c r="N970" s="5">
        <f>IF($L970&gt;0,UnilabUsage[[#This Row],[Free-of-Max]]/UnilabUsage[[#This Row],[Usage-Delta-MB]],UnilabUsage[[#This Row],[Free-of-Max]])</f>
        <v>30632</v>
      </c>
    </row>
    <row r="971" spans="1:14" x14ac:dyDescent="0.25">
      <c r="A971" s="3">
        <v>45222</v>
      </c>
      <c r="B971" s="15" t="s">
        <v>9</v>
      </c>
      <c r="C971" s="16">
        <v>4</v>
      </c>
      <c r="D971" s="16">
        <v>10440</v>
      </c>
      <c r="E971" s="16">
        <v>10068</v>
      </c>
      <c r="F971" s="16">
        <v>372</v>
      </c>
      <c r="G971" s="16">
        <v>96</v>
      </c>
      <c r="H971" s="16">
        <v>32768</v>
      </c>
      <c r="I971" s="16">
        <v>1</v>
      </c>
      <c r="J971" s="15" t="s">
        <v>1</v>
      </c>
      <c r="K971" s="15" t="s">
        <v>10</v>
      </c>
      <c r="L971" s="8">
        <f>UnilabUsage[[#This Row],[Used-MB]]-F961</f>
        <v>10</v>
      </c>
      <c r="M971">
        <f>UnilabUsage[[#This Row],[Max]]-UnilabUsage[[#This Row],[Used-MB]]</f>
        <v>32396</v>
      </c>
      <c r="N971" s="5">
        <f>IF($L971&gt;0,UnilabUsage[[#This Row],[Free-of-Max]]/UnilabUsage[[#This Row],[Usage-Delta-MB]],UnilabUsage[[#This Row],[Free-of-Max]])</f>
        <v>3239.6</v>
      </c>
    </row>
    <row r="972" spans="1:14" x14ac:dyDescent="0.25">
      <c r="A972" s="3">
        <v>45229</v>
      </c>
      <c r="B972" s="15" t="s">
        <v>7</v>
      </c>
      <c r="C972" s="16">
        <v>95</v>
      </c>
      <c r="D972" s="16">
        <v>2360</v>
      </c>
      <c r="E972" s="16">
        <v>117</v>
      </c>
      <c r="F972" s="16">
        <v>2243</v>
      </c>
      <c r="G972" s="16">
        <v>5</v>
      </c>
      <c r="H972" s="16">
        <v>32768</v>
      </c>
      <c r="I972" s="16">
        <v>7</v>
      </c>
      <c r="J972" s="15" t="s">
        <v>1</v>
      </c>
      <c r="K972" s="15" t="s">
        <v>2</v>
      </c>
      <c r="L972" s="8">
        <f>UnilabUsage[[#This Row],[Used-MB]]-F962</f>
        <v>7</v>
      </c>
      <c r="M972">
        <f>UnilabUsage[[#This Row],[Max]]-UnilabUsage[[#This Row],[Used-MB]]</f>
        <v>30525</v>
      </c>
      <c r="N972" s="5">
        <f>IF($L972&gt;0,UnilabUsage[[#This Row],[Free-of-Max]]/UnilabUsage[[#This Row],[Usage-Delta-MB]],UnilabUsage[[#This Row],[Free-of-Max]])</f>
        <v>4360.7142857142853</v>
      </c>
    </row>
    <row r="973" spans="1:14" x14ac:dyDescent="0.25">
      <c r="A973" s="3">
        <v>45229</v>
      </c>
      <c r="B973" s="15" t="s">
        <v>0</v>
      </c>
      <c r="C973" s="16">
        <v>100</v>
      </c>
      <c r="D973" s="16">
        <v>23050</v>
      </c>
      <c r="E973" s="16">
        <v>60</v>
      </c>
      <c r="F973" s="16">
        <v>22990</v>
      </c>
      <c r="G973" s="16">
        <v>0</v>
      </c>
      <c r="H973" s="16">
        <v>32768</v>
      </c>
      <c r="I973" s="16">
        <v>70</v>
      </c>
      <c r="J973" s="15" t="s">
        <v>1</v>
      </c>
      <c r="K973" s="15" t="s">
        <v>2</v>
      </c>
      <c r="L973" s="8">
        <f>UnilabUsage[[#This Row],[Used-MB]]-F963</f>
        <v>64</v>
      </c>
      <c r="M973">
        <f>UnilabUsage[[#This Row],[Max]]-UnilabUsage[[#This Row],[Used-MB]]</f>
        <v>9778</v>
      </c>
      <c r="N973" s="5">
        <f>IF($L973&gt;0,UnilabUsage[[#This Row],[Free-of-Max]]/UnilabUsage[[#This Row],[Usage-Delta-MB]],UnilabUsage[[#This Row],[Free-of-Max]])</f>
        <v>152.78125</v>
      </c>
    </row>
    <row r="974" spans="1:14" x14ac:dyDescent="0.25">
      <c r="A974" s="3">
        <v>45229</v>
      </c>
      <c r="B974" s="15" t="s">
        <v>11</v>
      </c>
      <c r="C974" s="16">
        <v>1</v>
      </c>
      <c r="D974" s="16">
        <v>100</v>
      </c>
      <c r="E974" s="16">
        <v>99</v>
      </c>
      <c r="F974" s="16">
        <v>1</v>
      </c>
      <c r="G974" s="16">
        <v>99</v>
      </c>
      <c r="H974" s="16">
        <v>32768</v>
      </c>
      <c r="I974" s="16">
        <v>0</v>
      </c>
      <c r="J974" s="15" t="s">
        <v>1</v>
      </c>
      <c r="K974" s="15" t="s">
        <v>2</v>
      </c>
      <c r="L974" s="8">
        <f>UnilabUsage[[#This Row],[Used-MB]]-F964</f>
        <v>0</v>
      </c>
      <c r="M974">
        <f>UnilabUsage[[#This Row],[Max]]-UnilabUsage[[#This Row],[Used-MB]]</f>
        <v>32767</v>
      </c>
      <c r="N974" s="5">
        <f>IF($L974&gt;0,UnilabUsage[[#This Row],[Free-of-Max]]/UnilabUsage[[#This Row],[Usage-Delta-MB]],UnilabUsage[[#This Row],[Free-of-Max]])</f>
        <v>32767</v>
      </c>
    </row>
    <row r="975" spans="1:14" x14ac:dyDescent="0.25">
      <c r="A975" s="3">
        <v>45229</v>
      </c>
      <c r="B975" s="15" t="s">
        <v>6</v>
      </c>
      <c r="C975" s="16">
        <v>95</v>
      </c>
      <c r="D975" s="16">
        <v>7715</v>
      </c>
      <c r="E975" s="16">
        <v>377</v>
      </c>
      <c r="F975" s="16">
        <v>7338</v>
      </c>
      <c r="G975" s="16">
        <v>5</v>
      </c>
      <c r="H975" s="16">
        <v>32768</v>
      </c>
      <c r="I975" s="16">
        <v>22</v>
      </c>
      <c r="J975" s="15" t="s">
        <v>1</v>
      </c>
      <c r="K975" s="15" t="s">
        <v>2</v>
      </c>
      <c r="L975" s="8">
        <f>UnilabUsage[[#This Row],[Used-MB]]-F965</f>
        <v>2</v>
      </c>
      <c r="M975">
        <f>UnilabUsage[[#This Row],[Max]]-UnilabUsage[[#This Row],[Used-MB]]</f>
        <v>25430</v>
      </c>
      <c r="N975" s="5">
        <f>IF($L975&gt;0,UnilabUsage[[#This Row],[Free-of-Max]]/UnilabUsage[[#This Row],[Usage-Delta-MB]],UnilabUsage[[#This Row],[Free-of-Max]])</f>
        <v>12715</v>
      </c>
    </row>
    <row r="976" spans="1:14" x14ac:dyDescent="0.25">
      <c r="A976" s="3">
        <v>45229</v>
      </c>
      <c r="B976" s="15" t="s">
        <v>3</v>
      </c>
      <c r="C976" s="16">
        <v>91</v>
      </c>
      <c r="D976" s="16">
        <v>491518</v>
      </c>
      <c r="E976" s="16">
        <v>45637</v>
      </c>
      <c r="F976" s="16">
        <v>445881</v>
      </c>
      <c r="G976" s="16">
        <v>9</v>
      </c>
      <c r="H976" s="16">
        <v>491520</v>
      </c>
      <c r="I976" s="16">
        <v>91</v>
      </c>
      <c r="J976" s="15" t="s">
        <v>1</v>
      </c>
      <c r="K976" s="15" t="s">
        <v>2</v>
      </c>
      <c r="L976" s="8">
        <f>UnilabUsage[[#This Row],[Used-MB]]-F966</f>
        <v>569</v>
      </c>
      <c r="M976">
        <f>UnilabUsage[[#This Row],[Max]]-UnilabUsage[[#This Row],[Used-MB]]</f>
        <v>45639</v>
      </c>
      <c r="N976" s="5">
        <f>IF($L976&gt;0,UnilabUsage[[#This Row],[Free-of-Max]]/UnilabUsage[[#This Row],[Usage-Delta-MB]],UnilabUsage[[#This Row],[Free-of-Max]])</f>
        <v>80.209138840070295</v>
      </c>
    </row>
    <row r="977" spans="1:14" x14ac:dyDescent="0.25">
      <c r="A977" s="3">
        <v>45229</v>
      </c>
      <c r="B977" s="15" t="s">
        <v>5</v>
      </c>
      <c r="C977" s="16">
        <v>95</v>
      </c>
      <c r="D977" s="16">
        <v>23700</v>
      </c>
      <c r="E977" s="16">
        <v>1137</v>
      </c>
      <c r="F977" s="16">
        <v>22563</v>
      </c>
      <c r="G977" s="16">
        <v>5</v>
      </c>
      <c r="H977" s="16">
        <v>32768</v>
      </c>
      <c r="I977" s="16">
        <v>69</v>
      </c>
      <c r="J977" s="15" t="s">
        <v>1</v>
      </c>
      <c r="K977" s="15" t="s">
        <v>2</v>
      </c>
      <c r="L977" s="8">
        <f>UnilabUsage[[#This Row],[Used-MB]]-F967</f>
        <v>9</v>
      </c>
      <c r="M977">
        <f>UnilabUsage[[#This Row],[Max]]-UnilabUsage[[#This Row],[Used-MB]]</f>
        <v>10205</v>
      </c>
      <c r="N977" s="5">
        <f>IF($L977&gt;0,UnilabUsage[[#This Row],[Free-of-Max]]/UnilabUsage[[#This Row],[Usage-Delta-MB]],UnilabUsage[[#This Row],[Free-of-Max]])</f>
        <v>1133.8888888888889</v>
      </c>
    </row>
    <row r="978" spans="1:14" x14ac:dyDescent="0.25">
      <c r="A978" s="3">
        <v>45229</v>
      </c>
      <c r="B978" s="15" t="s">
        <v>8</v>
      </c>
      <c r="C978" s="16">
        <v>89</v>
      </c>
      <c r="D978" s="16">
        <v>327680</v>
      </c>
      <c r="E978" s="16">
        <v>35113</v>
      </c>
      <c r="F978" s="16">
        <v>292566</v>
      </c>
      <c r="G978" s="16">
        <v>11</v>
      </c>
      <c r="H978" s="16">
        <v>327680</v>
      </c>
      <c r="I978" s="16">
        <v>89</v>
      </c>
      <c r="J978" s="15" t="s">
        <v>1</v>
      </c>
      <c r="K978" s="15" t="s">
        <v>2</v>
      </c>
      <c r="L978" s="8">
        <f>UnilabUsage[[#This Row],[Used-MB]]-F968</f>
        <v>339</v>
      </c>
      <c r="M978">
        <f>UnilabUsage[[#This Row],[Max]]-UnilabUsage[[#This Row],[Used-MB]]</f>
        <v>35114</v>
      </c>
      <c r="N978" s="5">
        <f>IF($L978&gt;0,UnilabUsage[[#This Row],[Free-of-Max]]/UnilabUsage[[#This Row],[Usage-Delta-MB]],UnilabUsage[[#This Row],[Free-of-Max]])</f>
        <v>103.5811209439528</v>
      </c>
    </row>
    <row r="979" spans="1:14" x14ac:dyDescent="0.25">
      <c r="A979" s="3">
        <v>45229</v>
      </c>
      <c r="B979" s="15" t="s">
        <v>4</v>
      </c>
      <c r="C979" s="16">
        <v>94</v>
      </c>
      <c r="D979" s="16">
        <v>99260</v>
      </c>
      <c r="E979" s="16">
        <v>5964</v>
      </c>
      <c r="F979" s="16">
        <v>93296</v>
      </c>
      <c r="G979" s="16">
        <v>6</v>
      </c>
      <c r="H979" s="16">
        <v>131072</v>
      </c>
      <c r="I979" s="16">
        <v>71</v>
      </c>
      <c r="J979" s="15" t="s">
        <v>1</v>
      </c>
      <c r="K979" s="15" t="s">
        <v>2</v>
      </c>
      <c r="L979" s="8">
        <f>UnilabUsage[[#This Row],[Used-MB]]-F969</f>
        <v>128</v>
      </c>
      <c r="M979">
        <f>UnilabUsage[[#This Row],[Max]]-UnilabUsage[[#This Row],[Used-MB]]</f>
        <v>37776</v>
      </c>
      <c r="N979" s="5">
        <f>IF($L979&gt;0,UnilabUsage[[#This Row],[Free-of-Max]]/UnilabUsage[[#This Row],[Usage-Delta-MB]],UnilabUsage[[#This Row],[Free-of-Max]])</f>
        <v>295.125</v>
      </c>
    </row>
    <row r="980" spans="1:14" x14ac:dyDescent="0.25">
      <c r="A980" s="3">
        <v>45229</v>
      </c>
      <c r="B980" s="15" t="s">
        <v>12</v>
      </c>
      <c r="C980" s="16">
        <v>0</v>
      </c>
      <c r="D980" s="16">
        <v>30720</v>
      </c>
      <c r="E980" s="16">
        <v>30645</v>
      </c>
      <c r="F980" s="16">
        <v>75</v>
      </c>
      <c r="G980" s="16">
        <v>100</v>
      </c>
      <c r="H980" s="16">
        <v>30720</v>
      </c>
      <c r="I980" s="16">
        <v>0</v>
      </c>
      <c r="J980" s="15" t="s">
        <v>1</v>
      </c>
      <c r="K980" s="15" t="s">
        <v>13</v>
      </c>
      <c r="L980" s="8">
        <f>UnilabUsage[[#This Row],[Used-MB]]-F970</f>
        <v>-13</v>
      </c>
      <c r="M980">
        <f>UnilabUsage[[#This Row],[Max]]-UnilabUsage[[#This Row],[Used-MB]]</f>
        <v>30645</v>
      </c>
      <c r="N980" s="5">
        <f>IF($L980&gt;0,UnilabUsage[[#This Row],[Free-of-Max]]/UnilabUsage[[#This Row],[Usage-Delta-MB]],UnilabUsage[[#This Row],[Free-of-Max]])</f>
        <v>30645</v>
      </c>
    </row>
    <row r="981" spans="1:14" x14ac:dyDescent="0.25">
      <c r="A981" s="3">
        <v>45229</v>
      </c>
      <c r="B981" s="15" t="s">
        <v>9</v>
      </c>
      <c r="C981" s="16">
        <v>5</v>
      </c>
      <c r="D981" s="16">
        <v>10440</v>
      </c>
      <c r="E981" s="16">
        <v>9887</v>
      </c>
      <c r="F981" s="16">
        <v>553</v>
      </c>
      <c r="G981" s="16">
        <v>95</v>
      </c>
      <c r="H981" s="16">
        <v>32768</v>
      </c>
      <c r="I981" s="16">
        <v>2</v>
      </c>
      <c r="J981" s="15" t="s">
        <v>1</v>
      </c>
      <c r="K981" s="15" t="s">
        <v>10</v>
      </c>
      <c r="L981" s="8">
        <f>UnilabUsage[[#This Row],[Used-MB]]-F971</f>
        <v>181</v>
      </c>
      <c r="M981">
        <f>UnilabUsage[[#This Row],[Max]]-UnilabUsage[[#This Row],[Used-MB]]</f>
        <v>32215</v>
      </c>
      <c r="N981" s="5">
        <f>IF($L981&gt;0,UnilabUsage[[#This Row],[Free-of-Max]]/UnilabUsage[[#This Row],[Usage-Delta-MB]],UnilabUsage[[#This Row],[Free-of-Max]])</f>
        <v>177.98342541436463</v>
      </c>
    </row>
    <row r="982" spans="1:14" x14ac:dyDescent="0.25">
      <c r="A982" s="3">
        <v>45236</v>
      </c>
      <c r="B982" s="15" t="s">
        <v>7</v>
      </c>
      <c r="C982" s="16">
        <v>95</v>
      </c>
      <c r="D982" s="16">
        <v>2360</v>
      </c>
      <c r="E982" s="16">
        <v>117</v>
      </c>
      <c r="F982" s="16">
        <v>2243</v>
      </c>
      <c r="G982" s="16">
        <v>5</v>
      </c>
      <c r="H982" s="16">
        <v>32768</v>
      </c>
      <c r="I982" s="16">
        <v>7</v>
      </c>
      <c r="J982" s="15" t="s">
        <v>1</v>
      </c>
      <c r="K982" s="15" t="s">
        <v>2</v>
      </c>
      <c r="L982" s="8">
        <f>UnilabUsage[[#This Row],[Used-MB]]-F972</f>
        <v>0</v>
      </c>
      <c r="M982" s="23">
        <f>UnilabUsage[[#This Row],[Max]]-UnilabUsage[[#This Row],[Used-MB]]</f>
        <v>30525</v>
      </c>
      <c r="N982" s="5">
        <f>IF($L982&gt;0,UnilabUsage[[#This Row],[Free-of-Max]]/UnilabUsage[[#This Row],[Usage-Delta-MB]],UnilabUsage[[#This Row],[Free-of-Max]])</f>
        <v>30525</v>
      </c>
    </row>
    <row r="983" spans="1:14" x14ac:dyDescent="0.25">
      <c r="A983" s="3">
        <v>45236</v>
      </c>
      <c r="B983" s="15" t="s">
        <v>0</v>
      </c>
      <c r="C983" s="16">
        <v>100</v>
      </c>
      <c r="D983" s="16">
        <v>23150</v>
      </c>
      <c r="E983" s="16">
        <v>96</v>
      </c>
      <c r="F983" s="16">
        <v>23054</v>
      </c>
      <c r="G983" s="16">
        <v>0</v>
      </c>
      <c r="H983" s="16">
        <v>32768</v>
      </c>
      <c r="I983" s="16">
        <v>70</v>
      </c>
      <c r="J983" s="15" t="s">
        <v>1</v>
      </c>
      <c r="K983" s="15" t="s">
        <v>2</v>
      </c>
      <c r="L983" s="8">
        <f>UnilabUsage[[#This Row],[Used-MB]]-F973</f>
        <v>64</v>
      </c>
      <c r="M983" s="23">
        <f>UnilabUsage[[#This Row],[Max]]-UnilabUsage[[#This Row],[Used-MB]]</f>
        <v>9714</v>
      </c>
      <c r="N983" s="5">
        <f>IF($L983&gt;0,UnilabUsage[[#This Row],[Free-of-Max]]/UnilabUsage[[#This Row],[Usage-Delta-MB]],UnilabUsage[[#This Row],[Free-of-Max]])</f>
        <v>151.78125</v>
      </c>
    </row>
    <row r="984" spans="1:14" x14ac:dyDescent="0.25">
      <c r="A984" s="3">
        <v>45236</v>
      </c>
      <c r="B984" s="15" t="s">
        <v>11</v>
      </c>
      <c r="C984" s="16">
        <v>1</v>
      </c>
      <c r="D984" s="16">
        <v>100</v>
      </c>
      <c r="E984" s="16">
        <v>99</v>
      </c>
      <c r="F984" s="16">
        <v>1</v>
      </c>
      <c r="G984" s="16">
        <v>99</v>
      </c>
      <c r="H984" s="16">
        <v>32768</v>
      </c>
      <c r="I984" s="16">
        <v>0</v>
      </c>
      <c r="J984" s="15" t="s">
        <v>1</v>
      </c>
      <c r="K984" s="15" t="s">
        <v>2</v>
      </c>
      <c r="L984" s="8">
        <f>UnilabUsage[[#This Row],[Used-MB]]-F974</f>
        <v>0</v>
      </c>
      <c r="M984" s="23">
        <f>UnilabUsage[[#This Row],[Max]]-UnilabUsage[[#This Row],[Used-MB]]</f>
        <v>32767</v>
      </c>
      <c r="N984" s="5">
        <f>IF($L984&gt;0,UnilabUsage[[#This Row],[Free-of-Max]]/UnilabUsage[[#This Row],[Usage-Delta-MB]],UnilabUsage[[#This Row],[Free-of-Max]])</f>
        <v>32767</v>
      </c>
    </row>
    <row r="985" spans="1:14" x14ac:dyDescent="0.25">
      <c r="A985" s="3">
        <v>45236</v>
      </c>
      <c r="B985" s="15" t="s">
        <v>6</v>
      </c>
      <c r="C985" s="16">
        <v>95</v>
      </c>
      <c r="D985" s="16">
        <v>7715</v>
      </c>
      <c r="E985" s="16">
        <v>377</v>
      </c>
      <c r="F985" s="16">
        <v>7338</v>
      </c>
      <c r="G985" s="16">
        <v>5</v>
      </c>
      <c r="H985" s="16">
        <v>32768</v>
      </c>
      <c r="I985" s="16">
        <v>22</v>
      </c>
      <c r="J985" s="15" t="s">
        <v>1</v>
      </c>
      <c r="K985" s="15" t="s">
        <v>2</v>
      </c>
      <c r="L985" s="8">
        <f>UnilabUsage[[#This Row],[Used-MB]]-F975</f>
        <v>0</v>
      </c>
      <c r="M985" s="23">
        <f>UnilabUsage[[#This Row],[Max]]-UnilabUsage[[#This Row],[Used-MB]]</f>
        <v>25430</v>
      </c>
      <c r="N985" s="5">
        <f>IF($L985&gt;0,UnilabUsage[[#This Row],[Free-of-Max]]/UnilabUsage[[#This Row],[Usage-Delta-MB]],UnilabUsage[[#This Row],[Free-of-Max]])</f>
        <v>25430</v>
      </c>
    </row>
    <row r="986" spans="1:14" x14ac:dyDescent="0.25">
      <c r="A986" s="3">
        <v>45236</v>
      </c>
      <c r="B986" s="15" t="s">
        <v>3</v>
      </c>
      <c r="C986" s="16">
        <v>91</v>
      </c>
      <c r="D986" s="16">
        <v>491518</v>
      </c>
      <c r="E986" s="16">
        <v>44835</v>
      </c>
      <c r="F986" s="16">
        <v>446682</v>
      </c>
      <c r="G986" s="16">
        <v>9</v>
      </c>
      <c r="H986" s="16">
        <v>491520</v>
      </c>
      <c r="I986" s="16">
        <v>91</v>
      </c>
      <c r="J986" s="15" t="s">
        <v>1</v>
      </c>
      <c r="K986" s="15" t="s">
        <v>2</v>
      </c>
      <c r="L986" s="8">
        <f>UnilabUsage[[#This Row],[Used-MB]]-F976</f>
        <v>801</v>
      </c>
      <c r="M986" s="23">
        <f>UnilabUsage[[#This Row],[Max]]-UnilabUsage[[#This Row],[Used-MB]]</f>
        <v>44838</v>
      </c>
      <c r="N986" s="5">
        <f>IF($L986&gt;0,UnilabUsage[[#This Row],[Free-of-Max]]/UnilabUsage[[#This Row],[Usage-Delta-MB]],UnilabUsage[[#This Row],[Free-of-Max]])</f>
        <v>55.977528089887642</v>
      </c>
    </row>
    <row r="987" spans="1:14" x14ac:dyDescent="0.25">
      <c r="A987" s="3">
        <v>45236</v>
      </c>
      <c r="B987" s="15" t="s">
        <v>5</v>
      </c>
      <c r="C987" s="16">
        <v>96</v>
      </c>
      <c r="D987" s="16">
        <v>23700</v>
      </c>
      <c r="E987" s="16">
        <v>1065</v>
      </c>
      <c r="F987" s="16">
        <v>22635</v>
      </c>
      <c r="G987" s="16">
        <v>4</v>
      </c>
      <c r="H987" s="16">
        <v>32768</v>
      </c>
      <c r="I987" s="16">
        <v>69</v>
      </c>
      <c r="J987" s="15" t="s">
        <v>1</v>
      </c>
      <c r="K987" s="15" t="s">
        <v>2</v>
      </c>
      <c r="L987" s="8">
        <f>UnilabUsage[[#This Row],[Used-MB]]-F977</f>
        <v>72</v>
      </c>
      <c r="M987" s="23">
        <f>UnilabUsage[[#This Row],[Max]]-UnilabUsage[[#This Row],[Used-MB]]</f>
        <v>10133</v>
      </c>
      <c r="N987" s="5">
        <f>IF($L987&gt;0,UnilabUsage[[#This Row],[Free-of-Max]]/UnilabUsage[[#This Row],[Usage-Delta-MB]],UnilabUsage[[#This Row],[Free-of-Max]])</f>
        <v>140.73611111111111</v>
      </c>
    </row>
    <row r="988" spans="1:14" x14ac:dyDescent="0.25">
      <c r="A988" s="3">
        <v>45236</v>
      </c>
      <c r="B988" s="15" t="s">
        <v>8</v>
      </c>
      <c r="C988" s="16">
        <v>89</v>
      </c>
      <c r="D988" s="16">
        <v>327680</v>
      </c>
      <c r="E988" s="16">
        <v>34488</v>
      </c>
      <c r="F988" s="16">
        <v>293192</v>
      </c>
      <c r="G988" s="16">
        <v>11</v>
      </c>
      <c r="H988" s="16">
        <v>327680</v>
      </c>
      <c r="I988" s="16">
        <v>89</v>
      </c>
      <c r="J988" s="15" t="s">
        <v>1</v>
      </c>
      <c r="K988" s="15" t="s">
        <v>2</v>
      </c>
      <c r="L988" s="8">
        <f>UnilabUsage[[#This Row],[Used-MB]]-F978</f>
        <v>626</v>
      </c>
      <c r="M988" s="23">
        <f>UnilabUsage[[#This Row],[Max]]-UnilabUsage[[#This Row],[Used-MB]]</f>
        <v>34488</v>
      </c>
      <c r="N988" s="5">
        <f>IF($L988&gt;0,UnilabUsage[[#This Row],[Free-of-Max]]/UnilabUsage[[#This Row],[Usage-Delta-MB]],UnilabUsage[[#This Row],[Free-of-Max]])</f>
        <v>55.092651757188499</v>
      </c>
    </row>
    <row r="989" spans="1:14" x14ac:dyDescent="0.25">
      <c r="A989" s="3">
        <v>45236</v>
      </c>
      <c r="B989" s="15" t="s">
        <v>4</v>
      </c>
      <c r="C989" s="16">
        <v>94</v>
      </c>
      <c r="D989" s="16">
        <v>99260</v>
      </c>
      <c r="E989" s="16">
        <v>5772</v>
      </c>
      <c r="F989" s="16">
        <v>93488</v>
      </c>
      <c r="G989" s="16">
        <v>6</v>
      </c>
      <c r="H989" s="16">
        <v>131072</v>
      </c>
      <c r="I989" s="16">
        <v>71</v>
      </c>
      <c r="J989" s="15" t="s">
        <v>1</v>
      </c>
      <c r="K989" s="15" t="s">
        <v>2</v>
      </c>
      <c r="L989" s="8">
        <f>UnilabUsage[[#This Row],[Used-MB]]-F979</f>
        <v>192</v>
      </c>
      <c r="M989" s="23">
        <f>UnilabUsage[[#This Row],[Max]]-UnilabUsage[[#This Row],[Used-MB]]</f>
        <v>37584</v>
      </c>
      <c r="N989" s="5">
        <f>IF($L989&gt;0,UnilabUsage[[#This Row],[Free-of-Max]]/UnilabUsage[[#This Row],[Usage-Delta-MB]],UnilabUsage[[#This Row],[Free-of-Max]])</f>
        <v>195.75</v>
      </c>
    </row>
    <row r="990" spans="1:14" x14ac:dyDescent="0.25">
      <c r="A990" s="3">
        <v>45236</v>
      </c>
      <c r="B990" s="15" t="s">
        <v>12</v>
      </c>
      <c r="C990" s="16">
        <v>0</v>
      </c>
      <c r="D990" s="16">
        <v>30720</v>
      </c>
      <c r="E990" s="16">
        <v>30655</v>
      </c>
      <c r="F990" s="16">
        <v>65</v>
      </c>
      <c r="G990" s="16">
        <v>100</v>
      </c>
      <c r="H990" s="16">
        <v>30720</v>
      </c>
      <c r="I990" s="16">
        <v>0</v>
      </c>
      <c r="J990" s="15" t="s">
        <v>1</v>
      </c>
      <c r="K990" s="15" t="s">
        <v>13</v>
      </c>
      <c r="L990" s="8">
        <f>UnilabUsage[[#This Row],[Used-MB]]-F980</f>
        <v>-10</v>
      </c>
      <c r="M990" s="23">
        <f>UnilabUsage[[#This Row],[Max]]-UnilabUsage[[#This Row],[Used-MB]]</f>
        <v>30655</v>
      </c>
      <c r="N990" s="5">
        <f>IF($L990&gt;0,UnilabUsage[[#This Row],[Free-of-Max]]/UnilabUsage[[#This Row],[Usage-Delta-MB]],UnilabUsage[[#This Row],[Free-of-Max]])</f>
        <v>30655</v>
      </c>
    </row>
    <row r="991" spans="1:14" x14ac:dyDescent="0.25">
      <c r="A991" s="3">
        <v>45236</v>
      </c>
      <c r="B991" s="15" t="s">
        <v>9</v>
      </c>
      <c r="C991" s="16">
        <v>3</v>
      </c>
      <c r="D991" s="16">
        <v>10440</v>
      </c>
      <c r="E991" s="16">
        <v>10094</v>
      </c>
      <c r="F991" s="16">
        <v>346</v>
      </c>
      <c r="G991" s="16">
        <v>97</v>
      </c>
      <c r="H991" s="16">
        <v>32768</v>
      </c>
      <c r="I991" s="16">
        <v>1</v>
      </c>
      <c r="J991" s="15" t="s">
        <v>1</v>
      </c>
      <c r="K991" s="15" t="s">
        <v>10</v>
      </c>
      <c r="L991" s="8">
        <f>UnilabUsage[[#This Row],[Used-MB]]-F981</f>
        <v>-207</v>
      </c>
      <c r="M991" s="23">
        <f>UnilabUsage[[#This Row],[Max]]-UnilabUsage[[#This Row],[Used-MB]]</f>
        <v>32422</v>
      </c>
      <c r="N991" s="5">
        <f>IF($L991&gt;0,UnilabUsage[[#This Row],[Free-of-Max]]/UnilabUsage[[#This Row],[Usage-Delta-MB]],UnilabUsage[[#This Row],[Free-of-Max]])</f>
        <v>32422</v>
      </c>
    </row>
  </sheetData>
  <conditionalFormatting sqref="B1:B1048576">
    <cfRule type="cellIs" dxfId="40" priority="11" operator="equal">
      <formula>"UNI_DATAO"</formula>
    </cfRule>
    <cfRule type="cellIs" dxfId="39" priority="12" operator="equal">
      <formula>"UNI_INDEXO"</formula>
    </cfRule>
  </conditionalFormatting>
  <conditionalFormatting sqref="AJ1">
    <cfRule type="cellIs" dxfId="38" priority="3" operator="equal">
      <formula>"UNI_DATAO"</formula>
    </cfRule>
    <cfRule type="cellIs" dxfId="37" priority="4" operator="equal">
      <formula>"UNI_INDEXO"</formula>
    </cfRule>
  </conditionalFormatting>
  <conditionalFormatting sqref="S1">
    <cfRule type="cellIs" dxfId="36" priority="1" operator="equal">
      <formula>"UNI_DATAO"</formula>
    </cfRule>
    <cfRule type="cellIs" dxfId="35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tabSelected="1" topLeftCell="A4" zoomScale="115" zoomScaleNormal="115" workbookViewId="0">
      <selection activeCell="P38" sqref="P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W981"/>
  <sheetViews>
    <sheetView topLeftCell="V1" workbookViewId="0">
      <pane ySplit="1" topLeftCell="A52" activePane="bottomLeft" state="frozen"/>
      <selection pane="bottomLeft" activeCell="AE102" sqref="AE102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3.1406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9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  <c r="AW1" s="1"/>
    </row>
    <row r="2" spans="1:49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9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10">
        <v>999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9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9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10">
        <v>999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9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9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10">
        <v>999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9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10">
        <v>999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9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9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10">
        <v>999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9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10">
        <v>999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9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9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5">
        <f>IF($L13&gt;0,InterspecUsage[[#This Row],[Free-of-Max]]/InterspecUsage[[#This Row],[Usage-Delta-MB]],InterspecUsage[[#This Row],[Free-of-Max]])</f>
        <v>16609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9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10">
        <v>999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9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10">
        <v>999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9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10">
        <v>999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10">
        <v>999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10">
        <v>999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10">
        <v>999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10">
        <v>999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10">
        <v>999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10">
        <v>999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10">
        <v>999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10">
        <v>999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10">
        <v>999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10">
        <v>999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10">
        <v>999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5">
        <f>IF($L33&gt;0,InterspecUsage[[#This Row],[Free-of-Max]]/InterspecUsage[[#This Row],[Usage-Delta-MB]],InterspecUsage[[#This Row],[Free-of-Max]])</f>
        <v>1971.125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10">
        <v>999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10">
        <v>999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10">
        <v>999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10">
        <v>999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10">
        <v>999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10">
        <v>999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10">
        <v>999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10">
        <v>999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10">
        <v>999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10">
        <v>999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10">
        <v>999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10">
        <v>999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10">
        <v>999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10">
        <v>999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10">
        <v>999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10">
        <v>999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22">
        <v>500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5">
        <f>IF($L53&gt;0,InterspecUsage[[#This Row],[Free-of-Max]]/InterspecUsage[[#This Row],[Usage-Delta-MB]],InterspecUsage[[#This Row],[Free-of-Max]])</f>
        <v>15703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10">
        <v>999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10">
        <v>999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10">
        <v>999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10">
        <v>999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10">
        <v>999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10">
        <v>999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10">
        <v>999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10">
        <v>999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5">
        <f>IF($L63&gt;0,InterspecUsage[[#This Row],[Free-of-Max]]/InterspecUsage[[#This Row],[Usage-Delta-MB]],InterspecUsage[[#This Row],[Free-of-Max]])</f>
        <v>1961.875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10">
        <v>999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10">
        <v>999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10">
        <v>999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10">
        <v>999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10">
        <v>999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10">
        <v>999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10">
        <v>999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10">
        <v>999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10">
        <v>999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10">
        <v>999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5">
        <f>IF($L83&gt;0,InterspecUsage[[#This Row],[Free-of-Max]]/InterspecUsage[[#This Row],[Usage-Delta-MB]],InterspecUsage[[#This Row],[Free-of-Max]])</f>
        <v>15630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  <c r="R90" s="3">
        <v>45159</v>
      </c>
      <c r="S90" s="15" t="s">
        <v>24</v>
      </c>
      <c r="T90" s="16">
        <v>90</v>
      </c>
      <c r="U90" s="16">
        <v>18400</v>
      </c>
      <c r="V90" s="16">
        <v>1845</v>
      </c>
      <c r="W90" s="16">
        <v>16555</v>
      </c>
      <c r="X90" s="16">
        <v>10</v>
      </c>
      <c r="Y90" s="16">
        <v>32768</v>
      </c>
      <c r="Z90" s="16">
        <v>51</v>
      </c>
      <c r="AA90" s="15" t="s">
        <v>1</v>
      </c>
      <c r="AB90" s="15" t="s">
        <v>2</v>
      </c>
      <c r="AC90" s="8">
        <v>33</v>
      </c>
      <c r="AD90">
        <v>16213</v>
      </c>
      <c r="AE90" s="5">
        <v>491.30303030303031</v>
      </c>
      <c r="AI90" s="3">
        <v>45159</v>
      </c>
      <c r="AJ90" s="15" t="s">
        <v>27</v>
      </c>
      <c r="AK90" s="16">
        <v>84</v>
      </c>
      <c r="AL90" s="16">
        <v>163840</v>
      </c>
      <c r="AM90" s="16">
        <v>26591</v>
      </c>
      <c r="AN90" s="16">
        <v>137249</v>
      </c>
      <c r="AO90" s="16">
        <v>16</v>
      </c>
      <c r="AP90" s="16">
        <v>163840</v>
      </c>
      <c r="AQ90" s="16">
        <v>84</v>
      </c>
      <c r="AR90" s="15" t="s">
        <v>1</v>
      </c>
      <c r="AS90" s="15" t="s">
        <v>2</v>
      </c>
      <c r="AT90" s="8">
        <v>176</v>
      </c>
      <c r="AU90">
        <v>26591</v>
      </c>
      <c r="AV90" s="5">
        <v>151.08522727272728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  <c r="R91" s="3">
        <v>45166</v>
      </c>
      <c r="S91" s="15" t="s">
        <v>24</v>
      </c>
      <c r="T91" s="16">
        <v>90</v>
      </c>
      <c r="U91" s="16">
        <v>18400</v>
      </c>
      <c r="V91" s="16">
        <v>1818</v>
      </c>
      <c r="W91" s="16">
        <v>16582</v>
      </c>
      <c r="X91" s="16">
        <v>10</v>
      </c>
      <c r="Y91" s="16">
        <v>32768</v>
      </c>
      <c r="Z91" s="16">
        <v>51</v>
      </c>
      <c r="AA91" s="15" t="s">
        <v>1</v>
      </c>
      <c r="AB91" s="15" t="s">
        <v>2</v>
      </c>
      <c r="AC91" s="8">
        <v>27</v>
      </c>
      <c r="AD91">
        <v>16186</v>
      </c>
      <c r="AE91" s="5">
        <v>599.48148148148152</v>
      </c>
      <c r="AI91" s="3">
        <v>45166</v>
      </c>
      <c r="AJ91" s="15" t="s">
        <v>27</v>
      </c>
      <c r="AK91" s="16">
        <v>84</v>
      </c>
      <c r="AL91" s="16">
        <v>163840</v>
      </c>
      <c r="AM91" s="16">
        <v>26065</v>
      </c>
      <c r="AN91" s="16">
        <v>137775</v>
      </c>
      <c r="AO91" s="16">
        <v>16</v>
      </c>
      <c r="AP91" s="16">
        <v>163840</v>
      </c>
      <c r="AQ91" s="16">
        <v>84</v>
      </c>
      <c r="AR91" s="15" t="s">
        <v>1</v>
      </c>
      <c r="AS91" s="15" t="s">
        <v>2</v>
      </c>
      <c r="AT91" s="8">
        <v>526</v>
      </c>
      <c r="AU91">
        <v>26065</v>
      </c>
      <c r="AV91" s="5">
        <v>49.553231939163496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  <c r="R92" s="3">
        <v>45173</v>
      </c>
      <c r="S92" s="15" t="s">
        <v>24</v>
      </c>
      <c r="T92" s="16">
        <v>90</v>
      </c>
      <c r="U92" s="16">
        <v>18400</v>
      </c>
      <c r="V92" s="16">
        <v>1766</v>
      </c>
      <c r="W92" s="16">
        <v>16634</v>
      </c>
      <c r="X92" s="16">
        <v>10</v>
      </c>
      <c r="Y92" s="16">
        <v>32768</v>
      </c>
      <c r="Z92" s="16">
        <v>51</v>
      </c>
      <c r="AA92" s="15" t="s">
        <v>1</v>
      </c>
      <c r="AB92" s="15" t="s">
        <v>2</v>
      </c>
      <c r="AC92" s="8">
        <v>52</v>
      </c>
      <c r="AD92">
        <v>16134</v>
      </c>
      <c r="AE92" s="5">
        <v>310.26923076923077</v>
      </c>
      <c r="AI92" s="3">
        <v>45173</v>
      </c>
      <c r="AJ92" s="15" t="s">
        <v>27</v>
      </c>
      <c r="AK92" s="16">
        <v>84</v>
      </c>
      <c r="AL92" s="16">
        <v>163840</v>
      </c>
      <c r="AM92" s="16">
        <v>25864</v>
      </c>
      <c r="AN92" s="16">
        <v>137976</v>
      </c>
      <c r="AO92" s="16">
        <v>16</v>
      </c>
      <c r="AP92" s="16">
        <v>163840</v>
      </c>
      <c r="AQ92" s="16">
        <v>84</v>
      </c>
      <c r="AR92" s="15" t="s">
        <v>1</v>
      </c>
      <c r="AS92" s="15" t="s">
        <v>2</v>
      </c>
      <c r="AT92" s="8">
        <v>201</v>
      </c>
      <c r="AU92">
        <v>25864</v>
      </c>
      <c r="AV92" s="5">
        <v>128.6766169154229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5">
        <f>IF($L93&gt;0,InterspecUsage[[#This Row],[Free-of-Max]]/InterspecUsage[[#This Row],[Usage-Delta-MB]],InterspecUsage[[#This Row],[Free-of-Max]])</f>
        <v>1419.909090909091</v>
      </c>
      <c r="R93" s="3">
        <v>45187</v>
      </c>
      <c r="S93" s="15" t="s">
        <v>24</v>
      </c>
      <c r="T93" s="16">
        <v>91</v>
      </c>
      <c r="U93" s="16">
        <v>18400</v>
      </c>
      <c r="V93" s="16">
        <v>1601</v>
      </c>
      <c r="W93" s="16">
        <v>16799</v>
      </c>
      <c r="X93" s="16">
        <v>9</v>
      </c>
      <c r="Y93" s="16">
        <v>32768</v>
      </c>
      <c r="Z93" s="16">
        <v>51</v>
      </c>
      <c r="AA93" s="15" t="s">
        <v>1</v>
      </c>
      <c r="AB93" s="15" t="s">
        <v>2</v>
      </c>
      <c r="AC93" s="8">
        <v>165</v>
      </c>
      <c r="AD93">
        <v>15969</v>
      </c>
      <c r="AE93" s="5">
        <v>96.781818181818181</v>
      </c>
      <c r="AI93" s="3">
        <v>45187</v>
      </c>
      <c r="AJ93" s="15" t="s">
        <v>27</v>
      </c>
      <c r="AK93" s="16">
        <v>85</v>
      </c>
      <c r="AL93" s="16">
        <v>163840</v>
      </c>
      <c r="AM93" s="16">
        <v>25083</v>
      </c>
      <c r="AN93" s="16">
        <v>138757</v>
      </c>
      <c r="AO93" s="16">
        <v>15</v>
      </c>
      <c r="AP93" s="16">
        <v>163840</v>
      </c>
      <c r="AQ93" s="16">
        <v>85</v>
      </c>
      <c r="AR93" s="15" t="s">
        <v>1</v>
      </c>
      <c r="AS93" s="15" t="s">
        <v>2</v>
      </c>
      <c r="AT93" s="8">
        <v>781</v>
      </c>
      <c r="AU93">
        <v>25083</v>
      </c>
      <c r="AV93" s="5">
        <v>32.116517285531373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  <c r="R94" s="3">
        <v>45194</v>
      </c>
      <c r="S94" s="15" t="s">
        <v>24</v>
      </c>
      <c r="T94" s="16">
        <v>91</v>
      </c>
      <c r="U94" s="16">
        <v>18400</v>
      </c>
      <c r="V94" s="16">
        <v>1567</v>
      </c>
      <c r="W94" s="16">
        <v>16833</v>
      </c>
      <c r="X94" s="16">
        <v>9</v>
      </c>
      <c r="Y94" s="16">
        <v>32768</v>
      </c>
      <c r="Z94" s="16">
        <v>51</v>
      </c>
      <c r="AA94" s="15" t="s">
        <v>1</v>
      </c>
      <c r="AB94" s="15" t="s">
        <v>2</v>
      </c>
      <c r="AC94" s="8">
        <v>34</v>
      </c>
      <c r="AD94">
        <v>15935</v>
      </c>
      <c r="AE94" s="5">
        <v>468.6764705882353</v>
      </c>
      <c r="AI94" s="3">
        <v>45194</v>
      </c>
      <c r="AJ94" s="15" t="s">
        <v>27</v>
      </c>
      <c r="AK94" s="16">
        <v>85</v>
      </c>
      <c r="AL94" s="16">
        <v>163840</v>
      </c>
      <c r="AM94" s="16">
        <v>24840</v>
      </c>
      <c r="AN94" s="16">
        <v>139000</v>
      </c>
      <c r="AO94" s="16">
        <v>15</v>
      </c>
      <c r="AP94" s="16">
        <v>163840</v>
      </c>
      <c r="AQ94" s="16">
        <v>85</v>
      </c>
      <c r="AR94" s="15" t="s">
        <v>1</v>
      </c>
      <c r="AS94" s="15" t="s">
        <v>2</v>
      </c>
      <c r="AT94" s="8">
        <v>243</v>
      </c>
      <c r="AU94">
        <v>24840</v>
      </c>
      <c r="AV94" s="5">
        <v>102.22222222222223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  <c r="R95" s="3">
        <v>45201</v>
      </c>
      <c r="S95" s="15" t="s">
        <v>24</v>
      </c>
      <c r="T95" s="16">
        <v>92</v>
      </c>
      <c r="U95" s="16">
        <v>18400</v>
      </c>
      <c r="V95" s="16">
        <v>1525</v>
      </c>
      <c r="W95" s="16">
        <v>16875</v>
      </c>
      <c r="X95" s="16">
        <v>8</v>
      </c>
      <c r="Y95" s="16">
        <v>32768</v>
      </c>
      <c r="Z95" s="16">
        <v>51</v>
      </c>
      <c r="AA95" s="15" t="s">
        <v>1</v>
      </c>
      <c r="AB95" s="15" t="s">
        <v>2</v>
      </c>
      <c r="AC95" s="8">
        <v>42</v>
      </c>
      <c r="AD95">
        <v>15893</v>
      </c>
      <c r="AE95" s="5">
        <v>378.40476190476193</v>
      </c>
      <c r="AI95" s="3">
        <v>45201</v>
      </c>
      <c r="AJ95" s="15" t="s">
        <v>27</v>
      </c>
      <c r="AK95" s="16">
        <v>85</v>
      </c>
      <c r="AL95" s="16">
        <v>163840</v>
      </c>
      <c r="AM95" s="16">
        <v>24582</v>
      </c>
      <c r="AN95" s="16">
        <v>139258</v>
      </c>
      <c r="AO95" s="16">
        <v>15</v>
      </c>
      <c r="AP95" s="16">
        <v>163840</v>
      </c>
      <c r="AQ95" s="16">
        <v>85</v>
      </c>
      <c r="AR95" s="15" t="s">
        <v>1</v>
      </c>
      <c r="AS95" s="15" t="s">
        <v>2</v>
      </c>
      <c r="AT95" s="8">
        <v>258</v>
      </c>
      <c r="AU95">
        <v>24582</v>
      </c>
      <c r="AV95" s="5">
        <v>95.279069767441854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  <c r="R96" s="3">
        <v>45208</v>
      </c>
      <c r="S96" s="15" t="s">
        <v>24</v>
      </c>
      <c r="T96" s="16">
        <v>92</v>
      </c>
      <c r="U96" s="16">
        <v>18400</v>
      </c>
      <c r="V96" s="16">
        <v>1403</v>
      </c>
      <c r="W96" s="16">
        <v>16997</v>
      </c>
      <c r="X96" s="16">
        <v>8</v>
      </c>
      <c r="Y96" s="16">
        <v>32768</v>
      </c>
      <c r="Z96" s="16">
        <v>52</v>
      </c>
      <c r="AA96" s="15" t="s">
        <v>1</v>
      </c>
      <c r="AB96" s="15" t="s">
        <v>2</v>
      </c>
      <c r="AC96" s="8">
        <v>122</v>
      </c>
      <c r="AD96">
        <v>15771</v>
      </c>
      <c r="AE96" s="5">
        <v>129.2704918032787</v>
      </c>
      <c r="AI96" s="3">
        <v>45208</v>
      </c>
      <c r="AJ96" s="15" t="s">
        <v>27</v>
      </c>
      <c r="AK96" s="16">
        <v>85</v>
      </c>
      <c r="AL96" s="16">
        <v>163840</v>
      </c>
      <c r="AM96" s="16">
        <v>24220</v>
      </c>
      <c r="AN96" s="16">
        <v>139620</v>
      </c>
      <c r="AO96" s="16">
        <v>15</v>
      </c>
      <c r="AP96" s="16">
        <v>163840</v>
      </c>
      <c r="AQ96" s="16">
        <v>85</v>
      </c>
      <c r="AR96" s="15" t="s">
        <v>1</v>
      </c>
      <c r="AS96" s="15" t="s">
        <v>2</v>
      </c>
      <c r="AT96" s="8">
        <v>362</v>
      </c>
      <c r="AU96">
        <v>24220</v>
      </c>
      <c r="AV96" s="5">
        <v>66.906077348066304</v>
      </c>
    </row>
    <row r="97" spans="1:48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  <c r="R97" s="3">
        <v>45215</v>
      </c>
      <c r="S97" s="15" t="s">
        <v>24</v>
      </c>
      <c r="T97" s="16">
        <v>95</v>
      </c>
      <c r="U97" s="16">
        <v>54868</v>
      </c>
      <c r="V97" s="16">
        <v>2787</v>
      </c>
      <c r="W97" s="16">
        <v>52081</v>
      </c>
      <c r="X97" s="16">
        <v>5</v>
      </c>
      <c r="Y97" s="16">
        <v>65536</v>
      </c>
      <c r="Z97" s="16">
        <v>79</v>
      </c>
      <c r="AA97" s="15" t="s">
        <v>1</v>
      </c>
      <c r="AB97" s="15" t="s">
        <v>2</v>
      </c>
      <c r="AC97" s="8">
        <v>35084</v>
      </c>
      <c r="AD97">
        <v>13455</v>
      </c>
      <c r="AE97" s="5">
        <v>0.38350815186409759</v>
      </c>
      <c r="AI97" s="3">
        <v>45215</v>
      </c>
      <c r="AJ97" s="15" t="s">
        <v>27</v>
      </c>
      <c r="AK97" s="16">
        <v>91</v>
      </c>
      <c r="AL97" s="16">
        <v>163840</v>
      </c>
      <c r="AM97" s="16">
        <v>15555</v>
      </c>
      <c r="AN97" s="16">
        <v>148285</v>
      </c>
      <c r="AO97" s="16">
        <v>9</v>
      </c>
      <c r="AP97" s="16">
        <v>163840</v>
      </c>
      <c r="AQ97" s="16">
        <v>91</v>
      </c>
      <c r="AR97" s="15" t="s">
        <v>1</v>
      </c>
      <c r="AS97" s="15" t="s">
        <v>2</v>
      </c>
      <c r="AT97" s="8">
        <v>8665</v>
      </c>
      <c r="AU97">
        <v>15555</v>
      </c>
      <c r="AV97" s="5">
        <v>1.7951529140219273</v>
      </c>
    </row>
    <row r="98" spans="1:48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  <c r="R98" s="3">
        <v>45222</v>
      </c>
      <c r="S98" s="15" t="s">
        <v>24</v>
      </c>
      <c r="T98" s="16">
        <v>95</v>
      </c>
      <c r="U98" s="16">
        <v>54868</v>
      </c>
      <c r="V98" s="16">
        <v>2624</v>
      </c>
      <c r="W98" s="16">
        <v>52244</v>
      </c>
      <c r="X98" s="16">
        <v>5</v>
      </c>
      <c r="Y98" s="16">
        <v>65536</v>
      </c>
      <c r="Z98" s="16">
        <v>80</v>
      </c>
      <c r="AA98" s="15" t="s">
        <v>1</v>
      </c>
      <c r="AB98" s="15" t="s">
        <v>2</v>
      </c>
      <c r="AC98" s="8">
        <v>163</v>
      </c>
      <c r="AD98">
        <v>13292</v>
      </c>
      <c r="AE98" s="5">
        <v>81.546012269938657</v>
      </c>
      <c r="AI98" s="3">
        <v>45222</v>
      </c>
      <c r="AJ98" s="15" t="s">
        <v>27</v>
      </c>
      <c r="AK98" s="16">
        <v>91</v>
      </c>
      <c r="AL98" s="16">
        <v>163840</v>
      </c>
      <c r="AM98" s="16">
        <v>15225</v>
      </c>
      <c r="AN98" s="16">
        <v>148615</v>
      </c>
      <c r="AO98" s="16">
        <v>9</v>
      </c>
      <c r="AP98" s="16">
        <v>163840</v>
      </c>
      <c r="AQ98" s="16">
        <v>91</v>
      </c>
      <c r="AR98" s="15" t="s">
        <v>1</v>
      </c>
      <c r="AS98" s="15" t="s">
        <v>2</v>
      </c>
      <c r="AT98" s="8">
        <v>330</v>
      </c>
      <c r="AU98">
        <v>15225</v>
      </c>
      <c r="AV98" s="5">
        <v>46.136363636363633</v>
      </c>
    </row>
    <row r="99" spans="1:48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  <c r="R99" s="3">
        <v>45229</v>
      </c>
      <c r="S99" s="15" t="s">
        <v>24</v>
      </c>
      <c r="T99" s="16">
        <v>95</v>
      </c>
      <c r="U99" s="16">
        <v>54868</v>
      </c>
      <c r="V99" s="16">
        <v>2519</v>
      </c>
      <c r="W99" s="16">
        <v>52349</v>
      </c>
      <c r="X99" s="16">
        <v>5</v>
      </c>
      <c r="Y99" s="16">
        <v>65536</v>
      </c>
      <c r="Z99" s="16">
        <v>80</v>
      </c>
      <c r="AA99" s="15" t="s">
        <v>1</v>
      </c>
      <c r="AB99" s="15" t="s">
        <v>2</v>
      </c>
      <c r="AC99" s="8">
        <v>105</v>
      </c>
      <c r="AD99">
        <v>13187</v>
      </c>
      <c r="AE99" s="5">
        <v>125.5904761904762</v>
      </c>
      <c r="AI99" s="3">
        <v>45229</v>
      </c>
      <c r="AJ99" s="15" t="s">
        <v>27</v>
      </c>
      <c r="AK99" s="16">
        <v>91</v>
      </c>
      <c r="AL99" s="16">
        <v>163840</v>
      </c>
      <c r="AM99" s="16">
        <v>14829</v>
      </c>
      <c r="AN99" s="16">
        <v>149011</v>
      </c>
      <c r="AO99" s="16">
        <v>9</v>
      </c>
      <c r="AP99" s="16">
        <v>163840</v>
      </c>
      <c r="AQ99" s="16">
        <v>91</v>
      </c>
      <c r="AR99" s="15" t="s">
        <v>1</v>
      </c>
      <c r="AS99" s="15" t="s">
        <v>2</v>
      </c>
      <c r="AT99" s="8">
        <v>396</v>
      </c>
      <c r="AU99">
        <v>14829</v>
      </c>
      <c r="AV99" s="5">
        <v>37.446969696969695</v>
      </c>
    </row>
    <row r="100" spans="1:48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</row>
    <row r="101" spans="1:48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</row>
    <row r="102" spans="1:48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</row>
    <row r="103" spans="1:48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</row>
    <row r="104" spans="1:48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</row>
    <row r="105" spans="1:48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</row>
    <row r="106" spans="1:48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</row>
    <row r="107" spans="1:48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</row>
    <row r="108" spans="1:48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</row>
    <row r="109" spans="1:48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</row>
    <row r="110" spans="1:48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</row>
    <row r="111" spans="1:48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</row>
    <row r="112" spans="1:48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</row>
    <row r="113" spans="1:14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</row>
    <row r="114" spans="1:14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</row>
    <row r="115" spans="1:14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</row>
    <row r="116" spans="1:14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</row>
    <row r="117" spans="1:14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</row>
    <row r="118" spans="1:14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</row>
    <row r="119" spans="1:14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</row>
    <row r="120" spans="1:14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</row>
    <row r="121" spans="1:14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</row>
    <row r="122" spans="1:14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</row>
    <row r="123" spans="1:14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5">
        <f>IF($L123&gt;0,InterspecUsage[[#This Row],[Free-of-Max]]/InterspecUsage[[#This Row],[Usage-Delta-MB]],InterspecUsage[[#This Row],[Free-of-Max]])</f>
        <v>15488</v>
      </c>
    </row>
    <row r="124" spans="1:14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14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14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14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14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5">
        <f>IF($L133&gt;0,InterspecUsage[[#This Row],[Free-of-Max]]/InterspecUsage[[#This Row],[Usage-Delta-MB]],InterspecUsage[[#This Row],[Free-of-Max]])</f>
        <v>1935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5">
        <f>IF($L153&gt;0,InterspecUsage[[#This Row],[Free-of-Max]]/InterspecUsage[[#This Row],[Usage-Delta-MB]],InterspecUsage[[#This Row],[Free-of-Max]])</f>
        <v>15416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5">
        <f>IF($L163&gt;0,InterspecUsage[[#This Row],[Free-of-Max]]/InterspecUsage[[#This Row],[Usage-Delta-MB]],InterspecUsage[[#This Row],[Free-of-Max]])</f>
        <v>15416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5">
        <f>IF($L173&gt;0,InterspecUsage[[#This Row],[Free-of-Max]]/InterspecUsage[[#This Row],[Usage-Delta-MB]],InterspecUsage[[#This Row],[Free-of-Max]])</f>
        <v>7707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5">
        <f>IF($L203&gt;0,InterspecUsage[[#This Row],[Free-of-Max]]/InterspecUsage[[#This Row],[Usage-Delta-MB]],InterspecUsage[[#This Row],[Free-of-Max]])</f>
        <v>15259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5">
        <f>IF($L213&gt;0,InterspecUsage[[#This Row],[Free-of-Max]]/InterspecUsage[[#This Row],[Usage-Delta-MB]],InterspecUsage[[#This Row],[Free-of-Max]])</f>
        <v>15258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5">
        <f>IF($L233&gt;0,InterspecUsage[[#This Row],[Free-of-Max]]/InterspecUsage[[#This Row],[Usage-Delta-MB]],InterspecUsage[[#This Row],[Free-of-Max]])</f>
        <v>1897.25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5">
        <f>IF($L243&gt;0,InterspecUsage[[#This Row],[Free-of-Max]]/InterspecUsage[[#This Row],[Usage-Delta-MB]],InterspecUsage[[#This Row],[Free-of-Max]])</f>
        <v>15177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5">
        <f>IF($L253&gt;0,InterspecUsage[[#This Row],[Free-of-Max]]/InterspecUsage[[#This Row],[Usage-Delta-MB]],InterspecUsage[[#This Row],[Free-of-Max]])</f>
        <v>15177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5">
        <f>IF($L263&gt;0,InterspecUsage[[#This Row],[Free-of-Max]]/InterspecUsage[[#This Row],[Usage-Delta-MB]],InterspecUsage[[#This Row],[Free-of-Max]])</f>
        <v>15177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5">
        <f>IF($L273&gt;0,InterspecUsage[[#This Row],[Free-of-Max]]/InterspecUsage[[#This Row],[Usage-Delta-MB]],InterspecUsage[[#This Row],[Free-of-Max]])</f>
        <v>15176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5">
        <f>IF($L283&gt;0,InterspecUsage[[#This Row],[Free-of-Max]]/InterspecUsage[[#This Row],[Usage-Delta-MB]],InterspecUsage[[#This Row],[Free-of-Max]])</f>
        <v>1685.2222222222222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5">
        <f>IF($L303&gt;0,InterspecUsage[[#This Row],[Free-of-Max]]/InterspecUsage[[#This Row],[Usage-Delta-MB]],InterspecUsage[[#This Row],[Free-of-Max]])</f>
        <v>15094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5">
        <f>IF($L313&gt;0,InterspecUsage[[#This Row],[Free-of-Max]]/InterspecUsage[[#This Row],[Usage-Delta-MB]],InterspecUsage[[#This Row],[Free-of-Max]])</f>
        <v>15094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5">
        <f>IF($L333&gt;0,InterspecUsage[[#This Row],[Free-of-Max]]/InterspecUsage[[#This Row],[Usage-Delta-MB]],InterspecUsage[[#This Row],[Free-of-Max]])</f>
        <v>1876.5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5">
        <f>IF($L343&gt;0,InterspecUsage[[#This Row],[Free-of-Max]]/InterspecUsage[[#This Row],[Usage-Delta-MB]],InterspecUsage[[#This Row],[Free-of-Max]])</f>
        <v>7505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5">
        <f>IF($L363&gt;0,InterspecUsage[[#This Row],[Free-of-Max]]/InterspecUsage[[#This Row],[Usage-Delta-MB]],InterspecUsage[[#This Row],[Free-of-Max]])</f>
        <v>14944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5">
        <f>IF($L373&gt;0,InterspecUsage[[#This Row],[Free-of-Max]]/InterspecUsage[[#This Row],[Usage-Delta-MB]],InterspecUsage[[#This Row],[Free-of-Max]])</f>
        <v>14944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5">
        <f>IF($L383&gt;0,InterspecUsage[[#This Row],[Free-of-Max]]/InterspecUsage[[#This Row],[Usage-Delta-MB]],InterspecUsage[[#This Row],[Free-of-Max]])</f>
        <v>7471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5">
        <f>IF($L393&gt;0,InterspecUsage[[#This Row],[Free-of-Max]]/InterspecUsage[[#This Row],[Usage-Delta-MB]],InterspecUsage[[#This Row],[Free-of-Max]])</f>
        <v>14941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5">
        <f>IF($L403&gt;0,InterspecUsage[[#This Row],[Free-of-Max]]/InterspecUsage[[#This Row],[Usage-Delta-MB]],InterspecUsage[[#This Row],[Free-of-Max]])</f>
        <v>14940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5">
        <f>IF($L413&gt;0,InterspecUsage[[#This Row],[Free-of-Max]]/InterspecUsage[[#This Row],[Usage-Delta-MB]],InterspecUsage[[#This Row],[Free-of-Max]])</f>
        <v>14940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5">
        <f>IF($L433&gt;0,InterspecUsage[[#This Row],[Free-of-Max]]/InterspecUsage[[#This Row],[Usage-Delta-MB]],InterspecUsage[[#This Row],[Free-of-Max]])</f>
        <v>1650.6666666666667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5">
        <f>IF($L443&gt;0,InterspecUsage[[#This Row],[Free-of-Max]]/InterspecUsage[[#This Row],[Usage-Delta-MB]],InterspecUsage[[#This Row],[Free-of-Max]])</f>
        <v>14856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5">
        <f>IF($L453&gt;0,InterspecUsage[[#This Row],[Free-of-Max]]/InterspecUsage[[#This Row],[Usage-Delta-MB]],InterspecUsage[[#This Row],[Free-of-Max]])</f>
        <v>1856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5">
        <f>IF($L463&gt;0,InterspecUsage[[#This Row],[Free-of-Max]]/InterspecUsage[[#This Row],[Usage-Delta-MB]],InterspecUsage[[#This Row],[Free-of-Max]])</f>
        <v>14847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5">
        <f>IF($L483&gt;0,InterspecUsage[[#This Row],[Free-of-Max]]/InterspecUsage[[#This Row],[Usage-Delta-MB]],InterspecUsage[[#This Row],[Free-of-Max]])</f>
        <v>14782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5">
        <f>IF($L493&gt;0,InterspecUsage[[#This Row],[Free-of-Max]]/InterspecUsage[[#This Row],[Usage-Delta-MB]],InterspecUsage[[#This Row],[Free-of-Max]])</f>
        <v>1846.75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5">
        <f>IF($L503&gt;0,InterspecUsage[[#This Row],[Free-of-Max]]/InterspecUsage[[#This Row],[Usage-Delta-MB]],InterspecUsage[[#This Row],[Free-of-Max]])</f>
        <v>18896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5">
        <f>IF($L505&gt;0,InterspecUsage[[#This Row],[Free-of-Max]]/InterspecUsage[[#This Row],[Usage-Delta-MB]],InterspecUsage[[#This Row],[Free-of-Max]])</f>
        <v>22073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5">
        <f>IF($L513&gt;0,InterspecUsage[[#This Row],[Free-of-Max]]/InterspecUsage[[#This Row],[Usage-Delta-MB]],InterspecUsage[[#This Row],[Free-of-Max]])</f>
        <v>18896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5">
        <f>IF($L523&gt;0,InterspecUsage[[#This Row],[Free-of-Max]]/InterspecUsage[[#This Row],[Usage-Delta-MB]],InterspecUsage[[#This Row],[Free-of-Max]])</f>
        <v>18896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5">
        <f>IF($L533&gt;0,InterspecUsage[[#This Row],[Free-of-Max]]/InterspecUsage[[#This Row],[Usage-Delta-MB]],InterspecUsage[[#This Row],[Free-of-Max]])</f>
        <v>18896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5">
        <f>IF($L553&gt;0,InterspecUsage[[#This Row],[Free-of-Max]]/InterspecUsage[[#This Row],[Usage-Delta-MB]],InterspecUsage[[#This Row],[Free-of-Max]])</f>
        <v>18824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5">
        <f>IF($L563&gt;0,InterspecUsage[[#This Row],[Free-of-Max]]/InterspecUsage[[#This Row],[Usage-Delta-MB]],InterspecUsage[[#This Row],[Free-of-Max]])</f>
        <v>18823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5">
        <f>IF($L573&gt;0,InterspecUsage[[#This Row],[Free-of-Max]]/InterspecUsage[[#This Row],[Usage-Delta-MB]],InterspecUsage[[#This Row],[Free-of-Max]])</f>
        <v>18823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5">
        <f>IF($L583&gt;0,InterspecUsage[[#This Row],[Free-of-Max]]/InterspecUsage[[#This Row],[Usage-Delta-MB]],InterspecUsage[[#This Row],[Free-of-Max]])</f>
        <v>2090.4444444444443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5">
        <f>IF($L603&gt;0,InterspecUsage[[#This Row],[Free-of-Max]]/InterspecUsage[[#This Row],[Usage-Delta-MB]],InterspecUsage[[#This Row],[Free-of-Max]])</f>
        <v>18749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5">
        <f>IF($L613&gt;0,InterspecUsage[[#This Row],[Free-of-Max]]/InterspecUsage[[#This Row],[Usage-Delta-MB]],InterspecUsage[[#This Row],[Free-of-Max]])</f>
        <v>18748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5">
        <f>IF($L633&gt;0,InterspecUsage[[#This Row],[Free-of-Max]]/InterspecUsage[[#This Row],[Usage-Delta-MB]],InterspecUsage[[#This Row],[Free-of-Max]])</f>
        <v>18610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5">
        <f>IF($L643&gt;0,InterspecUsage[[#This Row],[Free-of-Max]]/InterspecUsage[[#This Row],[Usage-Delta-MB]],InterspecUsage[[#This Row],[Free-of-Max]])</f>
        <v>18610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5">
        <f>IF($L653&gt;0,InterspecUsage[[#This Row],[Free-of-Max]]/InterspecUsage[[#This Row],[Usage-Delta-MB]],InterspecUsage[[#This Row],[Free-of-Max]])</f>
        <v>18610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5">
        <f>IF($L683&gt;0,InterspecUsage[[#This Row],[Free-of-Max]]/InterspecUsage[[#This Row],[Usage-Delta-MB]],InterspecUsage[[#This Row],[Free-of-Max]])</f>
        <v>1155.625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5">
        <f>IF($L693&gt;0,InterspecUsage[[#This Row],[Free-of-Max]]/InterspecUsage[[#This Row],[Usage-Delta-MB]],InterspecUsage[[#This Row],[Free-of-Max]])</f>
        <v>18520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5">
        <f>IF($L753&gt;0,InterspecUsage[[#This Row],[Free-of-Max]]/InterspecUsage[[#This Row],[Usage-Delta-MB]],InterspecUsage[[#This Row],[Free-of-Max]])</f>
        <v>17496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5">
        <f>IF($L763&gt;0,InterspecUsage[[#This Row],[Free-of-Max]]/InterspecUsage[[#This Row],[Usage-Delta-MB]],InterspecUsage[[#This Row],[Free-of-Max]])</f>
        <v>8747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5">
        <f>IF($L773&gt;0,InterspecUsage[[#This Row],[Free-of-Max]]/InterspecUsage[[#This Row],[Usage-Delta-MB]],InterspecUsage[[#This Row],[Free-of-Max]])</f>
        <v>17494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5">
        <f>IF($L793&gt;0,InterspecUsage[[#This Row],[Free-of-Max]]/InterspecUsage[[#This Row],[Usage-Delta-MB]],InterspecUsage[[#This Row],[Free-of-Max]])</f>
        <v>8718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  <row r="882" spans="1:14" x14ac:dyDescent="0.25">
      <c r="A882" s="3">
        <v>45159</v>
      </c>
      <c r="B882" s="15" t="s">
        <v>26</v>
      </c>
      <c r="C882" s="16">
        <v>95</v>
      </c>
      <c r="D882" s="16">
        <v>22288</v>
      </c>
      <c r="E882" s="16">
        <v>1205</v>
      </c>
      <c r="F882" s="16">
        <v>21083</v>
      </c>
      <c r="G882" s="16">
        <v>5</v>
      </c>
      <c r="H882" s="16">
        <v>40960</v>
      </c>
      <c r="I882" s="16">
        <v>51</v>
      </c>
      <c r="J882" s="15" t="s">
        <v>1</v>
      </c>
      <c r="K882" s="15" t="s">
        <v>2</v>
      </c>
      <c r="L882" s="8">
        <f>InterspecUsage[[#This Row],[Used-MB]]-F872</f>
        <v>0</v>
      </c>
      <c r="M882">
        <f>InterspecUsage[[#This Row],[Max]]-InterspecUsage[[#This Row],[Used-MB]]</f>
        <v>19877</v>
      </c>
      <c r="N882" s="5">
        <f>IF($L882&gt;0,InterspecUsage[[#This Row],[Free-of-Max]]/InterspecUsage[[#This Row],[Usage-Delta-MB]],InterspecUsage[[#This Row],[Free-of-Max]])</f>
        <v>19877</v>
      </c>
    </row>
    <row r="883" spans="1:14" x14ac:dyDescent="0.25">
      <c r="A883" s="3">
        <v>45159</v>
      </c>
      <c r="B883" s="15" t="s">
        <v>24</v>
      </c>
      <c r="C883" s="16">
        <v>90</v>
      </c>
      <c r="D883" s="16">
        <v>18400</v>
      </c>
      <c r="E883" s="16">
        <v>1845</v>
      </c>
      <c r="F883" s="16">
        <v>16555</v>
      </c>
      <c r="G883" s="16">
        <v>10</v>
      </c>
      <c r="H883" s="16">
        <v>32768</v>
      </c>
      <c r="I883" s="16">
        <v>51</v>
      </c>
      <c r="J883" s="15" t="s">
        <v>1</v>
      </c>
      <c r="K883" s="15" t="s">
        <v>2</v>
      </c>
      <c r="L883" s="8">
        <f>InterspecUsage[[#This Row],[Used-MB]]-F873</f>
        <v>33</v>
      </c>
      <c r="M883">
        <f>InterspecUsage[[#This Row],[Max]]-InterspecUsage[[#This Row],[Used-MB]]</f>
        <v>16213</v>
      </c>
      <c r="N883" s="5">
        <f>IF($L883&gt;0,InterspecUsage[[#This Row],[Free-of-Max]]/InterspecUsage[[#This Row],[Usage-Delta-MB]],InterspecUsage[[#This Row],[Free-of-Max]])</f>
        <v>491.30303030303031</v>
      </c>
    </row>
    <row r="884" spans="1:14" x14ac:dyDescent="0.25">
      <c r="A884" s="3">
        <v>45159</v>
      </c>
      <c r="B884" s="15" t="s">
        <v>35</v>
      </c>
      <c r="C884" s="16">
        <v>96</v>
      </c>
      <c r="D884" s="16">
        <v>27800</v>
      </c>
      <c r="E884" s="16">
        <v>1044</v>
      </c>
      <c r="F884" s="16">
        <v>26756</v>
      </c>
      <c r="G884" s="16">
        <v>4</v>
      </c>
      <c r="H884" s="16">
        <v>32768</v>
      </c>
      <c r="I884" s="16">
        <v>82</v>
      </c>
      <c r="J884" s="15" t="s">
        <v>1</v>
      </c>
      <c r="K884" s="15" t="s">
        <v>2</v>
      </c>
      <c r="L884" s="8">
        <f>InterspecUsage[[#This Row],[Used-MB]]-F874</f>
        <v>0</v>
      </c>
      <c r="M884">
        <f>InterspecUsage[[#This Row],[Max]]-InterspecUsage[[#This Row],[Used-MB]]</f>
        <v>6012</v>
      </c>
      <c r="N884" s="5">
        <f>IF($L884&gt;0,InterspecUsage[[#This Row],[Free-of-Max]]/InterspecUsage[[#This Row],[Usage-Delta-MB]],InterspecUsage[[#This Row],[Free-of-Max]])</f>
        <v>6012</v>
      </c>
    </row>
    <row r="885" spans="1:14" x14ac:dyDescent="0.25">
      <c r="A885" s="3">
        <v>45159</v>
      </c>
      <c r="B885" s="15" t="s">
        <v>27</v>
      </c>
      <c r="C885" s="16">
        <v>84</v>
      </c>
      <c r="D885" s="16">
        <v>163840</v>
      </c>
      <c r="E885" s="16">
        <v>26591</v>
      </c>
      <c r="F885" s="16">
        <v>137249</v>
      </c>
      <c r="G885" s="16">
        <v>16</v>
      </c>
      <c r="H885" s="16">
        <v>163840</v>
      </c>
      <c r="I885" s="16">
        <v>84</v>
      </c>
      <c r="J885" s="15" t="s">
        <v>1</v>
      </c>
      <c r="K885" s="15" t="s">
        <v>2</v>
      </c>
      <c r="L885" s="8">
        <f>InterspecUsage[[#This Row],[Used-MB]]-F875</f>
        <v>176</v>
      </c>
      <c r="M885">
        <f>InterspecUsage[[#This Row],[Max]]-InterspecUsage[[#This Row],[Used-MB]]</f>
        <v>26591</v>
      </c>
      <c r="N885" s="5">
        <f>IF($L885&gt;0,InterspecUsage[[#This Row],[Free-of-Max]]/InterspecUsage[[#This Row],[Usage-Delta-MB]],InterspecUsage[[#This Row],[Free-of-Max]])</f>
        <v>151.08522727272728</v>
      </c>
    </row>
    <row r="886" spans="1:14" x14ac:dyDescent="0.25">
      <c r="A886" s="3">
        <v>45159</v>
      </c>
      <c r="B886" s="15" t="s">
        <v>7</v>
      </c>
      <c r="C886" s="16">
        <v>95</v>
      </c>
      <c r="D886" s="16">
        <v>1670</v>
      </c>
      <c r="E886" s="16">
        <v>83</v>
      </c>
      <c r="F886" s="16">
        <v>1587</v>
      </c>
      <c r="G886" s="16">
        <v>5</v>
      </c>
      <c r="H886" s="16">
        <v>32768</v>
      </c>
      <c r="I886" s="16">
        <v>5</v>
      </c>
      <c r="J886" s="15" t="s">
        <v>1</v>
      </c>
      <c r="K886" s="15" t="s">
        <v>2</v>
      </c>
      <c r="L886" s="8">
        <f>InterspecUsage[[#This Row],[Used-MB]]-F876</f>
        <v>8</v>
      </c>
      <c r="M886">
        <f>InterspecUsage[[#This Row],[Max]]-InterspecUsage[[#This Row],[Used-MB]]</f>
        <v>31181</v>
      </c>
      <c r="N886" s="5">
        <f>IF($L886&gt;0,InterspecUsage[[#This Row],[Free-of-Max]]/InterspecUsage[[#This Row],[Usage-Delta-MB]],InterspecUsage[[#This Row],[Free-of-Max]])</f>
        <v>3897.625</v>
      </c>
    </row>
    <row r="887" spans="1:14" x14ac:dyDescent="0.25">
      <c r="A887" s="3">
        <v>45159</v>
      </c>
      <c r="B887" s="15" t="s">
        <v>0</v>
      </c>
      <c r="C887" s="16">
        <v>99</v>
      </c>
      <c r="D887" s="16">
        <v>4120</v>
      </c>
      <c r="E887" s="16">
        <v>23</v>
      </c>
      <c r="F887" s="16">
        <v>4097</v>
      </c>
      <c r="G887" s="16">
        <v>1</v>
      </c>
      <c r="H887" s="16">
        <v>32768</v>
      </c>
      <c r="I887" s="16">
        <v>13</v>
      </c>
      <c r="J887" s="15" t="s">
        <v>1</v>
      </c>
      <c r="K887" s="15" t="s">
        <v>2</v>
      </c>
      <c r="L887" s="8">
        <f>InterspecUsage[[#This Row],[Used-MB]]-F877</f>
        <v>0</v>
      </c>
      <c r="M887">
        <f>InterspecUsage[[#This Row],[Max]]-InterspecUsage[[#This Row],[Used-MB]]</f>
        <v>28671</v>
      </c>
      <c r="N887" s="5">
        <f>IF($L887&gt;0,InterspecUsage[[#This Row],[Free-of-Max]]/InterspecUsage[[#This Row],[Usage-Delta-MB]],InterspecUsage[[#This Row],[Free-of-Max]])</f>
        <v>28671</v>
      </c>
    </row>
    <row r="888" spans="1:14" x14ac:dyDescent="0.25">
      <c r="A888" s="3">
        <v>45159</v>
      </c>
      <c r="B888" s="15" t="s">
        <v>30</v>
      </c>
      <c r="C888" s="16">
        <v>0</v>
      </c>
      <c r="D888" s="16">
        <v>32767</v>
      </c>
      <c r="E888" s="16">
        <v>32758</v>
      </c>
      <c r="F888" s="16">
        <v>9</v>
      </c>
      <c r="G888" s="16">
        <v>100</v>
      </c>
      <c r="H888" s="16">
        <v>32768</v>
      </c>
      <c r="I888" s="16">
        <v>0</v>
      </c>
      <c r="J888" s="15" t="s">
        <v>1</v>
      </c>
      <c r="K888" s="15" t="s">
        <v>13</v>
      </c>
      <c r="L888" s="8">
        <f>InterspecUsage[[#This Row],[Used-MB]]-F878</f>
        <v>-22920</v>
      </c>
      <c r="M888">
        <f>InterspecUsage[[#This Row],[Max]]-InterspecUsage[[#This Row],[Used-MB]]</f>
        <v>32759</v>
      </c>
      <c r="N888" s="5">
        <f>IF($L888&gt;0,InterspecUsage[[#This Row],[Free-of-Max]]/InterspecUsage[[#This Row],[Usage-Delta-MB]],InterspecUsage[[#This Row],[Free-of-Max]])</f>
        <v>32759</v>
      </c>
    </row>
    <row r="889" spans="1:14" x14ac:dyDescent="0.25">
      <c r="A889" s="3">
        <v>45159</v>
      </c>
      <c r="B889" s="15" t="s">
        <v>28</v>
      </c>
      <c r="C889" s="16">
        <v>7</v>
      </c>
      <c r="D889" s="16">
        <v>23320</v>
      </c>
      <c r="E889" s="16">
        <v>21787</v>
      </c>
      <c r="F889" s="16">
        <v>1533</v>
      </c>
      <c r="G889" s="16">
        <v>93</v>
      </c>
      <c r="H889" s="16">
        <v>32768</v>
      </c>
      <c r="I889" s="16">
        <v>5</v>
      </c>
      <c r="J889" s="15" t="s">
        <v>1</v>
      </c>
      <c r="K889" s="15" t="s">
        <v>10</v>
      </c>
      <c r="L889" s="8">
        <f>InterspecUsage[[#This Row],[Used-MB]]-F879</f>
        <v>359</v>
      </c>
      <c r="M889">
        <f>InterspecUsage[[#This Row],[Max]]-InterspecUsage[[#This Row],[Used-MB]]</f>
        <v>31235</v>
      </c>
      <c r="N889" s="5">
        <f>IF($L889&gt;0,InterspecUsage[[#This Row],[Free-of-Max]]/InterspecUsage[[#This Row],[Usage-Delta-MB]],InterspecUsage[[#This Row],[Free-of-Max]])</f>
        <v>87.005571030640667</v>
      </c>
    </row>
    <row r="890" spans="1:14" x14ac:dyDescent="0.25">
      <c r="A890" s="3">
        <v>45159</v>
      </c>
      <c r="B890" s="15" t="s">
        <v>25</v>
      </c>
      <c r="C890" s="16">
        <v>72</v>
      </c>
      <c r="D890" s="16">
        <v>12700</v>
      </c>
      <c r="E890" s="16">
        <v>3528</v>
      </c>
      <c r="F890" s="16">
        <v>9172</v>
      </c>
      <c r="G890" s="16">
        <v>28</v>
      </c>
      <c r="H890" s="16">
        <v>32768</v>
      </c>
      <c r="I890" s="16">
        <v>28</v>
      </c>
      <c r="J890" s="15" t="s">
        <v>1</v>
      </c>
      <c r="K890" s="15" t="s">
        <v>2</v>
      </c>
      <c r="L890" s="8">
        <f>InterspecUsage[[#This Row],[Used-MB]]-F880</f>
        <v>16</v>
      </c>
      <c r="M890">
        <f>InterspecUsage[[#This Row],[Max]]-InterspecUsage[[#This Row],[Used-MB]]</f>
        <v>23596</v>
      </c>
      <c r="N890" s="5">
        <f>IF($L890&gt;0,InterspecUsage[[#This Row],[Free-of-Max]]/InterspecUsage[[#This Row],[Usage-Delta-MB]],InterspecUsage[[#This Row],[Free-of-Max]])</f>
        <v>1474.75</v>
      </c>
    </row>
    <row r="891" spans="1:14" x14ac:dyDescent="0.25">
      <c r="A891" s="3">
        <v>45159</v>
      </c>
      <c r="B891" s="15" t="s">
        <v>29</v>
      </c>
      <c r="C891" s="16">
        <v>0</v>
      </c>
      <c r="D891" s="16">
        <v>500</v>
      </c>
      <c r="E891" s="16">
        <v>499</v>
      </c>
      <c r="F891" s="16">
        <v>1</v>
      </c>
      <c r="G891" s="16">
        <v>100</v>
      </c>
      <c r="H891" s="16">
        <v>500</v>
      </c>
      <c r="I891" s="16">
        <v>0</v>
      </c>
      <c r="J891" s="15" t="s">
        <v>1</v>
      </c>
      <c r="K891" s="15" t="s">
        <v>2</v>
      </c>
      <c r="L891" s="8">
        <f>InterspecUsage[[#This Row],[Used-MB]]-F881</f>
        <v>0</v>
      </c>
      <c r="M891">
        <f>InterspecUsage[[#This Row],[Max]]-InterspecUsage[[#This Row],[Used-MB]]</f>
        <v>499</v>
      </c>
      <c r="N891" s="5">
        <f>IF($L891&gt;0,InterspecUsage[[#This Row],[Free-of-Max]]/InterspecUsage[[#This Row],[Usage-Delta-MB]],InterspecUsage[[#This Row],[Free-of-Max]])</f>
        <v>499</v>
      </c>
    </row>
    <row r="892" spans="1:14" x14ac:dyDescent="0.25">
      <c r="A892" s="3">
        <v>45166</v>
      </c>
      <c r="B892" s="15" t="s">
        <v>26</v>
      </c>
      <c r="C892" s="16">
        <v>95</v>
      </c>
      <c r="D892" s="16">
        <v>22288</v>
      </c>
      <c r="E892" s="16">
        <v>1204</v>
      </c>
      <c r="F892" s="16">
        <v>21084</v>
      </c>
      <c r="G892" s="16">
        <v>5</v>
      </c>
      <c r="H892" s="16">
        <v>40960</v>
      </c>
      <c r="I892" s="16">
        <v>51</v>
      </c>
      <c r="J892" s="15" t="s">
        <v>1</v>
      </c>
      <c r="K892" s="15" t="s">
        <v>2</v>
      </c>
      <c r="L892" s="8">
        <f>InterspecUsage[[#This Row],[Used-MB]]-F882</f>
        <v>1</v>
      </c>
      <c r="M892">
        <f>InterspecUsage[[#This Row],[Max]]-InterspecUsage[[#This Row],[Used-MB]]</f>
        <v>19876</v>
      </c>
      <c r="N892" s="5">
        <f>IF($L892&gt;0,InterspecUsage[[#This Row],[Free-of-Max]]/InterspecUsage[[#This Row],[Usage-Delta-MB]],InterspecUsage[[#This Row],[Free-of-Max]])</f>
        <v>19876</v>
      </c>
    </row>
    <row r="893" spans="1:14" x14ac:dyDescent="0.25">
      <c r="A893" s="3">
        <v>45166</v>
      </c>
      <c r="B893" s="15" t="s">
        <v>24</v>
      </c>
      <c r="C893" s="16">
        <v>90</v>
      </c>
      <c r="D893" s="16">
        <v>18400</v>
      </c>
      <c r="E893" s="16">
        <v>1818</v>
      </c>
      <c r="F893" s="16">
        <v>16582</v>
      </c>
      <c r="G893" s="16">
        <v>10</v>
      </c>
      <c r="H893" s="16">
        <v>32768</v>
      </c>
      <c r="I893" s="16">
        <v>51</v>
      </c>
      <c r="J893" s="15" t="s">
        <v>1</v>
      </c>
      <c r="K893" s="15" t="s">
        <v>2</v>
      </c>
      <c r="L893" s="8">
        <f>InterspecUsage[[#This Row],[Used-MB]]-F883</f>
        <v>27</v>
      </c>
      <c r="M893">
        <f>InterspecUsage[[#This Row],[Max]]-InterspecUsage[[#This Row],[Used-MB]]</f>
        <v>16186</v>
      </c>
      <c r="N893" s="5">
        <f>IF($L893&gt;0,InterspecUsage[[#This Row],[Free-of-Max]]/InterspecUsage[[#This Row],[Usage-Delta-MB]],InterspecUsage[[#This Row],[Free-of-Max]])</f>
        <v>599.48148148148152</v>
      </c>
    </row>
    <row r="894" spans="1:14" x14ac:dyDescent="0.25">
      <c r="A894" s="3">
        <v>45166</v>
      </c>
      <c r="B894" s="15" t="s">
        <v>35</v>
      </c>
      <c r="C894" s="16">
        <v>95</v>
      </c>
      <c r="D894" s="16">
        <v>28200</v>
      </c>
      <c r="E894" s="16">
        <v>1316</v>
      </c>
      <c r="F894" s="16">
        <v>26884</v>
      </c>
      <c r="G894" s="16">
        <v>5</v>
      </c>
      <c r="H894" s="16">
        <v>32768</v>
      </c>
      <c r="I894" s="16">
        <v>82</v>
      </c>
      <c r="J894" s="15" t="s">
        <v>1</v>
      </c>
      <c r="K894" s="15" t="s">
        <v>2</v>
      </c>
      <c r="L894" s="8">
        <f>InterspecUsage[[#This Row],[Used-MB]]-F884</f>
        <v>128</v>
      </c>
      <c r="M894">
        <f>InterspecUsage[[#This Row],[Max]]-InterspecUsage[[#This Row],[Used-MB]]</f>
        <v>5884</v>
      </c>
      <c r="N894" s="5">
        <f>IF($L894&gt;0,InterspecUsage[[#This Row],[Free-of-Max]]/InterspecUsage[[#This Row],[Usage-Delta-MB]],InterspecUsage[[#This Row],[Free-of-Max]])</f>
        <v>45.96875</v>
      </c>
    </row>
    <row r="895" spans="1:14" x14ac:dyDescent="0.25">
      <c r="A895" s="3">
        <v>45166</v>
      </c>
      <c r="B895" s="15" t="s">
        <v>27</v>
      </c>
      <c r="C895" s="16">
        <v>84</v>
      </c>
      <c r="D895" s="16">
        <v>163840</v>
      </c>
      <c r="E895" s="16">
        <v>26065</v>
      </c>
      <c r="F895" s="16">
        <v>137775</v>
      </c>
      <c r="G895" s="16">
        <v>16</v>
      </c>
      <c r="H895" s="16">
        <v>163840</v>
      </c>
      <c r="I895" s="16">
        <v>84</v>
      </c>
      <c r="J895" s="15" t="s">
        <v>1</v>
      </c>
      <c r="K895" s="15" t="s">
        <v>2</v>
      </c>
      <c r="L895" s="8">
        <f>InterspecUsage[[#This Row],[Used-MB]]-F885</f>
        <v>526</v>
      </c>
      <c r="M895">
        <f>InterspecUsage[[#This Row],[Max]]-InterspecUsage[[#This Row],[Used-MB]]</f>
        <v>26065</v>
      </c>
      <c r="N895" s="5">
        <f>IF($L895&gt;0,InterspecUsage[[#This Row],[Free-of-Max]]/InterspecUsage[[#This Row],[Usage-Delta-MB]],InterspecUsage[[#This Row],[Free-of-Max]])</f>
        <v>49.553231939163496</v>
      </c>
    </row>
    <row r="896" spans="1:14" x14ac:dyDescent="0.25">
      <c r="A896" s="3">
        <v>45166</v>
      </c>
      <c r="B896" s="15" t="s">
        <v>7</v>
      </c>
      <c r="C896" s="16">
        <v>96</v>
      </c>
      <c r="D896" s="16">
        <v>1670</v>
      </c>
      <c r="E896" s="16">
        <v>74</v>
      </c>
      <c r="F896" s="16">
        <v>1596</v>
      </c>
      <c r="G896" s="16">
        <v>4</v>
      </c>
      <c r="H896" s="16">
        <v>32768</v>
      </c>
      <c r="I896" s="16">
        <v>5</v>
      </c>
      <c r="J896" s="15" t="s">
        <v>1</v>
      </c>
      <c r="K896" s="15" t="s">
        <v>2</v>
      </c>
      <c r="L896" s="8">
        <f>InterspecUsage[[#This Row],[Used-MB]]-F886</f>
        <v>9</v>
      </c>
      <c r="M896">
        <f>InterspecUsage[[#This Row],[Max]]-InterspecUsage[[#This Row],[Used-MB]]</f>
        <v>31172</v>
      </c>
      <c r="N896" s="5">
        <f>IF($L896&gt;0,InterspecUsage[[#This Row],[Free-of-Max]]/InterspecUsage[[#This Row],[Usage-Delta-MB]],InterspecUsage[[#This Row],[Free-of-Max]])</f>
        <v>3463.5555555555557</v>
      </c>
    </row>
    <row r="897" spans="1:14" x14ac:dyDescent="0.25">
      <c r="A897" s="3">
        <v>45166</v>
      </c>
      <c r="B897" s="15" t="s">
        <v>0</v>
      </c>
      <c r="C897" s="16">
        <v>99</v>
      </c>
      <c r="D897" s="16">
        <v>4120</v>
      </c>
      <c r="E897" s="16">
        <v>23</v>
      </c>
      <c r="F897" s="16">
        <v>4097</v>
      </c>
      <c r="G897" s="16">
        <v>1</v>
      </c>
      <c r="H897" s="16">
        <v>32768</v>
      </c>
      <c r="I897" s="16">
        <v>13</v>
      </c>
      <c r="J897" s="15" t="s">
        <v>1</v>
      </c>
      <c r="K897" s="15" t="s">
        <v>2</v>
      </c>
      <c r="L897" s="8">
        <f>InterspecUsage[[#This Row],[Used-MB]]-F887</f>
        <v>0</v>
      </c>
      <c r="M897">
        <f>InterspecUsage[[#This Row],[Max]]-InterspecUsage[[#This Row],[Used-MB]]</f>
        <v>28671</v>
      </c>
      <c r="N897" s="5">
        <f>IF($L897&gt;0,InterspecUsage[[#This Row],[Free-of-Max]]/InterspecUsage[[#This Row],[Usage-Delta-MB]],InterspecUsage[[#This Row],[Free-of-Max]])</f>
        <v>28671</v>
      </c>
    </row>
    <row r="898" spans="1:14" x14ac:dyDescent="0.25">
      <c r="A898" s="3">
        <v>45166</v>
      </c>
      <c r="B898" s="15" t="s">
        <v>30</v>
      </c>
      <c r="C898" s="16">
        <v>0</v>
      </c>
      <c r="D898" s="16">
        <v>32767</v>
      </c>
      <c r="E898" s="16">
        <v>32751</v>
      </c>
      <c r="F898" s="16">
        <v>16</v>
      </c>
      <c r="G898" s="16">
        <v>100</v>
      </c>
      <c r="H898" s="16">
        <v>32768</v>
      </c>
      <c r="I898" s="16">
        <v>0</v>
      </c>
      <c r="J898" s="15" t="s">
        <v>1</v>
      </c>
      <c r="K898" s="15" t="s">
        <v>13</v>
      </c>
      <c r="L898" s="8">
        <f>InterspecUsage[[#This Row],[Used-MB]]-F888</f>
        <v>7</v>
      </c>
      <c r="M898">
        <f>InterspecUsage[[#This Row],[Max]]-InterspecUsage[[#This Row],[Used-MB]]</f>
        <v>32752</v>
      </c>
      <c r="N898" s="5">
        <f>IF($L898&gt;0,InterspecUsage[[#This Row],[Free-of-Max]]/InterspecUsage[[#This Row],[Usage-Delta-MB]],InterspecUsage[[#This Row],[Free-of-Max]])</f>
        <v>4678.8571428571431</v>
      </c>
    </row>
    <row r="899" spans="1:14" x14ac:dyDescent="0.25">
      <c r="A899" s="3">
        <v>45166</v>
      </c>
      <c r="B899" s="15" t="s">
        <v>28</v>
      </c>
      <c r="C899" s="16">
        <v>3</v>
      </c>
      <c r="D899" s="16">
        <v>23320</v>
      </c>
      <c r="E899" s="16">
        <v>22616</v>
      </c>
      <c r="F899" s="16">
        <v>704</v>
      </c>
      <c r="G899" s="16">
        <v>97</v>
      </c>
      <c r="H899" s="16">
        <v>32768</v>
      </c>
      <c r="I899" s="16">
        <v>2</v>
      </c>
      <c r="J899" s="15" t="s">
        <v>1</v>
      </c>
      <c r="K899" s="15" t="s">
        <v>10</v>
      </c>
      <c r="L899" s="8">
        <f>InterspecUsage[[#This Row],[Used-MB]]-F889</f>
        <v>-829</v>
      </c>
      <c r="M899">
        <f>InterspecUsage[[#This Row],[Max]]-InterspecUsage[[#This Row],[Used-MB]]</f>
        <v>32064</v>
      </c>
      <c r="N899" s="5">
        <f>IF($L899&gt;0,InterspecUsage[[#This Row],[Free-of-Max]]/InterspecUsage[[#This Row],[Usage-Delta-MB]],InterspecUsage[[#This Row],[Free-of-Max]])</f>
        <v>32064</v>
      </c>
    </row>
    <row r="900" spans="1:14" x14ac:dyDescent="0.25">
      <c r="A900" s="3">
        <v>45166</v>
      </c>
      <c r="B900" s="15" t="s">
        <v>25</v>
      </c>
      <c r="C900" s="16">
        <v>72</v>
      </c>
      <c r="D900" s="16">
        <v>12700</v>
      </c>
      <c r="E900" s="16">
        <v>3510</v>
      </c>
      <c r="F900" s="16">
        <v>9191</v>
      </c>
      <c r="G900" s="16">
        <v>28</v>
      </c>
      <c r="H900" s="16">
        <v>32768</v>
      </c>
      <c r="I900" s="16">
        <v>28</v>
      </c>
      <c r="J900" s="15" t="s">
        <v>1</v>
      </c>
      <c r="K900" s="15" t="s">
        <v>2</v>
      </c>
      <c r="L900" s="8">
        <f>InterspecUsage[[#This Row],[Used-MB]]-F890</f>
        <v>19</v>
      </c>
      <c r="M900">
        <f>InterspecUsage[[#This Row],[Max]]-InterspecUsage[[#This Row],[Used-MB]]</f>
        <v>23577</v>
      </c>
      <c r="N900" s="5">
        <f>IF($L900&gt;0,InterspecUsage[[#This Row],[Free-of-Max]]/InterspecUsage[[#This Row],[Usage-Delta-MB]],InterspecUsage[[#This Row],[Free-of-Max]])</f>
        <v>1240.8947368421052</v>
      </c>
    </row>
    <row r="901" spans="1:14" x14ac:dyDescent="0.25">
      <c r="A901" s="3">
        <v>45166</v>
      </c>
      <c r="B901" s="15" t="s">
        <v>29</v>
      </c>
      <c r="C901" s="16">
        <v>0</v>
      </c>
      <c r="D901" s="16">
        <v>500</v>
      </c>
      <c r="E901" s="16">
        <v>499</v>
      </c>
      <c r="F901" s="16">
        <v>1</v>
      </c>
      <c r="G901" s="16">
        <v>100</v>
      </c>
      <c r="H901" s="16">
        <v>500</v>
      </c>
      <c r="I901" s="16">
        <v>0</v>
      </c>
      <c r="J901" s="15" t="s">
        <v>1</v>
      </c>
      <c r="K901" s="15" t="s">
        <v>2</v>
      </c>
      <c r="L901" s="8">
        <f>InterspecUsage[[#This Row],[Used-MB]]-F891</f>
        <v>0</v>
      </c>
      <c r="M901">
        <f>InterspecUsage[[#This Row],[Max]]-InterspecUsage[[#This Row],[Used-MB]]</f>
        <v>499</v>
      </c>
      <c r="N901" s="5">
        <f>IF($L901&gt;0,InterspecUsage[[#This Row],[Free-of-Max]]/InterspecUsage[[#This Row],[Usage-Delta-MB]],InterspecUsage[[#This Row],[Free-of-Max]])</f>
        <v>499</v>
      </c>
    </row>
    <row r="902" spans="1:14" x14ac:dyDescent="0.25">
      <c r="A902" s="3">
        <v>45173</v>
      </c>
      <c r="B902" s="15" t="s">
        <v>26</v>
      </c>
      <c r="C902" s="16">
        <v>95</v>
      </c>
      <c r="D902" s="16">
        <v>22288</v>
      </c>
      <c r="E902" s="16">
        <v>1140</v>
      </c>
      <c r="F902" s="16">
        <v>21148</v>
      </c>
      <c r="G902" s="16">
        <v>5</v>
      </c>
      <c r="H902" s="16">
        <v>40960</v>
      </c>
      <c r="I902" s="16">
        <v>52</v>
      </c>
      <c r="J902" s="15" t="s">
        <v>1</v>
      </c>
      <c r="K902" s="15" t="s">
        <v>2</v>
      </c>
      <c r="L902" s="8">
        <f>InterspecUsage[[#This Row],[Used-MB]]-F892</f>
        <v>64</v>
      </c>
      <c r="M902">
        <f>InterspecUsage[[#This Row],[Max]]-InterspecUsage[[#This Row],[Used-MB]]</f>
        <v>19812</v>
      </c>
      <c r="N902" s="5">
        <f>IF($L902&gt;0,InterspecUsage[[#This Row],[Free-of-Max]]/InterspecUsage[[#This Row],[Usage-Delta-MB]],InterspecUsage[[#This Row],[Free-of-Max]])</f>
        <v>309.5625</v>
      </c>
    </row>
    <row r="903" spans="1:14" x14ac:dyDescent="0.25">
      <c r="A903" s="3">
        <v>45173</v>
      </c>
      <c r="B903" s="15" t="s">
        <v>24</v>
      </c>
      <c r="C903" s="16">
        <v>90</v>
      </c>
      <c r="D903" s="16">
        <v>18400</v>
      </c>
      <c r="E903" s="16">
        <v>1766</v>
      </c>
      <c r="F903" s="16">
        <v>16634</v>
      </c>
      <c r="G903" s="16">
        <v>10</v>
      </c>
      <c r="H903" s="16">
        <v>32768</v>
      </c>
      <c r="I903" s="16">
        <v>51</v>
      </c>
      <c r="J903" s="15" t="s">
        <v>1</v>
      </c>
      <c r="K903" s="15" t="s">
        <v>2</v>
      </c>
      <c r="L903" s="8">
        <f>InterspecUsage[[#This Row],[Used-MB]]-F893</f>
        <v>52</v>
      </c>
      <c r="M903">
        <f>InterspecUsage[[#This Row],[Max]]-InterspecUsage[[#This Row],[Used-MB]]</f>
        <v>16134</v>
      </c>
      <c r="N903" s="5">
        <f>IF($L903&gt;0,InterspecUsage[[#This Row],[Free-of-Max]]/InterspecUsage[[#This Row],[Usage-Delta-MB]],InterspecUsage[[#This Row],[Free-of-Max]])</f>
        <v>310.26923076923077</v>
      </c>
    </row>
    <row r="904" spans="1:14" x14ac:dyDescent="0.25">
      <c r="A904" s="3">
        <v>45173</v>
      </c>
      <c r="B904" s="15" t="s">
        <v>35</v>
      </c>
      <c r="C904" s="16">
        <v>95</v>
      </c>
      <c r="D904" s="16">
        <v>28200</v>
      </c>
      <c r="E904" s="16">
        <v>1316</v>
      </c>
      <c r="F904" s="16">
        <v>26884</v>
      </c>
      <c r="G904" s="16">
        <v>5</v>
      </c>
      <c r="H904" s="16">
        <v>32768</v>
      </c>
      <c r="I904" s="16">
        <v>82</v>
      </c>
      <c r="J904" s="15" t="s">
        <v>1</v>
      </c>
      <c r="K904" s="15" t="s">
        <v>2</v>
      </c>
      <c r="L904" s="8">
        <f>InterspecUsage[[#This Row],[Used-MB]]-F894</f>
        <v>0</v>
      </c>
      <c r="M904">
        <f>InterspecUsage[[#This Row],[Max]]-InterspecUsage[[#This Row],[Used-MB]]</f>
        <v>5884</v>
      </c>
      <c r="N904" s="5">
        <f>IF($L904&gt;0,InterspecUsage[[#This Row],[Free-of-Max]]/InterspecUsage[[#This Row],[Usage-Delta-MB]],InterspecUsage[[#This Row],[Free-of-Max]])</f>
        <v>5884</v>
      </c>
    </row>
    <row r="905" spans="1:14" x14ac:dyDescent="0.25">
      <c r="A905" s="3">
        <v>45173</v>
      </c>
      <c r="B905" s="15" t="s">
        <v>27</v>
      </c>
      <c r="C905" s="16">
        <v>84</v>
      </c>
      <c r="D905" s="16">
        <v>163840</v>
      </c>
      <c r="E905" s="16">
        <v>25864</v>
      </c>
      <c r="F905" s="16">
        <v>137976</v>
      </c>
      <c r="G905" s="16">
        <v>16</v>
      </c>
      <c r="H905" s="16">
        <v>163840</v>
      </c>
      <c r="I905" s="16">
        <v>84</v>
      </c>
      <c r="J905" s="15" t="s">
        <v>1</v>
      </c>
      <c r="K905" s="15" t="s">
        <v>2</v>
      </c>
      <c r="L905" s="8">
        <f>InterspecUsage[[#This Row],[Used-MB]]-F895</f>
        <v>201</v>
      </c>
      <c r="M905">
        <f>InterspecUsage[[#This Row],[Max]]-InterspecUsage[[#This Row],[Used-MB]]</f>
        <v>25864</v>
      </c>
      <c r="N905" s="5">
        <f>IF($L905&gt;0,InterspecUsage[[#This Row],[Free-of-Max]]/InterspecUsage[[#This Row],[Usage-Delta-MB]],InterspecUsage[[#This Row],[Free-of-Max]])</f>
        <v>128.6766169154229</v>
      </c>
    </row>
    <row r="906" spans="1:14" x14ac:dyDescent="0.25">
      <c r="A906" s="3">
        <v>45173</v>
      </c>
      <c r="B906" s="15" t="s">
        <v>7</v>
      </c>
      <c r="C906" s="16">
        <v>96</v>
      </c>
      <c r="D906" s="16">
        <v>1670</v>
      </c>
      <c r="E906" s="16">
        <v>74</v>
      </c>
      <c r="F906" s="16">
        <v>1596</v>
      </c>
      <c r="G906" s="16">
        <v>4</v>
      </c>
      <c r="H906" s="16">
        <v>32768</v>
      </c>
      <c r="I906" s="16">
        <v>5</v>
      </c>
      <c r="J906" s="15" t="s">
        <v>1</v>
      </c>
      <c r="K906" s="15" t="s">
        <v>2</v>
      </c>
      <c r="L906" s="8">
        <f>InterspecUsage[[#This Row],[Used-MB]]-F896</f>
        <v>0</v>
      </c>
      <c r="M906">
        <f>InterspecUsage[[#This Row],[Max]]-InterspecUsage[[#This Row],[Used-MB]]</f>
        <v>31172</v>
      </c>
      <c r="N906" s="5">
        <f>IF($L906&gt;0,InterspecUsage[[#This Row],[Free-of-Max]]/InterspecUsage[[#This Row],[Usage-Delta-MB]],InterspecUsage[[#This Row],[Free-of-Max]])</f>
        <v>31172</v>
      </c>
    </row>
    <row r="907" spans="1:14" x14ac:dyDescent="0.25">
      <c r="A907" s="3">
        <v>45173</v>
      </c>
      <c r="B907" s="15" t="s">
        <v>0</v>
      </c>
      <c r="C907" s="16">
        <v>99</v>
      </c>
      <c r="D907" s="16">
        <v>4120</v>
      </c>
      <c r="E907" s="16">
        <v>23</v>
      </c>
      <c r="F907" s="16">
        <v>4097</v>
      </c>
      <c r="G907" s="16">
        <v>1</v>
      </c>
      <c r="H907" s="16">
        <v>32768</v>
      </c>
      <c r="I907" s="16">
        <v>13</v>
      </c>
      <c r="J907" s="15" t="s">
        <v>1</v>
      </c>
      <c r="K907" s="15" t="s">
        <v>2</v>
      </c>
      <c r="L907" s="8">
        <f>InterspecUsage[[#This Row],[Used-MB]]-F897</f>
        <v>0</v>
      </c>
      <c r="M907">
        <f>InterspecUsage[[#This Row],[Max]]-InterspecUsage[[#This Row],[Used-MB]]</f>
        <v>28671</v>
      </c>
      <c r="N907" s="5">
        <f>IF($L907&gt;0,InterspecUsage[[#This Row],[Free-of-Max]]/InterspecUsage[[#This Row],[Usage-Delta-MB]],InterspecUsage[[#This Row],[Free-of-Max]])</f>
        <v>28671</v>
      </c>
    </row>
    <row r="908" spans="1:14" x14ac:dyDescent="0.25">
      <c r="A908" s="3">
        <v>45173</v>
      </c>
      <c r="B908" s="15" t="s">
        <v>30</v>
      </c>
      <c r="C908" s="16">
        <v>0</v>
      </c>
      <c r="D908" s="16">
        <v>32767</v>
      </c>
      <c r="E908" s="16">
        <v>32758</v>
      </c>
      <c r="F908" s="16">
        <v>9</v>
      </c>
      <c r="G908" s="16">
        <v>100</v>
      </c>
      <c r="H908" s="16">
        <v>32768</v>
      </c>
      <c r="I908" s="16">
        <v>0</v>
      </c>
      <c r="J908" s="15" t="s">
        <v>1</v>
      </c>
      <c r="K908" s="15" t="s">
        <v>13</v>
      </c>
      <c r="L908" s="8">
        <f>InterspecUsage[[#This Row],[Used-MB]]-F898</f>
        <v>-7</v>
      </c>
      <c r="M908">
        <f>InterspecUsage[[#This Row],[Max]]-InterspecUsage[[#This Row],[Used-MB]]</f>
        <v>32759</v>
      </c>
      <c r="N908" s="5">
        <f>IF($L908&gt;0,InterspecUsage[[#This Row],[Free-of-Max]]/InterspecUsage[[#This Row],[Usage-Delta-MB]],InterspecUsage[[#This Row],[Free-of-Max]])</f>
        <v>32759</v>
      </c>
    </row>
    <row r="909" spans="1:14" x14ac:dyDescent="0.25">
      <c r="A909" s="3">
        <v>45173</v>
      </c>
      <c r="B909" s="15" t="s">
        <v>28</v>
      </c>
      <c r="C909" s="16">
        <v>3</v>
      </c>
      <c r="D909" s="16">
        <v>23320</v>
      </c>
      <c r="E909" s="16">
        <v>22640</v>
      </c>
      <c r="F909" s="16">
        <v>680</v>
      </c>
      <c r="G909" s="16">
        <v>97</v>
      </c>
      <c r="H909" s="16">
        <v>32768</v>
      </c>
      <c r="I909" s="16">
        <v>2</v>
      </c>
      <c r="J909" s="15" t="s">
        <v>1</v>
      </c>
      <c r="K909" s="15" t="s">
        <v>10</v>
      </c>
      <c r="L909" s="8">
        <f>InterspecUsage[[#This Row],[Used-MB]]-F899</f>
        <v>-24</v>
      </c>
      <c r="M909">
        <f>InterspecUsage[[#This Row],[Max]]-InterspecUsage[[#This Row],[Used-MB]]</f>
        <v>32088</v>
      </c>
      <c r="N909" s="5">
        <f>IF($L909&gt;0,InterspecUsage[[#This Row],[Free-of-Max]]/InterspecUsage[[#This Row],[Usage-Delta-MB]],InterspecUsage[[#This Row],[Free-of-Max]])</f>
        <v>32088</v>
      </c>
    </row>
    <row r="910" spans="1:14" x14ac:dyDescent="0.25">
      <c r="A910" s="3">
        <v>45173</v>
      </c>
      <c r="B910" s="15" t="s">
        <v>25</v>
      </c>
      <c r="C910" s="16">
        <v>73</v>
      </c>
      <c r="D910" s="16">
        <v>12700</v>
      </c>
      <c r="E910" s="16">
        <v>3492</v>
      </c>
      <c r="F910" s="16">
        <v>9209</v>
      </c>
      <c r="G910" s="16">
        <v>27</v>
      </c>
      <c r="H910" s="16">
        <v>32768</v>
      </c>
      <c r="I910" s="16">
        <v>28</v>
      </c>
      <c r="J910" s="15" t="s">
        <v>1</v>
      </c>
      <c r="K910" s="15" t="s">
        <v>2</v>
      </c>
      <c r="L910" s="8">
        <f>InterspecUsage[[#This Row],[Used-MB]]-F900</f>
        <v>18</v>
      </c>
      <c r="M910">
        <f>InterspecUsage[[#This Row],[Max]]-InterspecUsage[[#This Row],[Used-MB]]</f>
        <v>23559</v>
      </c>
      <c r="N910" s="5">
        <f>IF($L910&gt;0,InterspecUsage[[#This Row],[Free-of-Max]]/InterspecUsage[[#This Row],[Usage-Delta-MB]],InterspecUsage[[#This Row],[Free-of-Max]])</f>
        <v>1308.8333333333333</v>
      </c>
    </row>
    <row r="911" spans="1:14" x14ac:dyDescent="0.25">
      <c r="A911" s="3">
        <v>45173</v>
      </c>
      <c r="B911" s="15" t="s">
        <v>29</v>
      </c>
      <c r="C911" s="16">
        <v>0</v>
      </c>
      <c r="D911" s="16">
        <v>500</v>
      </c>
      <c r="E911" s="16">
        <v>499</v>
      </c>
      <c r="F911" s="16">
        <v>1</v>
      </c>
      <c r="G911" s="16">
        <v>100</v>
      </c>
      <c r="H911" s="16">
        <v>500</v>
      </c>
      <c r="I911" s="16">
        <v>0</v>
      </c>
      <c r="J911" s="15" t="s">
        <v>1</v>
      </c>
      <c r="K911" s="15" t="s">
        <v>2</v>
      </c>
      <c r="L911" s="8">
        <f>InterspecUsage[[#This Row],[Used-MB]]-F901</f>
        <v>0</v>
      </c>
      <c r="M911">
        <f>InterspecUsage[[#This Row],[Max]]-InterspecUsage[[#This Row],[Used-MB]]</f>
        <v>499</v>
      </c>
      <c r="N911" s="5">
        <f>IF($L911&gt;0,InterspecUsage[[#This Row],[Free-of-Max]]/InterspecUsage[[#This Row],[Usage-Delta-MB]],InterspecUsage[[#This Row],[Free-of-Max]])</f>
        <v>499</v>
      </c>
    </row>
    <row r="912" spans="1:14" x14ac:dyDescent="0.25">
      <c r="A912" s="3">
        <v>45187</v>
      </c>
      <c r="B912" s="15" t="s">
        <v>26</v>
      </c>
      <c r="C912" s="16">
        <v>93</v>
      </c>
      <c r="D912" s="16">
        <v>22788</v>
      </c>
      <c r="E912" s="16">
        <v>1512</v>
      </c>
      <c r="F912" s="16">
        <v>21276</v>
      </c>
      <c r="G912" s="16">
        <v>7</v>
      </c>
      <c r="H912" s="16">
        <v>40960</v>
      </c>
      <c r="I912" s="16">
        <v>52</v>
      </c>
      <c r="J912" s="15" t="s">
        <v>1</v>
      </c>
      <c r="K912" s="15" t="s">
        <v>2</v>
      </c>
      <c r="L912" s="8">
        <f>InterspecUsage[[#This Row],[Used-MB]]-F902</f>
        <v>128</v>
      </c>
      <c r="M912">
        <f>InterspecUsage[[#This Row],[Max]]-InterspecUsage[[#This Row],[Used-MB]]</f>
        <v>19684</v>
      </c>
      <c r="N912" s="5">
        <f>IF($L912&gt;0,InterspecUsage[[#This Row],[Free-of-Max]]/InterspecUsage[[#This Row],[Usage-Delta-MB]],InterspecUsage[[#This Row],[Free-of-Max]])</f>
        <v>153.78125</v>
      </c>
    </row>
    <row r="913" spans="1:14" x14ac:dyDescent="0.25">
      <c r="A913" s="3">
        <v>45187</v>
      </c>
      <c r="B913" s="15" t="s">
        <v>24</v>
      </c>
      <c r="C913" s="16">
        <v>91</v>
      </c>
      <c r="D913" s="16">
        <v>18400</v>
      </c>
      <c r="E913" s="16">
        <v>1601</v>
      </c>
      <c r="F913" s="16">
        <v>16799</v>
      </c>
      <c r="G913" s="16">
        <v>9</v>
      </c>
      <c r="H913" s="16">
        <v>32768</v>
      </c>
      <c r="I913" s="16">
        <v>51</v>
      </c>
      <c r="J913" s="15" t="s">
        <v>1</v>
      </c>
      <c r="K913" s="15" t="s">
        <v>2</v>
      </c>
      <c r="L913" s="8">
        <f>InterspecUsage[[#This Row],[Used-MB]]-F903</f>
        <v>165</v>
      </c>
      <c r="M913">
        <f>InterspecUsage[[#This Row],[Max]]-InterspecUsage[[#This Row],[Used-MB]]</f>
        <v>15969</v>
      </c>
      <c r="N913" s="5">
        <f>IF($L913&gt;0,InterspecUsage[[#This Row],[Free-of-Max]]/InterspecUsage[[#This Row],[Usage-Delta-MB]],InterspecUsage[[#This Row],[Free-of-Max]])</f>
        <v>96.781818181818181</v>
      </c>
    </row>
    <row r="914" spans="1:14" x14ac:dyDescent="0.25">
      <c r="A914" s="3">
        <v>45187</v>
      </c>
      <c r="B914" s="15" t="s">
        <v>35</v>
      </c>
      <c r="C914" s="16">
        <v>96</v>
      </c>
      <c r="D914" s="16">
        <v>28200</v>
      </c>
      <c r="E914" s="16">
        <v>1188</v>
      </c>
      <c r="F914" s="16">
        <v>27012</v>
      </c>
      <c r="G914" s="16">
        <v>4</v>
      </c>
      <c r="H914" s="16">
        <v>32768</v>
      </c>
      <c r="I914" s="16">
        <v>82</v>
      </c>
      <c r="J914" s="15" t="s">
        <v>1</v>
      </c>
      <c r="K914" s="15" t="s">
        <v>2</v>
      </c>
      <c r="L914" s="8">
        <f>InterspecUsage[[#This Row],[Used-MB]]-F904</f>
        <v>128</v>
      </c>
      <c r="M914">
        <f>InterspecUsage[[#This Row],[Max]]-InterspecUsage[[#This Row],[Used-MB]]</f>
        <v>5756</v>
      </c>
      <c r="N914" s="5">
        <f>IF($L914&gt;0,InterspecUsage[[#This Row],[Free-of-Max]]/InterspecUsage[[#This Row],[Usage-Delta-MB]],InterspecUsage[[#This Row],[Free-of-Max]])</f>
        <v>44.96875</v>
      </c>
    </row>
    <row r="915" spans="1:14" x14ac:dyDescent="0.25">
      <c r="A915" s="3">
        <v>45187</v>
      </c>
      <c r="B915" s="15" t="s">
        <v>27</v>
      </c>
      <c r="C915" s="16">
        <v>85</v>
      </c>
      <c r="D915" s="16">
        <v>163840</v>
      </c>
      <c r="E915" s="16">
        <v>25083</v>
      </c>
      <c r="F915" s="16">
        <v>138757</v>
      </c>
      <c r="G915" s="16">
        <v>15</v>
      </c>
      <c r="H915" s="16">
        <v>163840</v>
      </c>
      <c r="I915" s="16">
        <v>85</v>
      </c>
      <c r="J915" s="15" t="s">
        <v>1</v>
      </c>
      <c r="K915" s="15" t="s">
        <v>2</v>
      </c>
      <c r="L915" s="8">
        <f>InterspecUsage[[#This Row],[Used-MB]]-F905</f>
        <v>781</v>
      </c>
      <c r="M915">
        <f>InterspecUsage[[#This Row],[Max]]-InterspecUsage[[#This Row],[Used-MB]]</f>
        <v>25083</v>
      </c>
      <c r="N915" s="5">
        <f>IF($L915&gt;0,InterspecUsage[[#This Row],[Free-of-Max]]/InterspecUsage[[#This Row],[Usage-Delta-MB]],InterspecUsage[[#This Row],[Free-of-Max]])</f>
        <v>32.116517285531373</v>
      </c>
    </row>
    <row r="916" spans="1:14" x14ac:dyDescent="0.25">
      <c r="A916" s="3">
        <v>45187</v>
      </c>
      <c r="B916" s="15" t="s">
        <v>7</v>
      </c>
      <c r="C916" s="16">
        <v>95</v>
      </c>
      <c r="D916" s="16">
        <v>1700</v>
      </c>
      <c r="E916" s="16">
        <v>87</v>
      </c>
      <c r="F916" s="16">
        <v>1613</v>
      </c>
      <c r="G916" s="16">
        <v>5</v>
      </c>
      <c r="H916" s="16">
        <v>32768</v>
      </c>
      <c r="I916" s="16">
        <v>5</v>
      </c>
      <c r="J916" s="15" t="s">
        <v>1</v>
      </c>
      <c r="K916" s="15" t="s">
        <v>2</v>
      </c>
      <c r="L916" s="8">
        <f>InterspecUsage[[#This Row],[Used-MB]]-F906</f>
        <v>17</v>
      </c>
      <c r="M916">
        <f>InterspecUsage[[#This Row],[Max]]-InterspecUsage[[#This Row],[Used-MB]]</f>
        <v>31155</v>
      </c>
      <c r="N916" s="5">
        <f>IF($L916&gt;0,InterspecUsage[[#This Row],[Free-of-Max]]/InterspecUsage[[#This Row],[Usage-Delta-MB]],InterspecUsage[[#This Row],[Free-of-Max]])</f>
        <v>1832.6470588235295</v>
      </c>
    </row>
    <row r="917" spans="1:14" x14ac:dyDescent="0.25">
      <c r="A917" s="3">
        <v>45187</v>
      </c>
      <c r="B917" s="15" t="s">
        <v>0</v>
      </c>
      <c r="C917" s="16">
        <v>99</v>
      </c>
      <c r="D917" s="16">
        <v>4190</v>
      </c>
      <c r="E917" s="16">
        <v>29</v>
      </c>
      <c r="F917" s="16">
        <v>4161</v>
      </c>
      <c r="G917" s="16">
        <v>1</v>
      </c>
      <c r="H917" s="16">
        <v>32768</v>
      </c>
      <c r="I917" s="16">
        <v>13</v>
      </c>
      <c r="J917" s="15" t="s">
        <v>1</v>
      </c>
      <c r="K917" s="15" t="s">
        <v>2</v>
      </c>
      <c r="L917" s="8">
        <f>InterspecUsage[[#This Row],[Used-MB]]-F907</f>
        <v>64</v>
      </c>
      <c r="M917">
        <f>InterspecUsage[[#This Row],[Max]]-InterspecUsage[[#This Row],[Used-MB]]</f>
        <v>28607</v>
      </c>
      <c r="N917" s="5">
        <f>IF($L917&gt;0,InterspecUsage[[#This Row],[Free-of-Max]]/InterspecUsage[[#This Row],[Usage-Delta-MB]],InterspecUsage[[#This Row],[Free-of-Max]])</f>
        <v>446.984375</v>
      </c>
    </row>
    <row r="918" spans="1:14" x14ac:dyDescent="0.25">
      <c r="A918" s="3">
        <v>45187</v>
      </c>
      <c r="B918" s="15" t="s">
        <v>30</v>
      </c>
      <c r="C918" s="16">
        <v>0</v>
      </c>
      <c r="D918" s="16">
        <v>32767</v>
      </c>
      <c r="E918" s="16">
        <v>32749</v>
      </c>
      <c r="F918" s="16">
        <v>18</v>
      </c>
      <c r="G918" s="16">
        <v>100</v>
      </c>
      <c r="H918" s="16">
        <v>32768</v>
      </c>
      <c r="I918" s="16">
        <v>0</v>
      </c>
      <c r="J918" s="15" t="s">
        <v>1</v>
      </c>
      <c r="K918" s="15" t="s">
        <v>13</v>
      </c>
      <c r="L918" s="8">
        <f>InterspecUsage[[#This Row],[Used-MB]]-F908</f>
        <v>9</v>
      </c>
      <c r="M918">
        <f>InterspecUsage[[#This Row],[Max]]-InterspecUsage[[#This Row],[Used-MB]]</f>
        <v>32750</v>
      </c>
      <c r="N918" s="5">
        <f>IF($L918&gt;0,InterspecUsage[[#This Row],[Free-of-Max]]/InterspecUsage[[#This Row],[Usage-Delta-MB]],InterspecUsage[[#This Row],[Free-of-Max]])</f>
        <v>3638.8888888888887</v>
      </c>
    </row>
    <row r="919" spans="1:14" x14ac:dyDescent="0.25">
      <c r="A919" s="3">
        <v>45187</v>
      </c>
      <c r="B919" s="15" t="s">
        <v>28</v>
      </c>
      <c r="C919" s="16">
        <v>3</v>
      </c>
      <c r="D919" s="16">
        <v>23320</v>
      </c>
      <c r="E919" s="16">
        <v>22528</v>
      </c>
      <c r="F919" s="16">
        <v>792</v>
      </c>
      <c r="G919" s="16">
        <v>97</v>
      </c>
      <c r="H919" s="16">
        <v>32768</v>
      </c>
      <c r="I919" s="16">
        <v>2</v>
      </c>
      <c r="J919" s="15" t="s">
        <v>1</v>
      </c>
      <c r="K919" s="15" t="s">
        <v>10</v>
      </c>
      <c r="L919" s="8">
        <f>InterspecUsage[[#This Row],[Used-MB]]-F909</f>
        <v>112</v>
      </c>
      <c r="M919">
        <f>InterspecUsage[[#This Row],[Max]]-InterspecUsage[[#This Row],[Used-MB]]</f>
        <v>31976</v>
      </c>
      <c r="N919" s="5">
        <f>IF($L919&gt;0,InterspecUsage[[#This Row],[Free-of-Max]]/InterspecUsage[[#This Row],[Usage-Delta-MB]],InterspecUsage[[#This Row],[Free-of-Max]])</f>
        <v>285.5</v>
      </c>
    </row>
    <row r="920" spans="1:14" x14ac:dyDescent="0.25">
      <c r="A920" s="3">
        <v>45187</v>
      </c>
      <c r="B920" s="15" t="s">
        <v>25</v>
      </c>
      <c r="C920" s="16">
        <v>73</v>
      </c>
      <c r="D920" s="16">
        <v>12700</v>
      </c>
      <c r="E920" s="16">
        <v>3459</v>
      </c>
      <c r="F920" s="16">
        <v>9242</v>
      </c>
      <c r="G920" s="16">
        <v>27</v>
      </c>
      <c r="H920" s="16">
        <v>32768</v>
      </c>
      <c r="I920" s="16">
        <v>28</v>
      </c>
      <c r="J920" s="15" t="s">
        <v>1</v>
      </c>
      <c r="K920" s="15" t="s">
        <v>2</v>
      </c>
      <c r="L920" s="8">
        <f>InterspecUsage[[#This Row],[Used-MB]]-F910</f>
        <v>33</v>
      </c>
      <c r="M920">
        <f>InterspecUsage[[#This Row],[Max]]-InterspecUsage[[#This Row],[Used-MB]]</f>
        <v>23526</v>
      </c>
      <c r="N920" s="5">
        <f>IF($L920&gt;0,InterspecUsage[[#This Row],[Free-of-Max]]/InterspecUsage[[#This Row],[Usage-Delta-MB]],InterspecUsage[[#This Row],[Free-of-Max]])</f>
        <v>712.90909090909088</v>
      </c>
    </row>
    <row r="921" spans="1:14" x14ac:dyDescent="0.25">
      <c r="A921" s="3">
        <v>45187</v>
      </c>
      <c r="B921" s="15" t="s">
        <v>29</v>
      </c>
      <c r="C921" s="16">
        <v>0</v>
      </c>
      <c r="D921" s="16">
        <v>500</v>
      </c>
      <c r="E921" s="16">
        <v>499</v>
      </c>
      <c r="F921" s="16">
        <v>1</v>
      </c>
      <c r="G921" s="16">
        <v>100</v>
      </c>
      <c r="H921" s="16">
        <v>500</v>
      </c>
      <c r="I921" s="16">
        <v>0</v>
      </c>
      <c r="J921" s="15" t="s">
        <v>1</v>
      </c>
      <c r="K921" s="15" t="s">
        <v>2</v>
      </c>
      <c r="L921" s="8">
        <f>InterspecUsage[[#This Row],[Used-MB]]-F911</f>
        <v>0</v>
      </c>
      <c r="M921">
        <f>InterspecUsage[[#This Row],[Max]]-InterspecUsage[[#This Row],[Used-MB]]</f>
        <v>499</v>
      </c>
      <c r="N921" s="5">
        <f>IF($L921&gt;0,InterspecUsage[[#This Row],[Free-of-Max]]/InterspecUsage[[#This Row],[Usage-Delta-MB]],InterspecUsage[[#This Row],[Free-of-Max]])</f>
        <v>499</v>
      </c>
    </row>
    <row r="922" spans="1:14" x14ac:dyDescent="0.25">
      <c r="A922" s="3">
        <v>45194</v>
      </c>
      <c r="B922" s="15" t="s">
        <v>26</v>
      </c>
      <c r="C922" s="16">
        <v>93</v>
      </c>
      <c r="D922" s="16">
        <v>22788</v>
      </c>
      <c r="E922" s="16">
        <v>1512</v>
      </c>
      <c r="F922" s="16">
        <v>21276</v>
      </c>
      <c r="G922" s="16">
        <v>7</v>
      </c>
      <c r="H922" s="16">
        <v>40960</v>
      </c>
      <c r="I922" s="16">
        <v>52</v>
      </c>
      <c r="J922" s="15" t="s">
        <v>1</v>
      </c>
      <c r="K922" s="15" t="s">
        <v>2</v>
      </c>
      <c r="L922" s="8">
        <f>InterspecUsage[[#This Row],[Used-MB]]-F912</f>
        <v>0</v>
      </c>
      <c r="M922">
        <f>InterspecUsage[[#This Row],[Max]]-InterspecUsage[[#This Row],[Used-MB]]</f>
        <v>19684</v>
      </c>
      <c r="N922" s="5">
        <f>IF($L922&gt;0,InterspecUsage[[#This Row],[Free-of-Max]]/InterspecUsage[[#This Row],[Usage-Delta-MB]],InterspecUsage[[#This Row],[Free-of-Max]])</f>
        <v>19684</v>
      </c>
    </row>
    <row r="923" spans="1:14" x14ac:dyDescent="0.25">
      <c r="A923" s="3">
        <v>45194</v>
      </c>
      <c r="B923" s="15" t="s">
        <v>24</v>
      </c>
      <c r="C923" s="16">
        <v>91</v>
      </c>
      <c r="D923" s="16">
        <v>18400</v>
      </c>
      <c r="E923" s="16">
        <v>1567</v>
      </c>
      <c r="F923" s="16">
        <v>16833</v>
      </c>
      <c r="G923" s="16">
        <v>9</v>
      </c>
      <c r="H923" s="16">
        <v>32768</v>
      </c>
      <c r="I923" s="16">
        <v>51</v>
      </c>
      <c r="J923" s="15" t="s">
        <v>1</v>
      </c>
      <c r="K923" s="15" t="s">
        <v>2</v>
      </c>
      <c r="L923" s="8">
        <f>InterspecUsage[[#This Row],[Used-MB]]-F913</f>
        <v>34</v>
      </c>
      <c r="M923">
        <f>InterspecUsage[[#This Row],[Max]]-InterspecUsage[[#This Row],[Used-MB]]</f>
        <v>15935</v>
      </c>
      <c r="N923" s="5">
        <f>IF($L923&gt;0,InterspecUsage[[#This Row],[Free-of-Max]]/InterspecUsage[[#This Row],[Usage-Delta-MB]],InterspecUsage[[#This Row],[Free-of-Max]])</f>
        <v>468.6764705882353</v>
      </c>
    </row>
    <row r="924" spans="1:14" x14ac:dyDescent="0.25">
      <c r="A924" s="3">
        <v>45194</v>
      </c>
      <c r="B924" s="15" t="s">
        <v>35</v>
      </c>
      <c r="C924" s="16">
        <v>96</v>
      </c>
      <c r="D924" s="16">
        <v>28200</v>
      </c>
      <c r="E924" s="16">
        <v>1124</v>
      </c>
      <c r="F924" s="16">
        <v>27076</v>
      </c>
      <c r="G924" s="16">
        <v>4</v>
      </c>
      <c r="H924" s="16">
        <v>32768</v>
      </c>
      <c r="I924" s="16">
        <v>83</v>
      </c>
      <c r="J924" s="15" t="s">
        <v>1</v>
      </c>
      <c r="K924" s="15" t="s">
        <v>2</v>
      </c>
      <c r="L924" s="8">
        <f>InterspecUsage[[#This Row],[Used-MB]]-F914</f>
        <v>64</v>
      </c>
      <c r="M924">
        <f>InterspecUsage[[#This Row],[Max]]-InterspecUsage[[#This Row],[Used-MB]]</f>
        <v>5692</v>
      </c>
      <c r="N924" s="5">
        <f>IF($L924&gt;0,InterspecUsage[[#This Row],[Free-of-Max]]/InterspecUsage[[#This Row],[Usage-Delta-MB]],InterspecUsage[[#This Row],[Free-of-Max]])</f>
        <v>88.9375</v>
      </c>
    </row>
    <row r="925" spans="1:14" x14ac:dyDescent="0.25">
      <c r="A925" s="3">
        <v>45194</v>
      </c>
      <c r="B925" s="15" t="s">
        <v>27</v>
      </c>
      <c r="C925" s="16">
        <v>85</v>
      </c>
      <c r="D925" s="16">
        <v>163840</v>
      </c>
      <c r="E925" s="16">
        <v>24840</v>
      </c>
      <c r="F925" s="16">
        <v>139000</v>
      </c>
      <c r="G925" s="16">
        <v>15</v>
      </c>
      <c r="H925" s="16">
        <v>163840</v>
      </c>
      <c r="I925" s="16">
        <v>85</v>
      </c>
      <c r="J925" s="15" t="s">
        <v>1</v>
      </c>
      <c r="K925" s="15" t="s">
        <v>2</v>
      </c>
      <c r="L925" s="8">
        <f>InterspecUsage[[#This Row],[Used-MB]]-F915</f>
        <v>243</v>
      </c>
      <c r="M925">
        <f>InterspecUsage[[#This Row],[Max]]-InterspecUsage[[#This Row],[Used-MB]]</f>
        <v>24840</v>
      </c>
      <c r="N925" s="5">
        <f>IF($L925&gt;0,InterspecUsage[[#This Row],[Free-of-Max]]/InterspecUsage[[#This Row],[Usage-Delta-MB]],InterspecUsage[[#This Row],[Free-of-Max]])</f>
        <v>102.22222222222223</v>
      </c>
    </row>
    <row r="926" spans="1:14" x14ac:dyDescent="0.25">
      <c r="A926" s="3">
        <v>45194</v>
      </c>
      <c r="B926" s="15" t="s">
        <v>7</v>
      </c>
      <c r="C926" s="16">
        <v>95</v>
      </c>
      <c r="D926" s="16">
        <v>1700</v>
      </c>
      <c r="E926" s="16">
        <v>78</v>
      </c>
      <c r="F926" s="16">
        <v>1622</v>
      </c>
      <c r="G926" s="16">
        <v>5</v>
      </c>
      <c r="H926" s="16">
        <v>32768</v>
      </c>
      <c r="I926" s="16">
        <v>5</v>
      </c>
      <c r="J926" s="15" t="s">
        <v>1</v>
      </c>
      <c r="K926" s="15" t="s">
        <v>2</v>
      </c>
      <c r="L926" s="8">
        <f>InterspecUsage[[#This Row],[Used-MB]]-F916</f>
        <v>9</v>
      </c>
      <c r="M926">
        <f>InterspecUsage[[#This Row],[Max]]-InterspecUsage[[#This Row],[Used-MB]]</f>
        <v>31146</v>
      </c>
      <c r="N926" s="5">
        <f>IF($L926&gt;0,InterspecUsage[[#This Row],[Free-of-Max]]/InterspecUsage[[#This Row],[Usage-Delta-MB]],InterspecUsage[[#This Row],[Free-of-Max]])</f>
        <v>3460.6666666666665</v>
      </c>
    </row>
    <row r="927" spans="1:14" x14ac:dyDescent="0.25">
      <c r="A927" s="3">
        <v>45194</v>
      </c>
      <c r="B927" s="15" t="s">
        <v>0</v>
      </c>
      <c r="C927" s="16">
        <v>99</v>
      </c>
      <c r="D927" s="16">
        <v>4190</v>
      </c>
      <c r="E927" s="16">
        <v>29</v>
      </c>
      <c r="F927" s="16">
        <v>4161</v>
      </c>
      <c r="G927" s="16">
        <v>1</v>
      </c>
      <c r="H927" s="16">
        <v>32768</v>
      </c>
      <c r="I927" s="16">
        <v>13</v>
      </c>
      <c r="J927" s="15" t="s">
        <v>1</v>
      </c>
      <c r="K927" s="15" t="s">
        <v>2</v>
      </c>
      <c r="L927" s="8">
        <f>InterspecUsage[[#This Row],[Used-MB]]-F917</f>
        <v>0</v>
      </c>
      <c r="M927">
        <f>InterspecUsage[[#This Row],[Max]]-InterspecUsage[[#This Row],[Used-MB]]</f>
        <v>28607</v>
      </c>
      <c r="N927" s="5">
        <f>IF($L927&gt;0,InterspecUsage[[#This Row],[Free-of-Max]]/InterspecUsage[[#This Row],[Usage-Delta-MB]],InterspecUsage[[#This Row],[Free-of-Max]])</f>
        <v>28607</v>
      </c>
    </row>
    <row r="928" spans="1:14" x14ac:dyDescent="0.25">
      <c r="A928" s="3">
        <v>45194</v>
      </c>
      <c r="B928" s="15" t="s">
        <v>30</v>
      </c>
      <c r="C928" s="16">
        <v>0</v>
      </c>
      <c r="D928" s="16">
        <v>32767</v>
      </c>
      <c r="E928" s="16">
        <v>32754</v>
      </c>
      <c r="F928" s="16">
        <v>13</v>
      </c>
      <c r="G928" s="16">
        <v>100</v>
      </c>
      <c r="H928" s="16">
        <v>32768</v>
      </c>
      <c r="I928" s="16">
        <v>0</v>
      </c>
      <c r="J928" s="15" t="s">
        <v>1</v>
      </c>
      <c r="K928" s="15" t="s">
        <v>13</v>
      </c>
      <c r="L928" s="8">
        <f>InterspecUsage[[#This Row],[Used-MB]]-F918</f>
        <v>-5</v>
      </c>
      <c r="M928">
        <f>InterspecUsage[[#This Row],[Max]]-InterspecUsage[[#This Row],[Used-MB]]</f>
        <v>32755</v>
      </c>
      <c r="N928" s="5">
        <f>IF($L928&gt;0,InterspecUsage[[#This Row],[Free-of-Max]]/InterspecUsage[[#This Row],[Usage-Delta-MB]],InterspecUsage[[#This Row],[Free-of-Max]])</f>
        <v>32755</v>
      </c>
    </row>
    <row r="929" spans="1:14" x14ac:dyDescent="0.25">
      <c r="A929" s="3">
        <v>45194</v>
      </c>
      <c r="B929" s="15" t="s">
        <v>28</v>
      </c>
      <c r="C929" s="16">
        <v>7</v>
      </c>
      <c r="D929" s="16">
        <v>23320</v>
      </c>
      <c r="E929" s="16">
        <v>21732</v>
      </c>
      <c r="F929" s="16">
        <v>1588</v>
      </c>
      <c r="G929" s="16">
        <v>93</v>
      </c>
      <c r="H929" s="16">
        <v>32768</v>
      </c>
      <c r="I929" s="16">
        <v>5</v>
      </c>
      <c r="J929" s="15" t="s">
        <v>1</v>
      </c>
      <c r="K929" s="15" t="s">
        <v>10</v>
      </c>
      <c r="L929" s="8">
        <f>InterspecUsage[[#This Row],[Used-MB]]-F919</f>
        <v>796</v>
      </c>
      <c r="M929">
        <f>InterspecUsage[[#This Row],[Max]]-InterspecUsage[[#This Row],[Used-MB]]</f>
        <v>31180</v>
      </c>
      <c r="N929" s="5">
        <f>IF($L929&gt;0,InterspecUsage[[#This Row],[Free-of-Max]]/InterspecUsage[[#This Row],[Usage-Delta-MB]],InterspecUsage[[#This Row],[Free-of-Max]])</f>
        <v>39.170854271356781</v>
      </c>
    </row>
    <row r="930" spans="1:14" x14ac:dyDescent="0.25">
      <c r="A930" s="3">
        <v>45194</v>
      </c>
      <c r="B930" s="15" t="s">
        <v>25</v>
      </c>
      <c r="C930" s="16">
        <v>73</v>
      </c>
      <c r="D930" s="16">
        <v>12700</v>
      </c>
      <c r="E930" s="16">
        <v>3449</v>
      </c>
      <c r="F930" s="16">
        <v>9251</v>
      </c>
      <c r="G930" s="16">
        <v>27</v>
      </c>
      <c r="H930" s="16">
        <v>32768</v>
      </c>
      <c r="I930" s="16">
        <v>28</v>
      </c>
      <c r="J930" s="15" t="s">
        <v>1</v>
      </c>
      <c r="K930" s="15" t="s">
        <v>2</v>
      </c>
      <c r="L930" s="8">
        <f>InterspecUsage[[#This Row],[Used-MB]]-F920</f>
        <v>9</v>
      </c>
      <c r="M930">
        <f>InterspecUsage[[#This Row],[Max]]-InterspecUsage[[#This Row],[Used-MB]]</f>
        <v>23517</v>
      </c>
      <c r="N930" s="5">
        <f>IF($L930&gt;0,InterspecUsage[[#This Row],[Free-of-Max]]/InterspecUsage[[#This Row],[Usage-Delta-MB]],InterspecUsage[[#This Row],[Free-of-Max]])</f>
        <v>2613</v>
      </c>
    </row>
    <row r="931" spans="1:14" x14ac:dyDescent="0.25">
      <c r="A931" s="3">
        <v>45194</v>
      </c>
      <c r="B931" s="15" t="s">
        <v>29</v>
      </c>
      <c r="C931" s="16">
        <v>0</v>
      </c>
      <c r="D931" s="16">
        <v>500</v>
      </c>
      <c r="E931" s="16">
        <v>499</v>
      </c>
      <c r="F931" s="16">
        <v>1</v>
      </c>
      <c r="G931" s="16">
        <v>100</v>
      </c>
      <c r="H931" s="16">
        <v>500</v>
      </c>
      <c r="I931" s="16">
        <v>0</v>
      </c>
      <c r="J931" s="15" t="s">
        <v>1</v>
      </c>
      <c r="K931" s="15" t="s">
        <v>2</v>
      </c>
      <c r="L931" s="8">
        <f>InterspecUsage[[#This Row],[Used-MB]]-F921</f>
        <v>0</v>
      </c>
      <c r="M931">
        <f>InterspecUsage[[#This Row],[Max]]-InterspecUsage[[#This Row],[Used-MB]]</f>
        <v>499</v>
      </c>
      <c r="N931" s="5">
        <f>IF($L931&gt;0,InterspecUsage[[#This Row],[Free-of-Max]]/InterspecUsage[[#This Row],[Usage-Delta-MB]],InterspecUsage[[#This Row],[Free-of-Max]])</f>
        <v>499</v>
      </c>
    </row>
    <row r="932" spans="1:14" x14ac:dyDescent="0.25">
      <c r="A932" s="3">
        <v>45201</v>
      </c>
      <c r="B932" s="15" t="s">
        <v>26</v>
      </c>
      <c r="C932" s="16">
        <v>94</v>
      </c>
      <c r="D932" s="16">
        <v>22788</v>
      </c>
      <c r="E932" s="16">
        <v>1448</v>
      </c>
      <c r="F932" s="16">
        <v>21340</v>
      </c>
      <c r="G932" s="16">
        <v>6</v>
      </c>
      <c r="H932" s="16">
        <v>40960</v>
      </c>
      <c r="I932" s="16">
        <v>52</v>
      </c>
      <c r="J932" s="15" t="s">
        <v>1</v>
      </c>
      <c r="K932" s="15" t="s">
        <v>2</v>
      </c>
      <c r="L932" s="8">
        <f>InterspecUsage[[#This Row],[Used-MB]]-F922</f>
        <v>64</v>
      </c>
      <c r="M932">
        <f>InterspecUsage[[#This Row],[Max]]-InterspecUsage[[#This Row],[Used-MB]]</f>
        <v>19620</v>
      </c>
      <c r="N932" s="5">
        <f>IF($L932&gt;0,InterspecUsage[[#This Row],[Free-of-Max]]/InterspecUsage[[#This Row],[Usage-Delta-MB]],InterspecUsage[[#This Row],[Free-of-Max]])</f>
        <v>306.5625</v>
      </c>
    </row>
    <row r="933" spans="1:14" x14ac:dyDescent="0.25">
      <c r="A933" s="3">
        <v>45201</v>
      </c>
      <c r="B933" s="15" t="s">
        <v>24</v>
      </c>
      <c r="C933" s="16">
        <v>92</v>
      </c>
      <c r="D933" s="16">
        <v>18400</v>
      </c>
      <c r="E933" s="16">
        <v>1525</v>
      </c>
      <c r="F933" s="16">
        <v>16875</v>
      </c>
      <c r="G933" s="16">
        <v>8</v>
      </c>
      <c r="H933" s="16">
        <v>32768</v>
      </c>
      <c r="I933" s="16">
        <v>51</v>
      </c>
      <c r="J933" s="15" t="s">
        <v>1</v>
      </c>
      <c r="K933" s="15" t="s">
        <v>2</v>
      </c>
      <c r="L933" s="8">
        <f>InterspecUsage[[#This Row],[Used-MB]]-F923</f>
        <v>42</v>
      </c>
      <c r="M933">
        <f>InterspecUsage[[#This Row],[Max]]-InterspecUsage[[#This Row],[Used-MB]]</f>
        <v>15893</v>
      </c>
      <c r="N933" s="5">
        <f>IF($L933&gt;0,InterspecUsage[[#This Row],[Free-of-Max]]/InterspecUsage[[#This Row],[Usage-Delta-MB]],InterspecUsage[[#This Row],[Free-of-Max]])</f>
        <v>378.40476190476193</v>
      </c>
    </row>
    <row r="934" spans="1:14" x14ac:dyDescent="0.25">
      <c r="A934" s="3">
        <v>45201</v>
      </c>
      <c r="B934" s="15" t="s">
        <v>35</v>
      </c>
      <c r="C934" s="16">
        <v>96</v>
      </c>
      <c r="D934" s="16">
        <v>28200</v>
      </c>
      <c r="E934" s="16">
        <v>1124</v>
      </c>
      <c r="F934" s="16">
        <v>27076</v>
      </c>
      <c r="G934" s="16">
        <v>4</v>
      </c>
      <c r="H934" s="16">
        <v>32768</v>
      </c>
      <c r="I934" s="16">
        <v>83</v>
      </c>
      <c r="J934" s="15" t="s">
        <v>1</v>
      </c>
      <c r="K934" s="15" t="s">
        <v>2</v>
      </c>
      <c r="L934" s="8">
        <f>InterspecUsage[[#This Row],[Used-MB]]-F924</f>
        <v>0</v>
      </c>
      <c r="M934">
        <f>InterspecUsage[[#This Row],[Max]]-InterspecUsage[[#This Row],[Used-MB]]</f>
        <v>5692</v>
      </c>
      <c r="N934" s="5">
        <f>IF($L934&gt;0,InterspecUsage[[#This Row],[Free-of-Max]]/InterspecUsage[[#This Row],[Usage-Delta-MB]],InterspecUsage[[#This Row],[Free-of-Max]])</f>
        <v>5692</v>
      </c>
    </row>
    <row r="935" spans="1:14" x14ac:dyDescent="0.25">
      <c r="A935" s="3">
        <v>45201</v>
      </c>
      <c r="B935" s="15" t="s">
        <v>27</v>
      </c>
      <c r="C935" s="16">
        <v>85</v>
      </c>
      <c r="D935" s="16">
        <v>163840</v>
      </c>
      <c r="E935" s="16">
        <v>24582</v>
      </c>
      <c r="F935" s="16">
        <v>139258</v>
      </c>
      <c r="G935" s="16">
        <v>15</v>
      </c>
      <c r="H935" s="16">
        <v>163840</v>
      </c>
      <c r="I935" s="16">
        <v>85</v>
      </c>
      <c r="J935" s="15" t="s">
        <v>1</v>
      </c>
      <c r="K935" s="15" t="s">
        <v>2</v>
      </c>
      <c r="L935" s="8">
        <f>InterspecUsage[[#This Row],[Used-MB]]-F925</f>
        <v>258</v>
      </c>
      <c r="M935">
        <f>InterspecUsage[[#This Row],[Max]]-InterspecUsage[[#This Row],[Used-MB]]</f>
        <v>24582</v>
      </c>
      <c r="N935" s="5">
        <f>IF($L935&gt;0,InterspecUsage[[#This Row],[Free-of-Max]]/InterspecUsage[[#This Row],[Usage-Delta-MB]],InterspecUsage[[#This Row],[Free-of-Max]])</f>
        <v>95.279069767441854</v>
      </c>
    </row>
    <row r="936" spans="1:14" x14ac:dyDescent="0.25">
      <c r="A936" s="3">
        <v>45201</v>
      </c>
      <c r="B936" s="15" t="s">
        <v>7</v>
      </c>
      <c r="C936" s="16">
        <v>95</v>
      </c>
      <c r="D936" s="16">
        <v>1700</v>
      </c>
      <c r="E936" s="16">
        <v>79</v>
      </c>
      <c r="F936" s="16">
        <v>1621</v>
      </c>
      <c r="G936" s="16">
        <v>5</v>
      </c>
      <c r="H936" s="16">
        <v>32768</v>
      </c>
      <c r="I936" s="16">
        <v>5</v>
      </c>
      <c r="J936" s="15" t="s">
        <v>1</v>
      </c>
      <c r="K936" s="15" t="s">
        <v>2</v>
      </c>
      <c r="L936" s="8">
        <f>InterspecUsage[[#This Row],[Used-MB]]-F926</f>
        <v>-1</v>
      </c>
      <c r="M936">
        <f>InterspecUsage[[#This Row],[Max]]-InterspecUsage[[#This Row],[Used-MB]]</f>
        <v>31147</v>
      </c>
      <c r="N936" s="5">
        <f>IF($L936&gt;0,InterspecUsage[[#This Row],[Free-of-Max]]/InterspecUsage[[#This Row],[Usage-Delta-MB]],InterspecUsage[[#This Row],[Free-of-Max]])</f>
        <v>31147</v>
      </c>
    </row>
    <row r="937" spans="1:14" x14ac:dyDescent="0.25">
      <c r="A937" s="3">
        <v>45201</v>
      </c>
      <c r="B937" s="15" t="s">
        <v>0</v>
      </c>
      <c r="C937" s="16">
        <v>99</v>
      </c>
      <c r="D937" s="16">
        <v>4190</v>
      </c>
      <c r="E937" s="16">
        <v>29</v>
      </c>
      <c r="F937" s="16">
        <v>4161</v>
      </c>
      <c r="G937" s="16">
        <v>1</v>
      </c>
      <c r="H937" s="16">
        <v>32768</v>
      </c>
      <c r="I937" s="16">
        <v>13</v>
      </c>
      <c r="J937" s="15" t="s">
        <v>1</v>
      </c>
      <c r="K937" s="15" t="s">
        <v>2</v>
      </c>
      <c r="L937" s="8">
        <f>InterspecUsage[[#This Row],[Used-MB]]-F927</f>
        <v>0</v>
      </c>
      <c r="M937">
        <f>InterspecUsage[[#This Row],[Max]]-InterspecUsage[[#This Row],[Used-MB]]</f>
        <v>28607</v>
      </c>
      <c r="N937" s="5">
        <f>IF($L937&gt;0,InterspecUsage[[#This Row],[Free-of-Max]]/InterspecUsage[[#This Row],[Usage-Delta-MB]],InterspecUsage[[#This Row],[Free-of-Max]])</f>
        <v>28607</v>
      </c>
    </row>
    <row r="938" spans="1:14" x14ac:dyDescent="0.25">
      <c r="A938" s="3">
        <v>45201</v>
      </c>
      <c r="B938" s="15" t="s">
        <v>30</v>
      </c>
      <c r="C938" s="16">
        <v>0</v>
      </c>
      <c r="D938" s="16">
        <v>32767</v>
      </c>
      <c r="E938" s="16">
        <v>32753</v>
      </c>
      <c r="F938" s="16">
        <v>14</v>
      </c>
      <c r="G938" s="16">
        <v>100</v>
      </c>
      <c r="H938" s="16">
        <v>32768</v>
      </c>
      <c r="I938" s="16">
        <v>0</v>
      </c>
      <c r="J938" s="15" t="s">
        <v>1</v>
      </c>
      <c r="K938" s="15" t="s">
        <v>13</v>
      </c>
      <c r="L938" s="8">
        <f>InterspecUsage[[#This Row],[Used-MB]]-F928</f>
        <v>1</v>
      </c>
      <c r="M938">
        <f>InterspecUsage[[#This Row],[Max]]-InterspecUsage[[#This Row],[Used-MB]]</f>
        <v>32754</v>
      </c>
      <c r="N938" s="5">
        <f>IF($L938&gt;0,InterspecUsage[[#This Row],[Free-of-Max]]/InterspecUsage[[#This Row],[Usage-Delta-MB]],InterspecUsage[[#This Row],[Free-of-Max]])</f>
        <v>32754</v>
      </c>
    </row>
    <row r="939" spans="1:14" x14ac:dyDescent="0.25">
      <c r="A939" s="3">
        <v>45201</v>
      </c>
      <c r="B939" s="15" t="s">
        <v>28</v>
      </c>
      <c r="C939" s="16">
        <v>3</v>
      </c>
      <c r="D939" s="16">
        <v>23320</v>
      </c>
      <c r="E939" s="16">
        <v>22608</v>
      </c>
      <c r="F939" s="16">
        <v>712</v>
      </c>
      <c r="G939" s="16">
        <v>97</v>
      </c>
      <c r="H939" s="16">
        <v>32768</v>
      </c>
      <c r="I939" s="16">
        <v>2</v>
      </c>
      <c r="J939" s="15" t="s">
        <v>1</v>
      </c>
      <c r="K939" s="15" t="s">
        <v>10</v>
      </c>
      <c r="L939" s="8">
        <f>InterspecUsage[[#This Row],[Used-MB]]-F929</f>
        <v>-876</v>
      </c>
      <c r="M939">
        <f>InterspecUsage[[#This Row],[Max]]-InterspecUsage[[#This Row],[Used-MB]]</f>
        <v>32056</v>
      </c>
      <c r="N939" s="5">
        <f>IF($L939&gt;0,InterspecUsage[[#This Row],[Free-of-Max]]/InterspecUsage[[#This Row],[Usage-Delta-MB]],InterspecUsage[[#This Row],[Free-of-Max]])</f>
        <v>32056</v>
      </c>
    </row>
    <row r="940" spans="1:14" x14ac:dyDescent="0.25">
      <c r="A940" s="3">
        <v>45201</v>
      </c>
      <c r="B940" s="15" t="s">
        <v>25</v>
      </c>
      <c r="C940" s="16">
        <v>73</v>
      </c>
      <c r="D940" s="16">
        <v>12700</v>
      </c>
      <c r="E940" s="16">
        <v>3424</v>
      </c>
      <c r="F940" s="16">
        <v>9276</v>
      </c>
      <c r="G940" s="16">
        <v>27</v>
      </c>
      <c r="H940" s="16">
        <v>32768</v>
      </c>
      <c r="I940" s="16">
        <v>28</v>
      </c>
      <c r="J940" s="15" t="s">
        <v>1</v>
      </c>
      <c r="K940" s="15" t="s">
        <v>2</v>
      </c>
      <c r="L940" s="8">
        <f>InterspecUsage[[#This Row],[Used-MB]]-F930</f>
        <v>25</v>
      </c>
      <c r="M940">
        <f>InterspecUsage[[#This Row],[Max]]-InterspecUsage[[#This Row],[Used-MB]]</f>
        <v>23492</v>
      </c>
      <c r="N940" s="5">
        <f>IF($L940&gt;0,InterspecUsage[[#This Row],[Free-of-Max]]/InterspecUsage[[#This Row],[Usage-Delta-MB]],InterspecUsage[[#This Row],[Free-of-Max]])</f>
        <v>939.68</v>
      </c>
    </row>
    <row r="941" spans="1:14" x14ac:dyDescent="0.25">
      <c r="A941" s="3">
        <v>45201</v>
      </c>
      <c r="B941" s="15" t="s">
        <v>29</v>
      </c>
      <c r="C941" s="16">
        <v>0</v>
      </c>
      <c r="D941" s="16">
        <v>500</v>
      </c>
      <c r="E941" s="16">
        <v>499</v>
      </c>
      <c r="F941" s="16">
        <v>1</v>
      </c>
      <c r="G941" s="16">
        <v>100</v>
      </c>
      <c r="H941" s="16">
        <v>500</v>
      </c>
      <c r="I941" s="16">
        <v>0</v>
      </c>
      <c r="J941" s="15" t="s">
        <v>1</v>
      </c>
      <c r="K941" s="15" t="s">
        <v>2</v>
      </c>
      <c r="L941" s="8">
        <f>InterspecUsage[[#This Row],[Used-MB]]-F931</f>
        <v>0</v>
      </c>
      <c r="M941">
        <f>InterspecUsage[[#This Row],[Max]]-InterspecUsage[[#This Row],[Used-MB]]</f>
        <v>499</v>
      </c>
      <c r="N941" s="5">
        <f>IF($L941&gt;0,InterspecUsage[[#This Row],[Free-of-Max]]/InterspecUsage[[#This Row],[Usage-Delta-MB]],InterspecUsage[[#This Row],[Free-of-Max]])</f>
        <v>499</v>
      </c>
    </row>
    <row r="942" spans="1:14" x14ac:dyDescent="0.25">
      <c r="A942" s="3">
        <v>45208</v>
      </c>
      <c r="B942" s="15" t="s">
        <v>26</v>
      </c>
      <c r="C942" s="16">
        <v>94</v>
      </c>
      <c r="D942" s="16">
        <v>22788</v>
      </c>
      <c r="E942" s="16">
        <v>1383</v>
      </c>
      <c r="F942" s="16">
        <v>21405</v>
      </c>
      <c r="G942" s="16">
        <v>6</v>
      </c>
      <c r="H942" s="16">
        <v>40960</v>
      </c>
      <c r="I942" s="16">
        <v>52</v>
      </c>
      <c r="J942" s="15" t="s">
        <v>1</v>
      </c>
      <c r="K942" s="15" t="s">
        <v>2</v>
      </c>
      <c r="L942" s="8">
        <f>InterspecUsage[[#This Row],[Used-MB]]-F932</f>
        <v>65</v>
      </c>
      <c r="M942">
        <f>InterspecUsage[[#This Row],[Max]]-InterspecUsage[[#This Row],[Used-MB]]</f>
        <v>19555</v>
      </c>
      <c r="N942" s="5">
        <f>IF($L942&gt;0,InterspecUsage[[#This Row],[Free-of-Max]]/InterspecUsage[[#This Row],[Usage-Delta-MB]],InterspecUsage[[#This Row],[Free-of-Max]])</f>
        <v>300.84615384615387</v>
      </c>
    </row>
    <row r="943" spans="1:14" x14ac:dyDescent="0.25">
      <c r="A943" s="3">
        <v>45208</v>
      </c>
      <c r="B943" s="15" t="s">
        <v>24</v>
      </c>
      <c r="C943" s="16">
        <v>92</v>
      </c>
      <c r="D943" s="16">
        <v>18400</v>
      </c>
      <c r="E943" s="16">
        <v>1403</v>
      </c>
      <c r="F943" s="16">
        <v>16997</v>
      </c>
      <c r="G943" s="16">
        <v>8</v>
      </c>
      <c r="H943" s="16">
        <v>32768</v>
      </c>
      <c r="I943" s="16">
        <v>52</v>
      </c>
      <c r="J943" s="15" t="s">
        <v>1</v>
      </c>
      <c r="K943" s="15" t="s">
        <v>2</v>
      </c>
      <c r="L943" s="8">
        <f>InterspecUsage[[#This Row],[Used-MB]]-F933</f>
        <v>122</v>
      </c>
      <c r="M943">
        <f>InterspecUsage[[#This Row],[Max]]-InterspecUsage[[#This Row],[Used-MB]]</f>
        <v>15771</v>
      </c>
      <c r="N943" s="5">
        <f>IF($L943&gt;0,InterspecUsage[[#This Row],[Free-of-Max]]/InterspecUsage[[#This Row],[Usage-Delta-MB]],InterspecUsage[[#This Row],[Free-of-Max]])</f>
        <v>129.2704918032787</v>
      </c>
    </row>
    <row r="944" spans="1:14" x14ac:dyDescent="0.25">
      <c r="A944" s="3">
        <v>45208</v>
      </c>
      <c r="B944" s="15" t="s">
        <v>35</v>
      </c>
      <c r="C944" s="16">
        <v>96</v>
      </c>
      <c r="D944" s="16">
        <v>28200</v>
      </c>
      <c r="E944" s="16">
        <v>1060</v>
      </c>
      <c r="F944" s="16">
        <v>27140</v>
      </c>
      <c r="G944" s="16">
        <v>4</v>
      </c>
      <c r="H944" s="16">
        <v>32768</v>
      </c>
      <c r="I944" s="16">
        <v>83</v>
      </c>
      <c r="J944" s="15" t="s">
        <v>1</v>
      </c>
      <c r="K944" s="15" t="s">
        <v>2</v>
      </c>
      <c r="L944" s="8">
        <f>InterspecUsage[[#This Row],[Used-MB]]-F934</f>
        <v>64</v>
      </c>
      <c r="M944">
        <f>InterspecUsage[[#This Row],[Max]]-InterspecUsage[[#This Row],[Used-MB]]</f>
        <v>5628</v>
      </c>
      <c r="N944" s="5">
        <f>IF($L944&gt;0,InterspecUsage[[#This Row],[Free-of-Max]]/InterspecUsage[[#This Row],[Usage-Delta-MB]],InterspecUsage[[#This Row],[Free-of-Max]])</f>
        <v>87.9375</v>
      </c>
    </row>
    <row r="945" spans="1:14" x14ac:dyDescent="0.25">
      <c r="A945" s="3">
        <v>45208</v>
      </c>
      <c r="B945" s="15" t="s">
        <v>27</v>
      </c>
      <c r="C945" s="16">
        <v>85</v>
      </c>
      <c r="D945" s="16">
        <v>163840</v>
      </c>
      <c r="E945" s="16">
        <v>24220</v>
      </c>
      <c r="F945" s="16">
        <v>139620</v>
      </c>
      <c r="G945" s="16">
        <v>15</v>
      </c>
      <c r="H945" s="16">
        <v>163840</v>
      </c>
      <c r="I945" s="16">
        <v>85</v>
      </c>
      <c r="J945" s="15" t="s">
        <v>1</v>
      </c>
      <c r="K945" s="15" t="s">
        <v>2</v>
      </c>
      <c r="L945" s="8">
        <f>InterspecUsage[[#This Row],[Used-MB]]-F935</f>
        <v>362</v>
      </c>
      <c r="M945">
        <f>InterspecUsage[[#This Row],[Max]]-InterspecUsage[[#This Row],[Used-MB]]</f>
        <v>24220</v>
      </c>
      <c r="N945" s="5">
        <f>IF($L945&gt;0,InterspecUsage[[#This Row],[Free-of-Max]]/InterspecUsage[[#This Row],[Usage-Delta-MB]],InterspecUsage[[#This Row],[Free-of-Max]])</f>
        <v>66.906077348066304</v>
      </c>
    </row>
    <row r="946" spans="1:14" x14ac:dyDescent="0.25">
      <c r="A946" s="3">
        <v>45208</v>
      </c>
      <c r="B946" s="15" t="s">
        <v>7</v>
      </c>
      <c r="C946" s="16">
        <v>95</v>
      </c>
      <c r="D946" s="16">
        <v>1720</v>
      </c>
      <c r="E946" s="16">
        <v>91</v>
      </c>
      <c r="F946" s="16">
        <v>1629</v>
      </c>
      <c r="G946" s="16">
        <v>5</v>
      </c>
      <c r="H946" s="16">
        <v>32768</v>
      </c>
      <c r="I946" s="16">
        <v>5</v>
      </c>
      <c r="J946" s="15" t="s">
        <v>1</v>
      </c>
      <c r="K946" s="15" t="s">
        <v>2</v>
      </c>
      <c r="L946" s="8">
        <f>InterspecUsage[[#This Row],[Used-MB]]-F936</f>
        <v>8</v>
      </c>
      <c r="M946">
        <f>InterspecUsage[[#This Row],[Max]]-InterspecUsage[[#This Row],[Used-MB]]</f>
        <v>31139</v>
      </c>
      <c r="N946" s="5">
        <f>IF($L946&gt;0,InterspecUsage[[#This Row],[Free-of-Max]]/InterspecUsage[[#This Row],[Usage-Delta-MB]],InterspecUsage[[#This Row],[Free-of-Max]])</f>
        <v>3892.375</v>
      </c>
    </row>
    <row r="947" spans="1:14" x14ac:dyDescent="0.25">
      <c r="A947" s="3">
        <v>45208</v>
      </c>
      <c r="B947" s="15" t="s">
        <v>0</v>
      </c>
      <c r="C947" s="16">
        <v>99</v>
      </c>
      <c r="D947" s="16">
        <v>4190</v>
      </c>
      <c r="E947" s="16">
        <v>29</v>
      </c>
      <c r="F947" s="16">
        <v>4161</v>
      </c>
      <c r="G947" s="16">
        <v>1</v>
      </c>
      <c r="H947" s="16">
        <v>32768</v>
      </c>
      <c r="I947" s="16">
        <v>13</v>
      </c>
      <c r="J947" s="15" t="s">
        <v>1</v>
      </c>
      <c r="K947" s="15" t="s">
        <v>2</v>
      </c>
      <c r="L947" s="8">
        <f>InterspecUsage[[#This Row],[Used-MB]]-F937</f>
        <v>0</v>
      </c>
      <c r="M947">
        <f>InterspecUsage[[#This Row],[Max]]-InterspecUsage[[#This Row],[Used-MB]]</f>
        <v>28607</v>
      </c>
      <c r="N947" s="5">
        <f>IF($L947&gt;0,InterspecUsage[[#This Row],[Free-of-Max]]/InterspecUsage[[#This Row],[Usage-Delta-MB]],InterspecUsage[[#This Row],[Free-of-Max]])</f>
        <v>28607</v>
      </c>
    </row>
    <row r="948" spans="1:14" x14ac:dyDescent="0.25">
      <c r="A948" s="3">
        <v>45208</v>
      </c>
      <c r="B948" s="15" t="s">
        <v>30</v>
      </c>
      <c r="C948" s="16">
        <v>0</v>
      </c>
      <c r="D948" s="16">
        <v>32767</v>
      </c>
      <c r="E948" s="16">
        <v>32743</v>
      </c>
      <c r="F948" s="16">
        <v>24</v>
      </c>
      <c r="G948" s="16">
        <v>100</v>
      </c>
      <c r="H948" s="16">
        <v>32768</v>
      </c>
      <c r="I948" s="16">
        <v>0</v>
      </c>
      <c r="J948" s="15" t="s">
        <v>1</v>
      </c>
      <c r="K948" s="15" t="s">
        <v>13</v>
      </c>
      <c r="L948" s="8">
        <f>InterspecUsage[[#This Row],[Used-MB]]-F938</f>
        <v>10</v>
      </c>
      <c r="M948">
        <f>InterspecUsage[[#This Row],[Max]]-InterspecUsage[[#This Row],[Used-MB]]</f>
        <v>32744</v>
      </c>
      <c r="N948" s="5">
        <f>IF($L948&gt;0,InterspecUsage[[#This Row],[Free-of-Max]]/InterspecUsage[[#This Row],[Usage-Delta-MB]],InterspecUsage[[#This Row],[Free-of-Max]])</f>
        <v>3274.4</v>
      </c>
    </row>
    <row r="949" spans="1:14" x14ac:dyDescent="0.25">
      <c r="A949" s="3">
        <v>45208</v>
      </c>
      <c r="B949" s="15" t="s">
        <v>28</v>
      </c>
      <c r="C949" s="16">
        <v>4</v>
      </c>
      <c r="D949" s="16">
        <v>23320</v>
      </c>
      <c r="E949" s="16">
        <v>22373</v>
      </c>
      <c r="F949" s="16">
        <v>948</v>
      </c>
      <c r="G949" s="16">
        <v>96</v>
      </c>
      <c r="H949" s="16">
        <v>32768</v>
      </c>
      <c r="I949" s="16">
        <v>3</v>
      </c>
      <c r="J949" s="15" t="s">
        <v>1</v>
      </c>
      <c r="K949" s="15" t="s">
        <v>10</v>
      </c>
      <c r="L949" s="8">
        <f>InterspecUsage[[#This Row],[Used-MB]]-F939</f>
        <v>236</v>
      </c>
      <c r="M949">
        <f>InterspecUsage[[#This Row],[Max]]-InterspecUsage[[#This Row],[Used-MB]]</f>
        <v>31820</v>
      </c>
      <c r="N949" s="5">
        <f>IF($L949&gt;0,InterspecUsage[[#This Row],[Free-of-Max]]/InterspecUsage[[#This Row],[Usage-Delta-MB]],InterspecUsage[[#This Row],[Free-of-Max]])</f>
        <v>134.83050847457628</v>
      </c>
    </row>
    <row r="950" spans="1:14" x14ac:dyDescent="0.25">
      <c r="A950" s="3">
        <v>45208</v>
      </c>
      <c r="B950" s="15" t="s">
        <v>25</v>
      </c>
      <c r="C950" s="16">
        <v>73</v>
      </c>
      <c r="D950" s="16">
        <v>12700</v>
      </c>
      <c r="E950" s="16">
        <v>3408</v>
      </c>
      <c r="F950" s="16">
        <v>9292</v>
      </c>
      <c r="G950" s="16">
        <v>27</v>
      </c>
      <c r="H950" s="16">
        <v>32768</v>
      </c>
      <c r="I950" s="16">
        <v>28</v>
      </c>
      <c r="J950" s="15" t="s">
        <v>1</v>
      </c>
      <c r="K950" s="15" t="s">
        <v>2</v>
      </c>
      <c r="L950" s="8">
        <f>InterspecUsage[[#This Row],[Used-MB]]-F940</f>
        <v>16</v>
      </c>
      <c r="M950">
        <f>InterspecUsage[[#This Row],[Max]]-InterspecUsage[[#This Row],[Used-MB]]</f>
        <v>23476</v>
      </c>
      <c r="N950" s="5">
        <f>IF($L950&gt;0,InterspecUsage[[#This Row],[Free-of-Max]]/InterspecUsage[[#This Row],[Usage-Delta-MB]],InterspecUsage[[#This Row],[Free-of-Max]])</f>
        <v>1467.25</v>
      </c>
    </row>
    <row r="951" spans="1:14" x14ac:dyDescent="0.25">
      <c r="A951" s="3">
        <v>45208</v>
      </c>
      <c r="B951" s="15" t="s">
        <v>29</v>
      </c>
      <c r="C951" s="16">
        <v>0</v>
      </c>
      <c r="D951" s="16">
        <v>500</v>
      </c>
      <c r="E951" s="16">
        <v>499</v>
      </c>
      <c r="F951" s="16">
        <v>1</v>
      </c>
      <c r="G951" s="16">
        <v>100</v>
      </c>
      <c r="H951" s="16">
        <v>500</v>
      </c>
      <c r="I951" s="16">
        <v>0</v>
      </c>
      <c r="J951" s="15" t="s">
        <v>1</v>
      </c>
      <c r="K951" s="15" t="s">
        <v>2</v>
      </c>
      <c r="L951" s="8">
        <f>InterspecUsage[[#This Row],[Used-MB]]-F941</f>
        <v>0</v>
      </c>
      <c r="M951">
        <f>InterspecUsage[[#This Row],[Max]]-InterspecUsage[[#This Row],[Used-MB]]</f>
        <v>499</v>
      </c>
      <c r="N951" s="5">
        <f>IF($L951&gt;0,InterspecUsage[[#This Row],[Free-of-Max]]/InterspecUsage[[#This Row],[Usage-Delta-MB]],InterspecUsage[[#This Row],[Free-of-Max]])</f>
        <v>499</v>
      </c>
    </row>
    <row r="952" spans="1:14" x14ac:dyDescent="0.25">
      <c r="A952" s="3">
        <v>45215</v>
      </c>
      <c r="B952" s="15" t="s">
        <v>26</v>
      </c>
      <c r="C952" s="16">
        <v>94</v>
      </c>
      <c r="D952" s="16">
        <v>22788</v>
      </c>
      <c r="E952" s="16">
        <v>1319</v>
      </c>
      <c r="F952" s="16">
        <v>21469</v>
      </c>
      <c r="G952" s="16">
        <v>6</v>
      </c>
      <c r="H952" s="16">
        <v>40960</v>
      </c>
      <c r="I952" s="16">
        <v>52</v>
      </c>
      <c r="J952" s="15" t="s">
        <v>1</v>
      </c>
      <c r="K952" s="15" t="s">
        <v>2</v>
      </c>
      <c r="L952" s="8">
        <f>InterspecUsage[[#This Row],[Used-MB]]-F942</f>
        <v>64</v>
      </c>
      <c r="M952">
        <f>InterspecUsage[[#This Row],[Max]]-InterspecUsage[[#This Row],[Used-MB]]</f>
        <v>19491</v>
      </c>
      <c r="N952" s="5">
        <f>IF($L952&gt;0,InterspecUsage[[#This Row],[Free-of-Max]]/InterspecUsage[[#This Row],[Usage-Delta-MB]],InterspecUsage[[#This Row],[Free-of-Max]])</f>
        <v>304.546875</v>
      </c>
    </row>
    <row r="953" spans="1:14" x14ac:dyDescent="0.25">
      <c r="A953" s="3">
        <v>45215</v>
      </c>
      <c r="B953" s="15" t="s">
        <v>24</v>
      </c>
      <c r="C953" s="16">
        <v>95</v>
      </c>
      <c r="D953" s="16">
        <v>54868</v>
      </c>
      <c r="E953" s="16">
        <v>2787</v>
      </c>
      <c r="F953" s="16">
        <v>52081</v>
      </c>
      <c r="G953" s="16">
        <v>5</v>
      </c>
      <c r="H953" s="16">
        <v>65536</v>
      </c>
      <c r="I953" s="16">
        <v>79</v>
      </c>
      <c r="J953" s="15" t="s">
        <v>1</v>
      </c>
      <c r="K953" s="15" t="s">
        <v>2</v>
      </c>
      <c r="L953" s="8">
        <f>InterspecUsage[[#This Row],[Used-MB]]-F943</f>
        <v>35084</v>
      </c>
      <c r="M953">
        <f>InterspecUsage[[#This Row],[Max]]-InterspecUsage[[#This Row],[Used-MB]]</f>
        <v>13455</v>
      </c>
      <c r="N953" s="5">
        <f>IF($L953&gt;0,InterspecUsage[[#This Row],[Free-of-Max]]/InterspecUsage[[#This Row],[Usage-Delta-MB]],InterspecUsage[[#This Row],[Free-of-Max]])</f>
        <v>0.38350815186409759</v>
      </c>
    </row>
    <row r="954" spans="1:14" x14ac:dyDescent="0.25">
      <c r="A954" s="3">
        <v>45215</v>
      </c>
      <c r="B954" s="15" t="s">
        <v>35</v>
      </c>
      <c r="C954" s="16">
        <v>95</v>
      </c>
      <c r="D954" s="16">
        <v>28600</v>
      </c>
      <c r="E954" s="16">
        <v>1396</v>
      </c>
      <c r="F954" s="16">
        <v>27204</v>
      </c>
      <c r="G954" s="16">
        <v>5</v>
      </c>
      <c r="H954" s="16">
        <v>32768</v>
      </c>
      <c r="I954" s="16">
        <v>83</v>
      </c>
      <c r="J954" s="15" t="s">
        <v>1</v>
      </c>
      <c r="K954" s="15" t="s">
        <v>2</v>
      </c>
      <c r="L954" s="8">
        <f>InterspecUsage[[#This Row],[Used-MB]]-F944</f>
        <v>64</v>
      </c>
      <c r="M954">
        <f>InterspecUsage[[#This Row],[Max]]-InterspecUsage[[#This Row],[Used-MB]]</f>
        <v>5564</v>
      </c>
      <c r="N954" s="5">
        <f>IF($L954&gt;0,InterspecUsage[[#This Row],[Free-of-Max]]/InterspecUsage[[#This Row],[Usage-Delta-MB]],InterspecUsage[[#This Row],[Free-of-Max]])</f>
        <v>86.9375</v>
      </c>
    </row>
    <row r="955" spans="1:14" x14ac:dyDescent="0.25">
      <c r="A955" s="3">
        <v>45215</v>
      </c>
      <c r="B955" s="15" t="s">
        <v>27</v>
      </c>
      <c r="C955" s="16">
        <v>91</v>
      </c>
      <c r="D955" s="16">
        <v>163840</v>
      </c>
      <c r="E955" s="16">
        <v>15555</v>
      </c>
      <c r="F955" s="16">
        <v>148285</v>
      </c>
      <c r="G955" s="16">
        <v>9</v>
      </c>
      <c r="H955" s="16">
        <v>163840</v>
      </c>
      <c r="I955" s="16">
        <v>91</v>
      </c>
      <c r="J955" s="15" t="s">
        <v>1</v>
      </c>
      <c r="K955" s="15" t="s">
        <v>2</v>
      </c>
      <c r="L955" s="8">
        <f>InterspecUsage[[#This Row],[Used-MB]]-F945</f>
        <v>8665</v>
      </c>
      <c r="M955">
        <f>InterspecUsage[[#This Row],[Max]]-InterspecUsage[[#This Row],[Used-MB]]</f>
        <v>15555</v>
      </c>
      <c r="N955" s="5">
        <f>IF($L955&gt;0,InterspecUsage[[#This Row],[Free-of-Max]]/InterspecUsage[[#This Row],[Usage-Delta-MB]],InterspecUsage[[#This Row],[Free-of-Max]])</f>
        <v>1.7951529140219273</v>
      </c>
    </row>
    <row r="956" spans="1:14" x14ac:dyDescent="0.25">
      <c r="A956" s="3">
        <v>45215</v>
      </c>
      <c r="B956" s="15" t="s">
        <v>7</v>
      </c>
      <c r="C956" s="16">
        <v>95</v>
      </c>
      <c r="D956" s="16">
        <v>1720</v>
      </c>
      <c r="E956" s="16">
        <v>82</v>
      </c>
      <c r="F956" s="16">
        <v>1638</v>
      </c>
      <c r="G956" s="16">
        <v>5</v>
      </c>
      <c r="H956" s="16">
        <v>32768</v>
      </c>
      <c r="I956" s="16">
        <v>5</v>
      </c>
      <c r="J956" s="15" t="s">
        <v>1</v>
      </c>
      <c r="K956" s="15" t="s">
        <v>2</v>
      </c>
      <c r="L956" s="8">
        <f>InterspecUsage[[#This Row],[Used-MB]]-F946</f>
        <v>9</v>
      </c>
      <c r="M956">
        <f>InterspecUsage[[#This Row],[Max]]-InterspecUsage[[#This Row],[Used-MB]]</f>
        <v>31130</v>
      </c>
      <c r="N956" s="5">
        <f>IF($L956&gt;0,InterspecUsage[[#This Row],[Free-of-Max]]/InterspecUsage[[#This Row],[Usage-Delta-MB]],InterspecUsage[[#This Row],[Free-of-Max]])</f>
        <v>3458.8888888888887</v>
      </c>
    </row>
    <row r="957" spans="1:14" x14ac:dyDescent="0.25">
      <c r="A957" s="3">
        <v>45215</v>
      </c>
      <c r="B957" s="15" t="s">
        <v>0</v>
      </c>
      <c r="C957" s="16">
        <v>99</v>
      </c>
      <c r="D957" s="16">
        <v>4260</v>
      </c>
      <c r="E957" s="16">
        <v>35</v>
      </c>
      <c r="F957" s="16">
        <v>4225</v>
      </c>
      <c r="G957" s="16">
        <v>1</v>
      </c>
      <c r="H957" s="16">
        <v>32768</v>
      </c>
      <c r="I957" s="16">
        <v>13</v>
      </c>
      <c r="J957" s="15" t="s">
        <v>1</v>
      </c>
      <c r="K957" s="15" t="s">
        <v>2</v>
      </c>
      <c r="L957" s="8">
        <f>InterspecUsage[[#This Row],[Used-MB]]-F947</f>
        <v>64</v>
      </c>
      <c r="M957">
        <f>InterspecUsage[[#This Row],[Max]]-InterspecUsage[[#This Row],[Used-MB]]</f>
        <v>28543</v>
      </c>
      <c r="N957" s="5">
        <f>IF($L957&gt;0,InterspecUsage[[#This Row],[Free-of-Max]]/InterspecUsage[[#This Row],[Usage-Delta-MB]],InterspecUsage[[#This Row],[Free-of-Max]])</f>
        <v>445.984375</v>
      </c>
    </row>
    <row r="958" spans="1:14" x14ac:dyDescent="0.25">
      <c r="A958" s="3">
        <v>45215</v>
      </c>
      <c r="B958" s="15" t="s">
        <v>30</v>
      </c>
      <c r="C958" s="16">
        <v>0</v>
      </c>
      <c r="D958" s="16">
        <v>32767</v>
      </c>
      <c r="E958" s="16">
        <v>32750</v>
      </c>
      <c r="F958" s="16">
        <v>17</v>
      </c>
      <c r="G958" s="16">
        <v>100</v>
      </c>
      <c r="H958" s="16">
        <v>32768</v>
      </c>
      <c r="I958" s="16">
        <v>0</v>
      </c>
      <c r="J958" s="15" t="s">
        <v>1</v>
      </c>
      <c r="K958" s="15" t="s">
        <v>13</v>
      </c>
      <c r="L958" s="8">
        <f>InterspecUsage[[#This Row],[Used-MB]]-F948</f>
        <v>-7</v>
      </c>
      <c r="M958">
        <f>InterspecUsage[[#This Row],[Max]]-InterspecUsage[[#This Row],[Used-MB]]</f>
        <v>32751</v>
      </c>
      <c r="N958" s="5">
        <f>IF($L958&gt;0,InterspecUsage[[#This Row],[Free-of-Max]]/InterspecUsage[[#This Row],[Usage-Delta-MB]],InterspecUsage[[#This Row],[Free-of-Max]])</f>
        <v>32751</v>
      </c>
    </row>
    <row r="959" spans="1:14" x14ac:dyDescent="0.25">
      <c r="A959" s="3">
        <v>45215</v>
      </c>
      <c r="B959" s="15" t="s">
        <v>28</v>
      </c>
      <c r="C959" s="16">
        <v>4</v>
      </c>
      <c r="D959" s="16">
        <v>23320</v>
      </c>
      <c r="E959" s="16">
        <v>22464</v>
      </c>
      <c r="F959" s="16">
        <v>856</v>
      </c>
      <c r="G959" s="16">
        <v>96</v>
      </c>
      <c r="H959" s="16">
        <v>32768</v>
      </c>
      <c r="I959" s="16">
        <v>3</v>
      </c>
      <c r="J959" s="15" t="s">
        <v>1</v>
      </c>
      <c r="K959" s="15" t="s">
        <v>10</v>
      </c>
      <c r="L959" s="8">
        <f>InterspecUsage[[#This Row],[Used-MB]]-F949</f>
        <v>-92</v>
      </c>
      <c r="M959">
        <f>InterspecUsage[[#This Row],[Max]]-InterspecUsage[[#This Row],[Used-MB]]</f>
        <v>31912</v>
      </c>
      <c r="N959" s="5">
        <f>IF($L959&gt;0,InterspecUsage[[#This Row],[Free-of-Max]]/InterspecUsage[[#This Row],[Usage-Delta-MB]],InterspecUsage[[#This Row],[Free-of-Max]])</f>
        <v>31912</v>
      </c>
    </row>
    <row r="960" spans="1:14" x14ac:dyDescent="0.25">
      <c r="A960" s="3">
        <v>45215</v>
      </c>
      <c r="B960" s="15" t="s">
        <v>25</v>
      </c>
      <c r="C960" s="16">
        <v>73</v>
      </c>
      <c r="D960" s="16">
        <v>12700</v>
      </c>
      <c r="E960" s="16">
        <v>3390</v>
      </c>
      <c r="F960" s="16">
        <v>9310</v>
      </c>
      <c r="G960" s="16">
        <v>27</v>
      </c>
      <c r="H960" s="16">
        <v>32768</v>
      </c>
      <c r="I960" s="16">
        <v>28</v>
      </c>
      <c r="J960" s="15" t="s">
        <v>1</v>
      </c>
      <c r="K960" s="15" t="s">
        <v>2</v>
      </c>
      <c r="L960" s="8">
        <f>InterspecUsage[[#This Row],[Used-MB]]-F950</f>
        <v>18</v>
      </c>
      <c r="M960">
        <f>InterspecUsage[[#This Row],[Max]]-InterspecUsage[[#This Row],[Used-MB]]</f>
        <v>23458</v>
      </c>
      <c r="N960" s="5">
        <f>IF($L960&gt;0,InterspecUsage[[#This Row],[Free-of-Max]]/InterspecUsage[[#This Row],[Usage-Delta-MB]],InterspecUsage[[#This Row],[Free-of-Max]])</f>
        <v>1303.2222222222222</v>
      </c>
    </row>
    <row r="961" spans="1:14" x14ac:dyDescent="0.25">
      <c r="A961" s="3">
        <v>45215</v>
      </c>
      <c r="B961" s="15" t="s">
        <v>29</v>
      </c>
      <c r="C961" s="16">
        <v>0</v>
      </c>
      <c r="D961" s="16">
        <v>500</v>
      </c>
      <c r="E961" s="16">
        <v>499</v>
      </c>
      <c r="F961" s="16">
        <v>1</v>
      </c>
      <c r="G961" s="16">
        <v>100</v>
      </c>
      <c r="H961" s="16">
        <v>500</v>
      </c>
      <c r="I961" s="16">
        <v>0</v>
      </c>
      <c r="J961" s="15" t="s">
        <v>1</v>
      </c>
      <c r="K961" s="15" t="s">
        <v>2</v>
      </c>
      <c r="L961" s="8">
        <f>InterspecUsage[[#This Row],[Used-MB]]-F951</f>
        <v>0</v>
      </c>
      <c r="M961">
        <f>InterspecUsage[[#This Row],[Max]]-InterspecUsage[[#This Row],[Used-MB]]</f>
        <v>499</v>
      </c>
      <c r="N961" s="5">
        <f>IF($L961&gt;0,InterspecUsage[[#This Row],[Free-of-Max]]/InterspecUsage[[#This Row],[Usage-Delta-MB]],InterspecUsage[[#This Row],[Free-of-Max]])</f>
        <v>499</v>
      </c>
    </row>
    <row r="962" spans="1:14" x14ac:dyDescent="0.25">
      <c r="A962" s="3">
        <v>45222</v>
      </c>
      <c r="B962" s="15" t="s">
        <v>26</v>
      </c>
      <c r="C962" s="16">
        <v>94</v>
      </c>
      <c r="D962" s="16">
        <v>22788</v>
      </c>
      <c r="E962" s="16">
        <v>1255</v>
      </c>
      <c r="F962" s="16">
        <v>21533</v>
      </c>
      <c r="G962" s="16">
        <v>6</v>
      </c>
      <c r="H962" s="16">
        <v>40960</v>
      </c>
      <c r="I962" s="16">
        <v>53</v>
      </c>
      <c r="J962" s="15" t="s">
        <v>1</v>
      </c>
      <c r="K962" s="15" t="s">
        <v>2</v>
      </c>
      <c r="L962" s="8">
        <f>InterspecUsage[[#This Row],[Used-MB]]-F952</f>
        <v>64</v>
      </c>
      <c r="M962">
        <f>InterspecUsage[[#This Row],[Max]]-InterspecUsage[[#This Row],[Used-MB]]</f>
        <v>19427</v>
      </c>
      <c r="N962" s="5">
        <f>IF($L962&gt;0,InterspecUsage[[#This Row],[Free-of-Max]]/InterspecUsage[[#This Row],[Usage-Delta-MB]],InterspecUsage[[#This Row],[Free-of-Max]])</f>
        <v>303.546875</v>
      </c>
    </row>
    <row r="963" spans="1:14" x14ac:dyDescent="0.25">
      <c r="A963" s="3">
        <v>45222</v>
      </c>
      <c r="B963" s="15" t="s">
        <v>24</v>
      </c>
      <c r="C963" s="16">
        <v>95</v>
      </c>
      <c r="D963" s="16">
        <v>54868</v>
      </c>
      <c r="E963" s="16">
        <v>2624</v>
      </c>
      <c r="F963" s="16">
        <v>52244</v>
      </c>
      <c r="G963" s="16">
        <v>5</v>
      </c>
      <c r="H963" s="16">
        <v>65536</v>
      </c>
      <c r="I963" s="16">
        <v>80</v>
      </c>
      <c r="J963" s="15" t="s">
        <v>1</v>
      </c>
      <c r="K963" s="15" t="s">
        <v>2</v>
      </c>
      <c r="L963" s="8">
        <f>InterspecUsage[[#This Row],[Used-MB]]-F953</f>
        <v>163</v>
      </c>
      <c r="M963">
        <f>InterspecUsage[[#This Row],[Max]]-InterspecUsage[[#This Row],[Used-MB]]</f>
        <v>13292</v>
      </c>
      <c r="N963" s="5">
        <f>IF($L963&gt;0,InterspecUsage[[#This Row],[Free-of-Max]]/InterspecUsage[[#This Row],[Usage-Delta-MB]],InterspecUsage[[#This Row],[Free-of-Max]])</f>
        <v>81.546012269938657</v>
      </c>
    </row>
    <row r="964" spans="1:14" x14ac:dyDescent="0.25">
      <c r="A964" s="3">
        <v>45222</v>
      </c>
      <c r="B964" s="15" t="s">
        <v>35</v>
      </c>
      <c r="C964" s="16">
        <v>95</v>
      </c>
      <c r="D964" s="16">
        <v>28600</v>
      </c>
      <c r="E964" s="16">
        <v>1331</v>
      </c>
      <c r="F964" s="16">
        <v>27269</v>
      </c>
      <c r="G964" s="16">
        <v>5</v>
      </c>
      <c r="H964" s="16">
        <v>32768</v>
      </c>
      <c r="I964" s="16">
        <v>83</v>
      </c>
      <c r="J964" s="15" t="s">
        <v>1</v>
      </c>
      <c r="K964" s="15" t="s">
        <v>2</v>
      </c>
      <c r="L964" s="8">
        <f>InterspecUsage[[#This Row],[Used-MB]]-F954</f>
        <v>65</v>
      </c>
      <c r="M964">
        <f>InterspecUsage[[#This Row],[Max]]-InterspecUsage[[#This Row],[Used-MB]]</f>
        <v>5499</v>
      </c>
      <c r="N964" s="5">
        <f>IF($L964&gt;0,InterspecUsage[[#This Row],[Free-of-Max]]/InterspecUsage[[#This Row],[Usage-Delta-MB]],InterspecUsage[[#This Row],[Free-of-Max]])</f>
        <v>84.6</v>
      </c>
    </row>
    <row r="965" spans="1:14" x14ac:dyDescent="0.25">
      <c r="A965" s="3">
        <v>45222</v>
      </c>
      <c r="B965" s="15" t="s">
        <v>27</v>
      </c>
      <c r="C965" s="16">
        <v>91</v>
      </c>
      <c r="D965" s="16">
        <v>163840</v>
      </c>
      <c r="E965" s="16">
        <v>15225</v>
      </c>
      <c r="F965" s="16">
        <v>148615</v>
      </c>
      <c r="G965" s="16">
        <v>9</v>
      </c>
      <c r="H965" s="16">
        <v>163840</v>
      </c>
      <c r="I965" s="16">
        <v>91</v>
      </c>
      <c r="J965" s="15" t="s">
        <v>1</v>
      </c>
      <c r="K965" s="15" t="s">
        <v>2</v>
      </c>
      <c r="L965" s="8">
        <f>InterspecUsage[[#This Row],[Used-MB]]-F955</f>
        <v>330</v>
      </c>
      <c r="M965">
        <f>InterspecUsage[[#This Row],[Max]]-InterspecUsage[[#This Row],[Used-MB]]</f>
        <v>15225</v>
      </c>
      <c r="N965" s="5">
        <f>IF($L965&gt;0,InterspecUsage[[#This Row],[Free-of-Max]]/InterspecUsage[[#This Row],[Usage-Delta-MB]],InterspecUsage[[#This Row],[Free-of-Max]])</f>
        <v>46.136363636363633</v>
      </c>
    </row>
    <row r="966" spans="1:14" x14ac:dyDescent="0.25">
      <c r="A966" s="3">
        <v>45222</v>
      </c>
      <c r="B966" s="15" t="s">
        <v>7</v>
      </c>
      <c r="C966" s="16">
        <v>95</v>
      </c>
      <c r="D966" s="16">
        <v>1730</v>
      </c>
      <c r="E966" s="16">
        <v>83</v>
      </c>
      <c r="F966" s="16">
        <v>1647</v>
      </c>
      <c r="G966" s="16">
        <v>5</v>
      </c>
      <c r="H966" s="16">
        <v>32768</v>
      </c>
      <c r="I966" s="16">
        <v>5</v>
      </c>
      <c r="J966" s="15" t="s">
        <v>1</v>
      </c>
      <c r="K966" s="15" t="s">
        <v>2</v>
      </c>
      <c r="L966" s="8">
        <f>InterspecUsage[[#This Row],[Used-MB]]-F956</f>
        <v>9</v>
      </c>
      <c r="M966">
        <f>InterspecUsage[[#This Row],[Max]]-InterspecUsage[[#This Row],[Used-MB]]</f>
        <v>31121</v>
      </c>
      <c r="N966" s="5">
        <f>IF($L966&gt;0,InterspecUsage[[#This Row],[Free-of-Max]]/InterspecUsage[[#This Row],[Usage-Delta-MB]],InterspecUsage[[#This Row],[Free-of-Max]])</f>
        <v>3457.8888888888887</v>
      </c>
    </row>
    <row r="967" spans="1:14" x14ac:dyDescent="0.25">
      <c r="A967" s="3">
        <v>45222</v>
      </c>
      <c r="B967" s="15" t="s">
        <v>0</v>
      </c>
      <c r="C967" s="16">
        <v>99</v>
      </c>
      <c r="D967" s="16">
        <v>4260</v>
      </c>
      <c r="E967" s="16">
        <v>35</v>
      </c>
      <c r="F967" s="16">
        <v>4225</v>
      </c>
      <c r="G967" s="16">
        <v>1</v>
      </c>
      <c r="H967" s="16">
        <v>32768</v>
      </c>
      <c r="I967" s="16">
        <v>13</v>
      </c>
      <c r="J967" s="15" t="s">
        <v>1</v>
      </c>
      <c r="K967" s="15" t="s">
        <v>2</v>
      </c>
      <c r="L967" s="8">
        <f>InterspecUsage[[#This Row],[Used-MB]]-F957</f>
        <v>0</v>
      </c>
      <c r="M967">
        <f>InterspecUsage[[#This Row],[Max]]-InterspecUsage[[#This Row],[Used-MB]]</f>
        <v>28543</v>
      </c>
      <c r="N967" s="5">
        <f>IF($L967&gt;0,InterspecUsage[[#This Row],[Free-of-Max]]/InterspecUsage[[#This Row],[Usage-Delta-MB]],InterspecUsage[[#This Row],[Free-of-Max]])</f>
        <v>28543</v>
      </c>
    </row>
    <row r="968" spans="1:14" x14ac:dyDescent="0.25">
      <c r="A968" s="3">
        <v>45222</v>
      </c>
      <c r="B968" s="15" t="s">
        <v>30</v>
      </c>
      <c r="C968" s="16">
        <v>0</v>
      </c>
      <c r="D968" s="16">
        <v>32767</v>
      </c>
      <c r="E968" s="16">
        <v>32749</v>
      </c>
      <c r="F968" s="16">
        <v>18</v>
      </c>
      <c r="G968" s="16">
        <v>100</v>
      </c>
      <c r="H968" s="16">
        <v>32768</v>
      </c>
      <c r="I968" s="16">
        <v>0</v>
      </c>
      <c r="J968" s="15" t="s">
        <v>1</v>
      </c>
      <c r="K968" s="15" t="s">
        <v>13</v>
      </c>
      <c r="L968" s="8">
        <f>InterspecUsage[[#This Row],[Used-MB]]-F958</f>
        <v>1</v>
      </c>
      <c r="M968">
        <f>InterspecUsage[[#This Row],[Max]]-InterspecUsage[[#This Row],[Used-MB]]</f>
        <v>32750</v>
      </c>
      <c r="N968" s="5">
        <f>IF($L968&gt;0,InterspecUsage[[#This Row],[Free-of-Max]]/InterspecUsage[[#This Row],[Usage-Delta-MB]],InterspecUsage[[#This Row],[Free-of-Max]])</f>
        <v>32750</v>
      </c>
    </row>
    <row r="969" spans="1:14" x14ac:dyDescent="0.25">
      <c r="A969" s="3">
        <v>45222</v>
      </c>
      <c r="B969" s="15" t="s">
        <v>28</v>
      </c>
      <c r="C969" s="16">
        <v>3</v>
      </c>
      <c r="D969" s="16">
        <v>23320</v>
      </c>
      <c r="E969" s="16">
        <v>22536</v>
      </c>
      <c r="F969" s="16">
        <v>784</v>
      </c>
      <c r="G969" s="16">
        <v>97</v>
      </c>
      <c r="H969" s="16">
        <v>32768</v>
      </c>
      <c r="I969" s="16">
        <v>2</v>
      </c>
      <c r="J969" s="15" t="s">
        <v>1</v>
      </c>
      <c r="K969" s="15" t="s">
        <v>10</v>
      </c>
      <c r="L969" s="8">
        <f>InterspecUsage[[#This Row],[Used-MB]]-F959</f>
        <v>-72</v>
      </c>
      <c r="M969">
        <f>InterspecUsage[[#This Row],[Max]]-InterspecUsage[[#This Row],[Used-MB]]</f>
        <v>31984</v>
      </c>
      <c r="N969" s="5">
        <f>IF($L969&gt;0,InterspecUsage[[#This Row],[Free-of-Max]]/InterspecUsage[[#This Row],[Usage-Delta-MB]],InterspecUsage[[#This Row],[Free-of-Max]])</f>
        <v>31984</v>
      </c>
    </row>
    <row r="970" spans="1:14" x14ac:dyDescent="0.25">
      <c r="A970" s="3">
        <v>45222</v>
      </c>
      <c r="B970" s="15" t="s">
        <v>25</v>
      </c>
      <c r="C970" s="16">
        <v>73</v>
      </c>
      <c r="D970" s="16">
        <v>12700</v>
      </c>
      <c r="E970" s="16">
        <v>3371</v>
      </c>
      <c r="F970" s="16">
        <v>9329</v>
      </c>
      <c r="G970" s="16">
        <v>27</v>
      </c>
      <c r="H970" s="16">
        <v>32768</v>
      </c>
      <c r="I970" s="16">
        <v>28</v>
      </c>
      <c r="J970" s="15" t="s">
        <v>1</v>
      </c>
      <c r="K970" s="15" t="s">
        <v>2</v>
      </c>
      <c r="L970" s="8">
        <f>InterspecUsage[[#This Row],[Used-MB]]-F960</f>
        <v>19</v>
      </c>
      <c r="M970">
        <f>InterspecUsage[[#This Row],[Max]]-InterspecUsage[[#This Row],[Used-MB]]</f>
        <v>23439</v>
      </c>
      <c r="N970" s="5">
        <f>IF($L970&gt;0,InterspecUsage[[#This Row],[Free-of-Max]]/InterspecUsage[[#This Row],[Usage-Delta-MB]],InterspecUsage[[#This Row],[Free-of-Max]])</f>
        <v>1233.6315789473683</v>
      </c>
    </row>
    <row r="971" spans="1:14" x14ac:dyDescent="0.25">
      <c r="A971" s="3">
        <v>45222</v>
      </c>
      <c r="B971" s="15" t="s">
        <v>29</v>
      </c>
      <c r="C971" s="16">
        <v>0</v>
      </c>
      <c r="D971" s="16">
        <v>500</v>
      </c>
      <c r="E971" s="16">
        <v>499</v>
      </c>
      <c r="F971" s="16">
        <v>1</v>
      </c>
      <c r="G971" s="16">
        <v>100</v>
      </c>
      <c r="H971" s="16">
        <v>500</v>
      </c>
      <c r="I971" s="16">
        <v>0</v>
      </c>
      <c r="J971" s="15" t="s">
        <v>1</v>
      </c>
      <c r="K971" s="15" t="s">
        <v>2</v>
      </c>
      <c r="L971" s="8">
        <f>InterspecUsage[[#This Row],[Used-MB]]-F961</f>
        <v>0</v>
      </c>
      <c r="M971">
        <f>InterspecUsage[[#This Row],[Max]]-InterspecUsage[[#This Row],[Used-MB]]</f>
        <v>499</v>
      </c>
      <c r="N971" s="5">
        <f>IF($L971&gt;0,InterspecUsage[[#This Row],[Free-of-Max]]/InterspecUsage[[#This Row],[Usage-Delta-MB]],InterspecUsage[[#This Row],[Free-of-Max]])</f>
        <v>499</v>
      </c>
    </row>
    <row r="972" spans="1:14" x14ac:dyDescent="0.25">
      <c r="A972" s="3">
        <v>45229</v>
      </c>
      <c r="B972" s="15" t="s">
        <v>26</v>
      </c>
      <c r="C972" s="16">
        <v>94</v>
      </c>
      <c r="D972" s="16">
        <v>22788</v>
      </c>
      <c r="E972" s="16">
        <v>1255</v>
      </c>
      <c r="F972" s="16">
        <v>21533</v>
      </c>
      <c r="G972" s="16">
        <v>6</v>
      </c>
      <c r="H972" s="16">
        <v>40960</v>
      </c>
      <c r="I972" s="16">
        <v>53</v>
      </c>
      <c r="J972" s="15" t="s">
        <v>1</v>
      </c>
      <c r="K972" s="15" t="s">
        <v>2</v>
      </c>
      <c r="L972" s="8">
        <f>InterspecUsage[[#This Row],[Used-MB]]-F962</f>
        <v>0</v>
      </c>
      <c r="M972">
        <f>InterspecUsage[[#This Row],[Max]]-InterspecUsage[[#This Row],[Used-MB]]</f>
        <v>19427</v>
      </c>
      <c r="N972" s="5">
        <f>IF($L972&gt;0,InterspecUsage[[#This Row],[Free-of-Max]]/InterspecUsage[[#This Row],[Usage-Delta-MB]],InterspecUsage[[#This Row],[Free-of-Max]])</f>
        <v>19427</v>
      </c>
    </row>
    <row r="973" spans="1:14" x14ac:dyDescent="0.25">
      <c r="A973" s="3">
        <v>45229</v>
      </c>
      <c r="B973" s="15" t="s">
        <v>24</v>
      </c>
      <c r="C973" s="16">
        <v>95</v>
      </c>
      <c r="D973" s="16">
        <v>54868</v>
      </c>
      <c r="E973" s="16">
        <v>2519</v>
      </c>
      <c r="F973" s="16">
        <v>52349</v>
      </c>
      <c r="G973" s="16">
        <v>5</v>
      </c>
      <c r="H973" s="16">
        <v>65536</v>
      </c>
      <c r="I973" s="16">
        <v>80</v>
      </c>
      <c r="J973" s="15" t="s">
        <v>1</v>
      </c>
      <c r="K973" s="15" t="s">
        <v>2</v>
      </c>
      <c r="L973" s="8">
        <f>InterspecUsage[[#This Row],[Used-MB]]-F963</f>
        <v>105</v>
      </c>
      <c r="M973">
        <f>InterspecUsage[[#This Row],[Max]]-InterspecUsage[[#This Row],[Used-MB]]</f>
        <v>13187</v>
      </c>
      <c r="N973" s="5">
        <f>IF($L973&gt;0,InterspecUsage[[#This Row],[Free-of-Max]]/InterspecUsage[[#This Row],[Usage-Delta-MB]],InterspecUsage[[#This Row],[Free-of-Max]])</f>
        <v>125.5904761904762</v>
      </c>
    </row>
    <row r="974" spans="1:14" x14ac:dyDescent="0.25">
      <c r="A974" s="3">
        <v>45229</v>
      </c>
      <c r="B974" s="15" t="s">
        <v>35</v>
      </c>
      <c r="C974" s="16">
        <v>96</v>
      </c>
      <c r="D974" s="16">
        <v>28600</v>
      </c>
      <c r="E974" s="16">
        <v>1267</v>
      </c>
      <c r="F974" s="16">
        <v>27333</v>
      </c>
      <c r="G974" s="16">
        <v>4</v>
      </c>
      <c r="H974" s="16">
        <v>32768</v>
      </c>
      <c r="I974" s="16">
        <v>83</v>
      </c>
      <c r="J974" s="15" t="s">
        <v>1</v>
      </c>
      <c r="K974" s="15" t="s">
        <v>2</v>
      </c>
      <c r="L974" s="8">
        <f>InterspecUsage[[#This Row],[Used-MB]]-F964</f>
        <v>64</v>
      </c>
      <c r="M974">
        <f>InterspecUsage[[#This Row],[Max]]-InterspecUsage[[#This Row],[Used-MB]]</f>
        <v>5435</v>
      </c>
      <c r="N974" s="5">
        <f>IF($L974&gt;0,InterspecUsage[[#This Row],[Free-of-Max]]/InterspecUsage[[#This Row],[Usage-Delta-MB]],InterspecUsage[[#This Row],[Free-of-Max]])</f>
        <v>84.921875</v>
      </c>
    </row>
    <row r="975" spans="1:14" x14ac:dyDescent="0.25">
      <c r="A975" s="3">
        <v>45229</v>
      </c>
      <c r="B975" s="15" t="s">
        <v>27</v>
      </c>
      <c r="C975" s="16">
        <v>91</v>
      </c>
      <c r="D975" s="16">
        <v>163840</v>
      </c>
      <c r="E975" s="16">
        <v>14829</v>
      </c>
      <c r="F975" s="16">
        <v>149011</v>
      </c>
      <c r="G975" s="16">
        <v>9</v>
      </c>
      <c r="H975" s="16">
        <v>163840</v>
      </c>
      <c r="I975" s="16">
        <v>91</v>
      </c>
      <c r="J975" s="15" t="s">
        <v>1</v>
      </c>
      <c r="K975" s="15" t="s">
        <v>2</v>
      </c>
      <c r="L975" s="8">
        <f>InterspecUsage[[#This Row],[Used-MB]]-F965</f>
        <v>396</v>
      </c>
      <c r="M975">
        <f>InterspecUsage[[#This Row],[Max]]-InterspecUsage[[#This Row],[Used-MB]]</f>
        <v>14829</v>
      </c>
      <c r="N975" s="5">
        <f>IF($L975&gt;0,InterspecUsage[[#This Row],[Free-of-Max]]/InterspecUsage[[#This Row],[Usage-Delta-MB]],InterspecUsage[[#This Row],[Free-of-Max]])</f>
        <v>37.446969696969695</v>
      </c>
    </row>
    <row r="976" spans="1:14" x14ac:dyDescent="0.25">
      <c r="A976" s="3">
        <v>45229</v>
      </c>
      <c r="B976" s="15" t="s">
        <v>7</v>
      </c>
      <c r="C976" s="16">
        <v>95</v>
      </c>
      <c r="D976" s="16">
        <v>1730</v>
      </c>
      <c r="E976" s="16">
        <v>83</v>
      </c>
      <c r="F976" s="16">
        <v>1648</v>
      </c>
      <c r="G976" s="16">
        <v>5</v>
      </c>
      <c r="H976" s="16">
        <v>32768</v>
      </c>
      <c r="I976" s="16">
        <v>5</v>
      </c>
      <c r="J976" s="15" t="s">
        <v>1</v>
      </c>
      <c r="K976" s="15" t="s">
        <v>2</v>
      </c>
      <c r="L976" s="8">
        <f>InterspecUsage[[#This Row],[Used-MB]]-F966</f>
        <v>1</v>
      </c>
      <c r="M976">
        <f>InterspecUsage[[#This Row],[Max]]-InterspecUsage[[#This Row],[Used-MB]]</f>
        <v>31120</v>
      </c>
      <c r="N976" s="5">
        <f>IF($L976&gt;0,InterspecUsage[[#This Row],[Free-of-Max]]/InterspecUsage[[#This Row],[Usage-Delta-MB]],InterspecUsage[[#This Row],[Free-of-Max]])</f>
        <v>31120</v>
      </c>
    </row>
    <row r="977" spans="1:14" x14ac:dyDescent="0.25">
      <c r="A977" s="3">
        <v>45229</v>
      </c>
      <c r="B977" s="15" t="s">
        <v>0</v>
      </c>
      <c r="C977" s="16">
        <v>99</v>
      </c>
      <c r="D977" s="16">
        <v>4260</v>
      </c>
      <c r="E977" s="16">
        <v>35</v>
      </c>
      <c r="F977" s="16">
        <v>4225</v>
      </c>
      <c r="G977" s="16">
        <v>1</v>
      </c>
      <c r="H977" s="16">
        <v>32768</v>
      </c>
      <c r="I977" s="16">
        <v>13</v>
      </c>
      <c r="J977" s="15" t="s">
        <v>1</v>
      </c>
      <c r="K977" s="15" t="s">
        <v>2</v>
      </c>
      <c r="L977" s="8">
        <f>InterspecUsage[[#This Row],[Used-MB]]-F967</f>
        <v>0</v>
      </c>
      <c r="M977">
        <f>InterspecUsage[[#This Row],[Max]]-InterspecUsage[[#This Row],[Used-MB]]</f>
        <v>28543</v>
      </c>
      <c r="N977" s="5">
        <f>IF($L977&gt;0,InterspecUsage[[#This Row],[Free-of-Max]]/InterspecUsage[[#This Row],[Usage-Delta-MB]],InterspecUsage[[#This Row],[Free-of-Max]])</f>
        <v>28543</v>
      </c>
    </row>
    <row r="978" spans="1:14" x14ac:dyDescent="0.25">
      <c r="A978" s="3">
        <v>45229</v>
      </c>
      <c r="B978" s="15" t="s">
        <v>30</v>
      </c>
      <c r="C978" s="16">
        <v>0</v>
      </c>
      <c r="D978" s="16">
        <v>32767</v>
      </c>
      <c r="E978" s="16">
        <v>32754</v>
      </c>
      <c r="F978" s="16">
        <v>13</v>
      </c>
      <c r="G978" s="16">
        <v>100</v>
      </c>
      <c r="H978" s="16">
        <v>32768</v>
      </c>
      <c r="I978" s="16">
        <v>0</v>
      </c>
      <c r="J978" s="15" t="s">
        <v>1</v>
      </c>
      <c r="K978" s="15" t="s">
        <v>13</v>
      </c>
      <c r="L978" s="8">
        <f>InterspecUsage[[#This Row],[Used-MB]]-F968</f>
        <v>-5</v>
      </c>
      <c r="M978">
        <f>InterspecUsage[[#This Row],[Max]]-InterspecUsage[[#This Row],[Used-MB]]</f>
        <v>32755</v>
      </c>
      <c r="N978" s="5">
        <f>IF($L978&gt;0,InterspecUsage[[#This Row],[Free-of-Max]]/InterspecUsage[[#This Row],[Usage-Delta-MB]],InterspecUsage[[#This Row],[Free-of-Max]])</f>
        <v>32755</v>
      </c>
    </row>
    <row r="979" spans="1:14" x14ac:dyDescent="0.25">
      <c r="A979" s="3">
        <v>45229</v>
      </c>
      <c r="B979" s="15" t="s">
        <v>28</v>
      </c>
      <c r="C979" s="16">
        <v>4</v>
      </c>
      <c r="D979" s="16">
        <v>23320</v>
      </c>
      <c r="E979" s="16">
        <v>22467</v>
      </c>
      <c r="F979" s="16">
        <v>854</v>
      </c>
      <c r="G979" s="16">
        <v>96</v>
      </c>
      <c r="H979" s="16">
        <v>32768</v>
      </c>
      <c r="I979" s="16">
        <v>3</v>
      </c>
      <c r="J979" s="15" t="s">
        <v>1</v>
      </c>
      <c r="K979" s="15" t="s">
        <v>10</v>
      </c>
      <c r="L979" s="8">
        <f>InterspecUsage[[#This Row],[Used-MB]]-F969</f>
        <v>70</v>
      </c>
      <c r="M979">
        <f>InterspecUsage[[#This Row],[Max]]-InterspecUsage[[#This Row],[Used-MB]]</f>
        <v>31914</v>
      </c>
      <c r="N979" s="5">
        <f>IF($L979&gt;0,InterspecUsage[[#This Row],[Free-of-Max]]/InterspecUsage[[#This Row],[Usage-Delta-MB]],InterspecUsage[[#This Row],[Free-of-Max]])</f>
        <v>455.91428571428571</v>
      </c>
    </row>
    <row r="980" spans="1:14" x14ac:dyDescent="0.25">
      <c r="A980" s="3">
        <v>45229</v>
      </c>
      <c r="B980" s="15" t="s">
        <v>25</v>
      </c>
      <c r="C980" s="16">
        <v>74</v>
      </c>
      <c r="D980" s="16">
        <v>12700</v>
      </c>
      <c r="E980" s="16">
        <v>3354</v>
      </c>
      <c r="F980" s="16">
        <v>9346</v>
      </c>
      <c r="G980" s="16">
        <v>26</v>
      </c>
      <c r="H980" s="16">
        <v>32768</v>
      </c>
      <c r="I980" s="16">
        <v>29</v>
      </c>
      <c r="J980" s="15" t="s">
        <v>1</v>
      </c>
      <c r="K980" s="15" t="s">
        <v>2</v>
      </c>
      <c r="L980" s="8">
        <f>InterspecUsage[[#This Row],[Used-MB]]-F970</f>
        <v>17</v>
      </c>
      <c r="M980">
        <f>InterspecUsage[[#This Row],[Max]]-InterspecUsage[[#This Row],[Used-MB]]</f>
        <v>23422</v>
      </c>
      <c r="N980" s="5">
        <f>IF($L980&gt;0,InterspecUsage[[#This Row],[Free-of-Max]]/InterspecUsage[[#This Row],[Usage-Delta-MB]],InterspecUsage[[#This Row],[Free-of-Max]])</f>
        <v>1377.7647058823529</v>
      </c>
    </row>
    <row r="981" spans="1:14" x14ac:dyDescent="0.25">
      <c r="A981" s="3">
        <v>45229</v>
      </c>
      <c r="B981" s="15" t="s">
        <v>29</v>
      </c>
      <c r="C981" s="16">
        <v>0</v>
      </c>
      <c r="D981" s="16">
        <v>500</v>
      </c>
      <c r="E981" s="16">
        <v>499</v>
      </c>
      <c r="F981" s="16">
        <v>1</v>
      </c>
      <c r="G981" s="16">
        <v>100</v>
      </c>
      <c r="H981" s="16">
        <v>500</v>
      </c>
      <c r="I981" s="16">
        <v>0</v>
      </c>
      <c r="J981" s="15" t="s">
        <v>1</v>
      </c>
      <c r="K981" s="15" t="s">
        <v>2</v>
      </c>
      <c r="L981" s="8">
        <f>InterspecUsage[[#This Row],[Used-MB]]-F971</f>
        <v>0</v>
      </c>
      <c r="M981">
        <f>InterspecUsage[[#This Row],[Max]]-InterspecUsage[[#This Row],[Used-MB]]</f>
        <v>499</v>
      </c>
      <c r="N981" s="5">
        <f>IF($L981&gt;0,InterspecUsage[[#This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1" priority="1" operator="containsText" text="SPECDATA">
      <formula>NOT(ISERROR(SEARCH("SPECDATA",B1)))</formula>
    </cfRule>
    <cfRule type="cellIs" dxfId="20" priority="6" operator="equal">
      <formula>"SPECI"</formula>
    </cfRule>
    <cfRule type="cellIs" dxfId="19" priority="7" operator="equal">
      <formula>"SPECD"</formula>
    </cfRule>
  </conditionalFormatting>
  <conditionalFormatting sqref="AJ1">
    <cfRule type="cellIs" dxfId="18" priority="4" operator="equal">
      <formula>"UNI_DATAO"</formula>
    </cfRule>
    <cfRule type="cellIs" dxfId="17" priority="5" operator="equal">
      <formula>"UNI_INDEXO"</formula>
    </cfRule>
  </conditionalFormatting>
  <conditionalFormatting sqref="S1">
    <cfRule type="cellIs" dxfId="16" priority="2" operator="equal">
      <formula>"UNI_DATAO"</formula>
    </cfRule>
    <cfRule type="cellIs" dxfId="15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workbookViewId="0">
      <selection activeCell="T41" sqref="T4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2023-11-06T07:18:03Z</dcterms:modified>
</cp:coreProperties>
</file>