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apollotyres-my.sharepoint.com/personal/peter_schepens_apollotyres_com/Documents/AWS-ONTW/ATHENA/report-17-UNI00036R_Dispersion/"/>
    </mc:Choice>
  </mc:AlternateContent>
  <xr:revisionPtr revIDLastSave="4" documentId="11_740DEA4AAB5D1690C669DBFE013ABDA1F0535A49" xr6:coauthVersionLast="47" xr6:coauthVersionMax="47" xr10:uidLastSave="{D6FDBD84-D6E2-49A7-B478-FB23D64702B8}"/>
  <bookViews>
    <workbookView xWindow="46395" yWindow="2715" windowWidth="14235" windowHeight="13035" activeTab="2" xr2:uid="{00000000-000D-0000-FFFF-FFFF00000000}"/>
  </bookViews>
  <sheets>
    <sheet name="blad1" sheetId="2" r:id="rId1"/>
    <sheet name="invoer" sheetId="3" r:id="rId2"/>
    <sheet name="Dispersion" sheetId="1" r:id="rId3"/>
    <sheet name="BoM" sheetId="8" r:id="rId4"/>
    <sheet name="grafiek" sheetId="4" r:id="rId5"/>
    <sheet name="Berekening" sheetId="6" r:id="rId6"/>
    <sheet name="Unilab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6" l="1"/>
  <c r="B2" i="6"/>
  <c r="B4" i="4" l="1"/>
  <c r="B3" i="4" l="1"/>
  <c r="G2" i="7" s="1"/>
  <c r="A4" i="4"/>
  <c r="A3" i="4"/>
  <c r="B2" i="4"/>
  <c r="A2" i="4"/>
  <c r="A73" i="7" l="1"/>
  <c r="A66" i="7"/>
  <c r="A64" i="7"/>
  <c r="A58" i="7"/>
  <c r="A56" i="7"/>
  <c r="A50" i="7"/>
  <c r="A48" i="7"/>
  <c r="A42" i="7"/>
  <c r="A40" i="7"/>
  <c r="A34" i="7"/>
  <c r="A32" i="7"/>
  <c r="A30" i="7"/>
  <c r="A25" i="7"/>
  <c r="A26" i="7"/>
  <c r="A29" i="7"/>
  <c r="A33" i="7"/>
  <c r="A37" i="7"/>
  <c r="A38" i="7"/>
  <c r="A41" i="7"/>
  <c r="A45" i="7"/>
  <c r="A46" i="7"/>
  <c r="A49" i="7"/>
  <c r="A53" i="7"/>
  <c r="A54" i="7"/>
  <c r="A57" i="7"/>
  <c r="A61" i="7"/>
  <c r="A62" i="7"/>
  <c r="A65" i="7"/>
  <c r="A69" i="7"/>
  <c r="A71" i="7"/>
  <c r="A72" i="7"/>
  <c r="A70" i="7"/>
  <c r="A68" i="7"/>
  <c r="A67" i="7"/>
  <c r="A63" i="7"/>
  <c r="A60" i="7"/>
  <c r="A59" i="7"/>
  <c r="A55" i="7"/>
  <c r="A52" i="7"/>
  <c r="A51" i="7"/>
  <c r="A47" i="7"/>
  <c r="A44" i="7"/>
  <c r="A43" i="7"/>
  <c r="A39" i="7"/>
  <c r="A36" i="7"/>
  <c r="A35" i="7"/>
  <c r="A31" i="7"/>
  <c r="A28" i="7"/>
  <c r="A27" i="7"/>
  <c r="A2" i="7"/>
  <c r="G10" i="6"/>
  <c r="F10" i="6" s="1"/>
  <c r="G11" i="6"/>
  <c r="F11" i="6" s="1"/>
  <c r="B12" i="4"/>
  <c r="B13" i="4" s="1"/>
  <c r="B5" i="4"/>
  <c r="B14" i="4"/>
  <c r="C14" i="4"/>
  <c r="G109" i="4"/>
  <c r="A109" i="4"/>
  <c r="A188" i="4"/>
  <c r="B5" i="3"/>
  <c r="E5" i="3" s="1"/>
  <c r="B6" i="3"/>
  <c r="E6" i="3"/>
  <c r="B7" i="3"/>
  <c r="F7" i="3" s="1"/>
  <c r="E7" i="3"/>
  <c r="B8" i="3"/>
  <c r="E8" i="3" s="1"/>
  <c r="B9" i="3"/>
  <c r="F9" i="3" s="1"/>
  <c r="E9" i="3"/>
  <c r="B10" i="3"/>
  <c r="E10" i="3" s="1"/>
  <c r="B11" i="3"/>
  <c r="F11" i="3" s="1"/>
  <c r="B12" i="3"/>
  <c r="B13" i="3"/>
  <c r="F13" i="3" s="1"/>
  <c r="E13" i="3"/>
  <c r="B14" i="3"/>
  <c r="E14" i="3" s="1"/>
  <c r="B15" i="3"/>
  <c r="F15" i="3" s="1"/>
  <c r="E15" i="3"/>
  <c r="B16" i="3"/>
  <c r="B17" i="3"/>
  <c r="F17" i="3" s="1"/>
  <c r="E17" i="3"/>
  <c r="B18" i="3"/>
  <c r="E18" i="3" s="1"/>
  <c r="B19" i="3"/>
  <c r="F19" i="3" s="1"/>
  <c r="B20" i="3"/>
  <c r="B21" i="3"/>
  <c r="F21" i="3" s="1"/>
  <c r="E21" i="3"/>
  <c r="B22" i="3"/>
  <c r="E22" i="3" s="1"/>
  <c r="B23" i="3"/>
  <c r="F23" i="3" s="1"/>
  <c r="E23" i="3"/>
  <c r="B24" i="3"/>
  <c r="B25" i="3"/>
  <c r="F25" i="3" s="1"/>
  <c r="E25" i="3"/>
  <c r="B26" i="3"/>
  <c r="E26" i="3"/>
  <c r="B27" i="3"/>
  <c r="E27" i="3" s="1"/>
  <c r="B28" i="3"/>
  <c r="B29" i="3"/>
  <c r="E29" i="3" s="1"/>
  <c r="B30" i="3"/>
  <c r="B31" i="3"/>
  <c r="E31" i="3" s="1"/>
  <c r="B32" i="3"/>
  <c r="B33" i="3"/>
  <c r="E33" i="3" s="1"/>
  <c r="B34" i="3"/>
  <c r="B35" i="3"/>
  <c r="E35" i="3" s="1"/>
  <c r="B36" i="3"/>
  <c r="B37" i="3"/>
  <c r="E37" i="3" s="1"/>
  <c r="B38" i="3"/>
  <c r="B39" i="3"/>
  <c r="E39" i="3" s="1"/>
  <c r="B40" i="3"/>
  <c r="B41" i="3"/>
  <c r="E41" i="3" s="1"/>
  <c r="B42" i="3"/>
  <c r="B43" i="3"/>
  <c r="E43" i="3" s="1"/>
  <c r="B44" i="3"/>
  <c r="F44" i="3" s="1"/>
  <c r="E44" i="3"/>
  <c r="B45" i="3"/>
  <c r="E45" i="3" s="1"/>
  <c r="B46" i="3"/>
  <c r="E46" i="3"/>
  <c r="B47" i="3"/>
  <c r="B48" i="3"/>
  <c r="B49" i="3"/>
  <c r="E49" i="3"/>
  <c r="B50" i="3"/>
  <c r="B51" i="3"/>
  <c r="B52" i="3"/>
  <c r="E52" i="3"/>
  <c r="B53" i="3"/>
  <c r="E53" i="3"/>
  <c r="B54" i="3"/>
  <c r="E54" i="3"/>
  <c r="A61" i="3"/>
  <c r="A24" i="7"/>
  <c r="F45" i="3" l="1"/>
  <c r="E19" i="3"/>
  <c r="E11" i="3"/>
  <c r="C48" i="3"/>
  <c r="G117" i="7" s="1"/>
  <c r="A117" i="7" s="1"/>
  <c r="F35" i="3"/>
  <c r="C50" i="3"/>
  <c r="G119" i="7" s="1"/>
  <c r="A119" i="7" s="1"/>
  <c r="C47" i="3"/>
  <c r="G116" i="7" s="1"/>
  <c r="A116" i="7" s="1"/>
  <c r="F43" i="3"/>
  <c r="F41" i="3"/>
  <c r="F39" i="3"/>
  <c r="F37" i="3"/>
  <c r="F33" i="3"/>
  <c r="F31" i="3"/>
  <c r="F29" i="3"/>
  <c r="F27" i="3"/>
  <c r="F5" i="3"/>
  <c r="B55" i="3"/>
  <c r="C25" i="3" s="1"/>
  <c r="G151" i="4" s="1"/>
  <c r="A151" i="4" s="1"/>
  <c r="C53" i="3"/>
  <c r="G122" i="7" s="1"/>
  <c r="A122" i="7" s="1"/>
  <c r="E50" i="3"/>
  <c r="E48" i="3"/>
  <c r="C46" i="3"/>
  <c r="G94" i="7"/>
  <c r="A94" i="7" s="1"/>
  <c r="G115" i="7"/>
  <c r="A115" i="7" s="1"/>
  <c r="G172" i="4"/>
  <c r="A172" i="4" s="1"/>
  <c r="G176" i="4"/>
  <c r="A176" i="4" s="1"/>
  <c r="F54" i="3"/>
  <c r="F52" i="3"/>
  <c r="F50" i="3"/>
  <c r="F48" i="3"/>
  <c r="F46" i="3"/>
  <c r="C43" i="3"/>
  <c r="C42" i="3"/>
  <c r="F42" i="3"/>
  <c r="C41" i="3"/>
  <c r="C40" i="3"/>
  <c r="F40" i="3"/>
  <c r="C38" i="3"/>
  <c r="F38" i="3"/>
  <c r="C37" i="3"/>
  <c r="F36" i="3"/>
  <c r="C35" i="3"/>
  <c r="C34" i="3"/>
  <c r="F34" i="3"/>
  <c r="C33" i="3"/>
  <c r="C32" i="3"/>
  <c r="F32" i="3"/>
  <c r="C30" i="3"/>
  <c r="F30" i="3"/>
  <c r="C29" i="3"/>
  <c r="F28" i="3"/>
  <c r="C27" i="3"/>
  <c r="C26" i="3"/>
  <c r="F26" i="3"/>
  <c r="C5" i="3"/>
  <c r="C7" i="3"/>
  <c r="C9" i="3"/>
  <c r="C13" i="3"/>
  <c r="C15" i="3"/>
  <c r="C17" i="3"/>
  <c r="C21" i="3"/>
  <c r="C23" i="3"/>
  <c r="E51" i="3"/>
  <c r="E47" i="3"/>
  <c r="C20" i="3"/>
  <c r="F20" i="3"/>
  <c r="C12" i="3"/>
  <c r="F12" i="3"/>
  <c r="C6" i="3"/>
  <c r="C22" i="3"/>
  <c r="F22" i="3"/>
  <c r="F18" i="3"/>
  <c r="C14" i="3"/>
  <c r="F14" i="3"/>
  <c r="C24" i="3"/>
  <c r="F24" i="3"/>
  <c r="C16" i="3"/>
  <c r="F16" i="3"/>
  <c r="F53" i="3"/>
  <c r="F51" i="3"/>
  <c r="F49" i="3"/>
  <c r="F47" i="3"/>
  <c r="C45" i="3"/>
  <c r="E42" i="3"/>
  <c r="E40" i="3"/>
  <c r="E38" i="3"/>
  <c r="E36" i="3"/>
  <c r="E34" i="3"/>
  <c r="E32" i="3"/>
  <c r="E30" i="3"/>
  <c r="E28" i="3"/>
  <c r="E24" i="3"/>
  <c r="E20" i="3"/>
  <c r="E16" i="3"/>
  <c r="E12" i="3"/>
  <c r="C8" i="3"/>
  <c r="C4" i="4"/>
  <c r="C26" i="6"/>
  <c r="F10" i="3"/>
  <c r="F8" i="3"/>
  <c r="F6" i="3"/>
  <c r="A63" i="3"/>
  <c r="B8" i="4"/>
  <c r="C10" i="3" l="1"/>
  <c r="C18" i="3"/>
  <c r="G144" i="4" s="1"/>
  <c r="A144" i="4" s="1"/>
  <c r="C19" i="3"/>
  <c r="C11" i="3"/>
  <c r="G80" i="7" s="1"/>
  <c r="A80" i="7" s="1"/>
  <c r="C28" i="3"/>
  <c r="C31" i="3"/>
  <c r="C36" i="3"/>
  <c r="C39" i="3"/>
  <c r="G108" i="7" s="1"/>
  <c r="A108" i="7" s="1"/>
  <c r="C44" i="3"/>
  <c r="C49" i="3"/>
  <c r="G118" i="7" s="1"/>
  <c r="A118" i="7" s="1"/>
  <c r="G174" i="4"/>
  <c r="A174" i="4" s="1"/>
  <c r="G179" i="4"/>
  <c r="A179" i="4" s="1"/>
  <c r="G173" i="4"/>
  <c r="A173" i="4" s="1"/>
  <c r="C52" i="3"/>
  <c r="C51" i="3"/>
  <c r="G175" i="4"/>
  <c r="A175" i="4" s="1"/>
  <c r="C54" i="3"/>
  <c r="C28" i="6"/>
  <c r="C13" i="4" s="1"/>
  <c r="C8" i="4" s="1"/>
  <c r="C12" i="4"/>
  <c r="G87" i="7"/>
  <c r="A87" i="7" s="1"/>
  <c r="F57" i="3"/>
  <c r="G85" i="7"/>
  <c r="A85" i="7" s="1"/>
  <c r="G142" i="4"/>
  <c r="A142" i="4" s="1"/>
  <c r="G81" i="7"/>
  <c r="A81" i="7" s="1"/>
  <c r="G138" i="4"/>
  <c r="A138" i="4" s="1"/>
  <c r="G86" i="7"/>
  <c r="A86" i="7" s="1"/>
  <c r="G143" i="4"/>
  <c r="A143" i="4" s="1"/>
  <c r="G135" i="4"/>
  <c r="A135" i="4" s="1"/>
  <c r="G78" i="7"/>
  <c r="A78" i="7" s="1"/>
  <c r="G95" i="7"/>
  <c r="A95" i="7" s="1"/>
  <c r="G152" i="4"/>
  <c r="A152" i="4" s="1"/>
  <c r="G98" i="7"/>
  <c r="A98" i="7" s="1"/>
  <c r="G155" i="4"/>
  <c r="A155" i="4" s="1"/>
  <c r="G103" i="7"/>
  <c r="A103" i="7" s="1"/>
  <c r="G160" i="4"/>
  <c r="A160" i="4" s="1"/>
  <c r="G106" i="7"/>
  <c r="A106" i="7" s="1"/>
  <c r="G163" i="4"/>
  <c r="A163" i="4" s="1"/>
  <c r="G111" i="7"/>
  <c r="A111" i="7" s="1"/>
  <c r="G168" i="4"/>
  <c r="A168" i="4" s="1"/>
  <c r="G79" i="7"/>
  <c r="A79" i="7" s="1"/>
  <c r="G136" i="4"/>
  <c r="A136" i="4" s="1"/>
  <c r="G97" i="7"/>
  <c r="A97" i="7" s="1"/>
  <c r="G154" i="4"/>
  <c r="A154" i="4" s="1"/>
  <c r="G77" i="7"/>
  <c r="A77" i="7" s="1"/>
  <c r="G134" i="4"/>
  <c r="A134" i="4" s="1"/>
  <c r="G83" i="7"/>
  <c r="A83" i="7" s="1"/>
  <c r="G140" i="4"/>
  <c r="A140" i="4" s="1"/>
  <c r="G91" i="7"/>
  <c r="A91" i="7" s="1"/>
  <c r="G148" i="4"/>
  <c r="A148" i="4" s="1"/>
  <c r="G92" i="7"/>
  <c r="A92" i="7" s="1"/>
  <c r="G149" i="4"/>
  <c r="A149" i="4" s="1"/>
  <c r="G84" i="7"/>
  <c r="A84" i="7" s="1"/>
  <c r="G141" i="4"/>
  <c r="A141" i="4" s="1"/>
  <c r="G133" i="4"/>
  <c r="A133" i="4" s="1"/>
  <c r="G76" i="7"/>
  <c r="A76" i="7" s="1"/>
  <c r="G96" i="7"/>
  <c r="A96" i="7" s="1"/>
  <c r="G153" i="4"/>
  <c r="A153" i="4" s="1"/>
  <c r="G101" i="7"/>
  <c r="A101" i="7" s="1"/>
  <c r="G158" i="4"/>
  <c r="A158" i="4" s="1"/>
  <c r="G104" i="7"/>
  <c r="A104" i="7" s="1"/>
  <c r="G161" i="4"/>
  <c r="A161" i="4" s="1"/>
  <c r="G109" i="7"/>
  <c r="A109" i="7" s="1"/>
  <c r="G166" i="4"/>
  <c r="A166" i="4" s="1"/>
  <c r="G112" i="7"/>
  <c r="A112" i="7" s="1"/>
  <c r="G169" i="4"/>
  <c r="A169" i="4" s="1"/>
  <c r="E57" i="3"/>
  <c r="G114" i="7"/>
  <c r="A114" i="7" s="1"/>
  <c r="G171" i="4"/>
  <c r="A171" i="4" s="1"/>
  <c r="G93" i="7"/>
  <c r="A93" i="7" s="1"/>
  <c r="G150" i="4"/>
  <c r="A150" i="4" s="1"/>
  <c r="G75" i="7"/>
  <c r="A75" i="7" s="1"/>
  <c r="G132" i="4"/>
  <c r="A132" i="4" s="1"/>
  <c r="G89" i="7"/>
  <c r="A89" i="7" s="1"/>
  <c r="G146" i="4"/>
  <c r="A146" i="4" s="1"/>
  <c r="G90" i="7"/>
  <c r="A90" i="7" s="1"/>
  <c r="G147" i="4"/>
  <c r="A147" i="4" s="1"/>
  <c r="G82" i="7"/>
  <c r="A82" i="7" s="1"/>
  <c r="G139" i="4"/>
  <c r="A139" i="4" s="1"/>
  <c r="G131" i="4"/>
  <c r="A131" i="4" s="1"/>
  <c r="G74" i="7"/>
  <c r="A74" i="7" s="1"/>
  <c r="G99" i="7"/>
  <c r="A99" i="7" s="1"/>
  <c r="G156" i="4"/>
  <c r="A156" i="4" s="1"/>
  <c r="G102" i="7"/>
  <c r="A102" i="7" s="1"/>
  <c r="G159" i="4"/>
  <c r="A159" i="4" s="1"/>
  <c r="G107" i="7"/>
  <c r="A107" i="7" s="1"/>
  <c r="G164" i="4"/>
  <c r="A164" i="4" s="1"/>
  <c r="G110" i="7"/>
  <c r="A110" i="7" s="1"/>
  <c r="G167" i="4"/>
  <c r="A167" i="4" s="1"/>
  <c r="G88" i="7"/>
  <c r="A88" i="7" s="1"/>
  <c r="G145" i="4"/>
  <c r="A145" i="4" s="1"/>
  <c r="G100" i="7"/>
  <c r="A100" i="7" s="1"/>
  <c r="G157" i="4"/>
  <c r="A157" i="4" s="1"/>
  <c r="G105" i="7"/>
  <c r="A105" i="7" s="1"/>
  <c r="G162" i="4"/>
  <c r="A162" i="4" s="1"/>
  <c r="G113" i="7"/>
  <c r="A113" i="7" s="1"/>
  <c r="G170" i="4"/>
  <c r="A170" i="4" s="1"/>
  <c r="G184" i="4"/>
  <c r="A184" i="4" s="1"/>
  <c r="G127" i="7"/>
  <c r="A127" i="7" s="1"/>
  <c r="G137" i="4" l="1"/>
  <c r="A137" i="4" s="1"/>
  <c r="G165" i="4"/>
  <c r="A165" i="4" s="1"/>
  <c r="G121" i="7"/>
  <c r="A121" i="7" s="1"/>
  <c r="G178" i="4"/>
  <c r="A178" i="4" s="1"/>
  <c r="G180" i="4"/>
  <c r="A180" i="4" s="1"/>
  <c r="G123" i="7"/>
  <c r="A123" i="7" s="1"/>
  <c r="G120" i="7"/>
  <c r="A120" i="7" s="1"/>
  <c r="G177" i="4"/>
  <c r="A177" i="4" s="1"/>
  <c r="F58" i="3"/>
  <c r="E58" i="3"/>
  <c r="G58" i="3" l="1"/>
  <c r="C7" i="4" s="1"/>
  <c r="B7" i="4" l="1"/>
  <c r="G129" i="7" s="1"/>
  <c r="A129" i="7" s="1"/>
  <c r="G186" i="4" l="1"/>
  <c r="A186" i="4" s="1"/>
</calcChain>
</file>

<file path=xl/sharedStrings.xml><?xml version="1.0" encoding="utf-8"?>
<sst xmlns="http://schemas.openxmlformats.org/spreadsheetml/2006/main" count="966" uniqueCount="519">
  <si>
    <t>eq diam.</t>
  </si>
  <si>
    <t>count</t>
  </si>
  <si>
    <t>perc. roet</t>
  </si>
  <si>
    <t>Di * ni</t>
  </si>
  <si>
    <t>Di^2*ni</t>
  </si>
  <si>
    <t xml:space="preserve"> </t>
  </si>
  <si>
    <t>sum</t>
  </si>
  <si>
    <t>U=</t>
  </si>
  <si>
    <t>Dk=</t>
  </si>
  <si>
    <t xml:space="preserve">      Bin</t>
  </si>
  <si>
    <t xml:space="preserve"> EquivDiam</t>
  </si>
  <si>
    <t xml:space="preserve">    Count</t>
  </si>
  <si>
    <t xml:space="preserve"> Field #</t>
  </si>
  <si>
    <t xml:space="preserve">        Area</t>
  </si>
  <si>
    <t xml:space="preserve">       Count</t>
  </si>
  <si>
    <t xml:space="preserve">       Area%</t>
  </si>
  <si>
    <t xml:space="preserve">         </t>
  </si>
  <si>
    <t xml:space="preserve">     (µm)</t>
  </si>
  <si>
    <t xml:space="preserve">   (%)</t>
  </si>
  <si>
    <t xml:space="preserve">Total       </t>
  </si>
  <si>
    <t xml:space="preserve">Mean        </t>
  </si>
  <si>
    <t xml:space="preserve">Std Dev     </t>
  </si>
  <si>
    <t xml:space="preserve">Std Error   </t>
  </si>
  <si>
    <t xml:space="preserve">Max         </t>
  </si>
  <si>
    <t xml:space="preserve">Min         </t>
  </si>
  <si>
    <t xml:space="preserve">2-s Range   </t>
  </si>
  <si>
    <t>Undersize Count:</t>
  </si>
  <si>
    <t>Total Count:</t>
  </si>
  <si>
    <t>Oversize Count:</t>
  </si>
  <si>
    <t xml:space="preserve">Total         </t>
  </si>
  <si>
    <t xml:space="preserve">Mean          </t>
  </si>
  <si>
    <t xml:space="preserve">Std Dev       </t>
  </si>
  <si>
    <t xml:space="preserve">Std Error     </t>
  </si>
  <si>
    <t xml:space="preserve">Max           </t>
  </si>
  <si>
    <t xml:space="preserve">Min           </t>
  </si>
  <si>
    <t xml:space="preserve">2-s Range     </t>
  </si>
  <si>
    <t xml:space="preserve">Median        </t>
  </si>
  <si>
    <t xml:space="preserve">Mode          </t>
  </si>
  <si>
    <t xml:space="preserve">Skewness      </t>
  </si>
  <si>
    <t xml:space="preserve">Kurtosis      </t>
  </si>
  <si>
    <t xml:space="preserve">Features      </t>
  </si>
  <si>
    <t xml:space="preserve">Spec. Area    </t>
  </si>
  <si>
    <t xml:space="preserve">Norm. Count   </t>
  </si>
  <si>
    <t>Date</t>
  </si>
  <si>
    <t>U =</t>
  </si>
  <si>
    <t>Dk =</t>
  </si>
  <si>
    <t>f</t>
  </si>
  <si>
    <t>Berekeningsfactor</t>
  </si>
  <si>
    <t>mengsel:</t>
  </si>
  <si>
    <t>kg. roet</t>
  </si>
  <si>
    <t>kg</t>
  </si>
  <si>
    <t>eindmengsel bevat</t>
  </si>
  <si>
    <t>kg voormengsel</t>
  </si>
  <si>
    <t>totaalgew.eindmengsel</t>
  </si>
  <si>
    <t>dichtheid eindmengsel</t>
  </si>
  <si>
    <t>kg/l</t>
  </si>
  <si>
    <t>dichtheid roet</t>
  </si>
  <si>
    <t>Fi=</t>
  </si>
  <si>
    <t>f=</t>
  </si>
  <si>
    <t>berekeningsfactor Dk</t>
  </si>
  <si>
    <t>Manual</t>
  </si>
  <si>
    <t>[BeginDefinition]</t>
  </si>
  <si>
    <t>Link data to green cells</t>
  </si>
  <si>
    <t>system=UNILAB_PRD</t>
  </si>
  <si>
    <t>_PRD = production, _64 = test</t>
  </si>
  <si>
    <t>[EndDefinition]</t>
  </si>
  <si>
    <t>[BeginTransaction]</t>
  </si>
  <si>
    <t>create_sc=N</t>
  </si>
  <si>
    <t>create_pg=N</t>
  </si>
  <si>
    <t>create_pa=N</t>
  </si>
  <si>
    <t>create_me=N</t>
  </si>
  <si>
    <t>[sc]</t>
  </si>
  <si>
    <t>sc=$scImportId</t>
  </si>
  <si>
    <t>[pg]</t>
  </si>
  <si>
    <t>pg=$pgImportId</t>
  </si>
  <si>
    <t>pgnode=$pgnodeImportId</t>
  </si>
  <si>
    <t>[pa]</t>
  </si>
  <si>
    <t>pa=$paImportId</t>
  </si>
  <si>
    <t>panode=$panodeImportId</t>
  </si>
  <si>
    <t>[me]</t>
  </si>
  <si>
    <t>me=$meImportId</t>
  </si>
  <si>
    <t>menode=$menodeImportId</t>
  </si>
  <si>
    <t>[cell table]</t>
  </si>
  <si>
    <t>cell=avXXXXX</t>
  </si>
  <si>
    <t>Value_s[0,1]</t>
  </si>
  <si>
    <t>Value_s[0,3]</t>
  </si>
  <si>
    <t>Value_s[0,5]</t>
  </si>
  <si>
    <t>Value_s[0,7]</t>
  </si>
  <si>
    <t>Value_s[0,9]</t>
  </si>
  <si>
    <t>Value_s[0,11]</t>
  </si>
  <si>
    <t>Value_s[0,13]</t>
  </si>
  <si>
    <t>Value_s[0,15]</t>
  </si>
  <si>
    <t>Value_s[0,17]</t>
  </si>
  <si>
    <t>Value_s[0,19]</t>
  </si>
  <si>
    <t>Value_s[0,21]</t>
  </si>
  <si>
    <t>Value_s[0,23]</t>
  </si>
  <si>
    <t>Value_s[0,25]</t>
  </si>
  <si>
    <t>Value_s[0,27]</t>
  </si>
  <si>
    <t>Value_s[0,29]</t>
  </si>
  <si>
    <t>Value_s[0,31]</t>
  </si>
  <si>
    <t>Value_s[0,33]</t>
  </si>
  <si>
    <t>Value_s[0,35]</t>
  </si>
  <si>
    <t>Value_s[0,37]</t>
  </si>
  <si>
    <t>Value_s[0,39]</t>
  </si>
  <si>
    <t>Value_s[0,41]</t>
  </si>
  <si>
    <t>Value_s[0,43]</t>
  </si>
  <si>
    <t>Value_s[0,45]</t>
  </si>
  <si>
    <t>Value_s[0,47]</t>
  </si>
  <si>
    <t>Value_s[0,49]</t>
  </si>
  <si>
    <t>Value_s[0,51]</t>
  </si>
  <si>
    <t>Value_s[0,53]</t>
  </si>
  <si>
    <t>Value_s[0,55]</t>
  </si>
  <si>
    <t>Value_s[0,57]</t>
  </si>
  <si>
    <t>Value_s[0,59]</t>
  </si>
  <si>
    <t>Value_s[0,61]</t>
  </si>
  <si>
    <t>Value_s[0,63]</t>
  </si>
  <si>
    <t>Value_s[0,65]</t>
  </si>
  <si>
    <t>Value_s[0,67]</t>
  </si>
  <si>
    <t>Value_s[0,69]</t>
  </si>
  <si>
    <t>Value_s[0,71]</t>
  </si>
  <si>
    <t>Value_s[0,73]</t>
  </si>
  <si>
    <t>Value_s[0,75]</t>
  </si>
  <si>
    <t>Value_s[0,77]</t>
  </si>
  <si>
    <t>Value_s[0,79]</t>
  </si>
  <si>
    <t>Value_s[0,81]</t>
  </si>
  <si>
    <t>Value_s[0,83]</t>
  </si>
  <si>
    <t>Value_s[0,85]</t>
  </si>
  <si>
    <t>Value_s[0,87]</t>
  </si>
  <si>
    <t>Value_s[0,89]</t>
  </si>
  <si>
    <t>Value_s[0,91]</t>
  </si>
  <si>
    <t>Value_s[0,93]</t>
  </si>
  <si>
    <t>Value_s[0,95]</t>
  </si>
  <si>
    <t>Value_s[0,97]</t>
  </si>
  <si>
    <t>Value_s[0,99]</t>
  </si>
  <si>
    <t>[cell]</t>
  </si>
  <si>
    <t>cell=XXXX</t>
  </si>
  <si>
    <t>value_s</t>
  </si>
  <si>
    <t>cell=YYYY</t>
  </si>
  <si>
    <t>cell=ZZZZ</t>
  </si>
  <si>
    <t>[EndTransaction]</t>
  </si>
  <si>
    <t>DK=</t>
  </si>
  <si>
    <t xml:space="preserve">voormengsel bevat </t>
  </si>
  <si>
    <t>totaalgewicht voormengsel</t>
  </si>
  <si>
    <t>tussen mengsel bevat</t>
  </si>
  <si>
    <t>tussenmengsel toegevoegd</t>
  </si>
  <si>
    <t>totaalgew.tussenmengsel</t>
  </si>
  <si>
    <t>dichtheid silica</t>
  </si>
  <si>
    <t>kg.silica</t>
  </si>
  <si>
    <t>cell=U</t>
  </si>
  <si>
    <t>Dk(%)</t>
  </si>
  <si>
    <t>cell=Dk</t>
  </si>
  <si>
    <t>cell=dispersion_table</t>
  </si>
  <si>
    <t>value_s[0,0]</t>
  </si>
  <si>
    <t>value_s[0,1]</t>
  </si>
  <si>
    <t>value_s[1,0]</t>
  </si>
  <si>
    <t>value_s[1,1]</t>
  </si>
  <si>
    <t>value_s[0,2]</t>
  </si>
  <si>
    <t>value_s[0,3]</t>
  </si>
  <si>
    <t>value_s[0,4]</t>
  </si>
  <si>
    <t>value_s[0,5]</t>
  </si>
  <si>
    <t>value_s[0,6]</t>
  </si>
  <si>
    <t>value_s[0,7]</t>
  </si>
  <si>
    <t>value_s[0,8]</t>
  </si>
  <si>
    <t>value_s[0,9]</t>
  </si>
  <si>
    <t>value_s[0,10]</t>
  </si>
  <si>
    <t>value_s[0,11]</t>
  </si>
  <si>
    <t>value_s[0,12]</t>
  </si>
  <si>
    <t>value_s[0,13]</t>
  </si>
  <si>
    <t>value_s[0,14]</t>
  </si>
  <si>
    <t>value_s[0,15]</t>
  </si>
  <si>
    <t>value_s[0,16]</t>
  </si>
  <si>
    <t>value_s[0,17]</t>
  </si>
  <si>
    <t>value_s[0,18]</t>
  </si>
  <si>
    <t>value_s[0,19]</t>
  </si>
  <si>
    <t>value_s[0,20]</t>
  </si>
  <si>
    <t>value_s[0,21]</t>
  </si>
  <si>
    <t>value_s[0,22]</t>
  </si>
  <si>
    <t>value_s[0,23]</t>
  </si>
  <si>
    <t>value_s[0,24]</t>
  </si>
  <si>
    <t>value_s[0,25]</t>
  </si>
  <si>
    <t>value_s[0,26]</t>
  </si>
  <si>
    <t>value_s[0,27]</t>
  </si>
  <si>
    <t>value_s[0,28]</t>
  </si>
  <si>
    <t>value_s[0,29]</t>
  </si>
  <si>
    <t>value_s[0,30]</t>
  </si>
  <si>
    <t>value_s[0,31]</t>
  </si>
  <si>
    <t>value_s[0,32]</t>
  </si>
  <si>
    <t>value_s[0,33]</t>
  </si>
  <si>
    <t>value_s[0,34]</t>
  </si>
  <si>
    <t>value_s[0,35]</t>
  </si>
  <si>
    <t>value_s[0,36]</t>
  </si>
  <si>
    <t>value_s[0,37]</t>
  </si>
  <si>
    <t>value_s[0,38]</t>
  </si>
  <si>
    <t>value_s[0,39]</t>
  </si>
  <si>
    <t>value_s[0,40]</t>
  </si>
  <si>
    <t>value_s[0,41]</t>
  </si>
  <si>
    <t>value_s[0,42]</t>
  </si>
  <si>
    <t>value_s[0,43]</t>
  </si>
  <si>
    <t>value_s[0,44]</t>
  </si>
  <si>
    <t>value_s[0,45]</t>
  </si>
  <si>
    <t>value_s[0,46]</t>
  </si>
  <si>
    <t>value_s[0,47]</t>
  </si>
  <si>
    <t>value_s[0,48]</t>
  </si>
  <si>
    <t>value_s[0,49]</t>
  </si>
  <si>
    <t>value_s[1,2]</t>
  </si>
  <si>
    <t>value_s[1,3]</t>
  </si>
  <si>
    <t>value_s[1,4]</t>
  </si>
  <si>
    <t>value_s[1,5]</t>
  </si>
  <si>
    <t>value_s[1,6]</t>
  </si>
  <si>
    <t>value_s[1,7]</t>
  </si>
  <si>
    <t>value_s[1,8]</t>
  </si>
  <si>
    <t>value_s[1,9]</t>
  </si>
  <si>
    <t>value_s[1,11]</t>
  </si>
  <si>
    <t>value_s[1,12]</t>
  </si>
  <si>
    <t>value_s[1,13]</t>
  </si>
  <si>
    <t>value_s[1,14]</t>
  </si>
  <si>
    <t>value_s[1,15]</t>
  </si>
  <si>
    <t>value_s[1,16]</t>
  </si>
  <si>
    <t>value_s[1,17]</t>
  </si>
  <si>
    <t>value_s[1,18]</t>
  </si>
  <si>
    <t>value_s[1,19]</t>
  </si>
  <si>
    <t>value_s[1,21]</t>
  </si>
  <si>
    <t>value_s[1,22]</t>
  </si>
  <si>
    <t>value_s[1,23]</t>
  </si>
  <si>
    <t>value_s[1,24]</t>
  </si>
  <si>
    <t>value_s[1,25]</t>
  </si>
  <si>
    <t>value_s[1,26]</t>
  </si>
  <si>
    <t>value_s[1,27]</t>
  </si>
  <si>
    <t>value_s[1,28]</t>
  </si>
  <si>
    <t>value_s[1,29]</t>
  </si>
  <si>
    <t>value_s[1,31]</t>
  </si>
  <si>
    <t>value_s[1,32]</t>
  </si>
  <si>
    <t>value_s[1,33]</t>
  </si>
  <si>
    <t>value_s[1,34]</t>
  </si>
  <si>
    <t>value_s[1,35]</t>
  </si>
  <si>
    <t>value_s[1,36]</t>
  </si>
  <si>
    <t>value_s[1,37]</t>
  </si>
  <si>
    <t>value_s[1,38]</t>
  </si>
  <si>
    <t>value_s[1,39]</t>
  </si>
  <si>
    <t>value_s[1,41]</t>
  </si>
  <si>
    <t>value_s[1,42]</t>
  </si>
  <si>
    <t>value_s[1,43]</t>
  </si>
  <si>
    <t>value_s[1,44]</t>
  </si>
  <si>
    <t>value_s[1,45]</t>
  </si>
  <si>
    <t>value_s[1,46]</t>
  </si>
  <si>
    <t>value_s[1,47]</t>
  </si>
  <si>
    <t>value_s[1,48]</t>
  </si>
  <si>
    <t>value_s[1,49]</t>
  </si>
  <si>
    <t>value_s[1,10]</t>
  </si>
  <si>
    <t>value_s[1,20]</t>
  </si>
  <si>
    <t>value_s[1,30]</t>
  </si>
  <si>
    <t>value_s[1,40]</t>
  </si>
  <si>
    <t>Compound</t>
  </si>
  <si>
    <t>Import ID</t>
  </si>
  <si>
    <t>Production date</t>
  </si>
  <si>
    <t>Fi</t>
  </si>
  <si>
    <t>EF_650/65R42TRO174</t>
  </si>
  <si>
    <t>24120081</t>
  </si>
  <si>
    <r>
      <t>User : Peter.Schepens</t>
    </r>
    <r>
      <rPr>
        <sz val="8"/>
        <color rgb="FF000000"/>
        <rFont val="ARIAL"/>
      </rPr>
      <t> ­ </t>
    </r>
    <r>
      <rPr>
        <sz val="8"/>
        <color rgb="FF000000"/>
        <rFont val="ARIAL"/>
      </rPr>
      <t>Report created : 26-03-2024</t>
    </r>
    <r>
      <rPr>
        <sz val="8"/>
        <color rgb="FF000000"/>
        <rFont val="ARIAL"/>
      </rPr>
      <t> ­ </t>
    </r>
    <r>
      <rPr>
        <sz val="8"/>
        <color rgb="FF000000"/>
        <rFont val="ARIAL"/>
      </rPr>
      <t xml:space="preserve">Data actualized : 26-03-2024 16:53    </t>
    </r>
    <r>
      <rPr>
        <sz val="8"/>
        <color rgb="FF000000"/>
        <rFont val="ARIAL"/>
      </rPr>
      <t> ­ </t>
    </r>
    <r>
      <rPr>
        <sz val="8"/>
        <color rgb="FF000000"/>
        <rFont val="ARIAL"/>
      </rPr>
      <t>Report name : UNI00036R_dispersion</t>
    </r>
    <r>
      <rPr>
        <sz val="8"/>
        <color rgb="FF000000"/>
        <rFont val="ARIAL"/>
      </rPr>
      <t> ­ </t>
    </r>
    <r>
      <rPr>
        <sz val="8"/>
        <color rgb="FF000000"/>
        <rFont val="ARIAL"/>
      </rPr>
      <t>Report owner : Benthem, H. van</t>
    </r>
    <r>
      <rPr>
        <sz val="8"/>
        <color rgb="FF000000"/>
        <rFont val="ARIAL"/>
      </rPr>
      <t> ­ </t>
    </r>
    <r>
      <rPr>
        <sz val="8"/>
        <color rgb="FF000000"/>
        <rFont val="ARIAL"/>
      </rPr>
      <t xml:space="preserve">Revision : 7f418736956d             </t>
    </r>
  </si>
  <si>
    <t>Component</t>
  </si>
  <si>
    <t>Description</t>
  </si>
  <si>
    <t>Vol%</t>
  </si>
  <si>
    <r>
      <t>Exploded part</t>
    </r>
    <r>
      <rPr>
        <sz val="10"/>
        <color rgb="FF000000"/>
        <rFont val="ARIAL"/>
      </rPr>
      <t xml:space="preserve">: </t>
    </r>
    <r>
      <rPr>
        <sz val="10"/>
        <color rgb="FF000000"/>
        <rFont val="ARIAL"/>
      </rPr>
      <t>EF_650/65R42TRO174</t>
    </r>
  </si>
  <si>
    <t>Alternative:          1 - Plant: ENS</t>
  </si>
  <si>
    <t>EG_L650/65R42-174G</t>
  </si>
  <si>
    <t>GREENTIRE (32)</t>
  </si>
  <si>
    <t>    EK_L650/65R42-174K</t>
  </si>
  <si>
    <t>KARKAS (32)</t>
  </si>
  <si>
    <t>        ER_HE01-130</t>
  </si>
  <si>
    <t>SCHAAFSTROOK NYLON</t>
  </si>
  <si>
    <t>            ER_HE01-45-0820</t>
  </si>
  <si>
    <t>SCHAAFSTROOK MATERIAAL</t>
  </si>
  <si>
    <t>                EC_HE1P</t>
  </si>
  <si>
    <t>REKNUMMER HE01 (IN PLASTIC)</t>
  </si>
  <si>
    <t>                    GR_7911</t>
  </si>
  <si>
    <t>Nylon non-wicking chafer fabric</t>
  </si>
  <si>
    <t>                    EM_766</t>
  </si>
  <si>
    <t>FM carcass PCR, Belt SM/Agriculture</t>
  </si>
  <si>
    <t>                        EM_466</t>
  </si>
  <si>
    <t>MB carcass PCR , Belt SM / Agriculture</t>
  </si>
  <si>
    <t>                            GR_1151</t>
  </si>
  <si>
    <t>NR (TSR 20, mooney 80)</t>
  </si>
  <si>
    <t>                            GR_1315</t>
  </si>
  <si>
    <t>SBR 1502</t>
  </si>
  <si>
    <t>                            GR_2161</t>
  </si>
  <si>
    <t>N 660 Carbon Black</t>
  </si>
  <si>
    <t>                            GR_4312</t>
  </si>
  <si>
    <t>Zinc oxyde  (indirect)</t>
  </si>
  <si>
    <t>                            GR_4651</t>
  </si>
  <si>
    <t>TMQ (Polymerized 2,2,4 tri methyl 1,2 di hydro quinoline)</t>
  </si>
  <si>
    <t>                            GR_5111</t>
  </si>
  <si>
    <t>Tackifier (p-Octyl phenol formaldehyde resin)</t>
  </si>
  <si>
    <t>                            GR_4321</t>
  </si>
  <si>
    <t>Stearic Acid</t>
  </si>
  <si>
    <t>                            GR_3511</t>
  </si>
  <si>
    <t>RAE (processing oil)</t>
  </si>
  <si>
    <t>                        GR_4221</t>
  </si>
  <si>
    <t>MBTS (Mercaptobezothiazole Disulfide)</t>
  </si>
  <si>
    <t>                        GR_4121</t>
  </si>
  <si>
    <t>Insoluble sulphur 20 % oil, High Dispersable</t>
  </si>
  <si>
    <t>                        GR_4411</t>
  </si>
  <si>
    <t>PVI  (CTP,   N-(cyclohexylthio) phthalimide)</t>
  </si>
  <si>
    <t>                    GR_9304</t>
  </si>
  <si>
    <t>yellow 1550 mm embossed film</t>
  </si>
  <si>
    <t>                GR_9308</t>
  </si>
  <si>
    <t>Yellow 850 mm embossed foil</t>
  </si>
  <si>
    <t>        EI_C650M</t>
  </si>
  <si>
    <t>VOERING 728  2.00X650</t>
  </si>
  <si>
    <t>            EM_728</t>
  </si>
  <si>
    <t>FM Innerliner agriculture</t>
  </si>
  <si>
    <t>                EM_428</t>
  </si>
  <si>
    <t>MB Innerliner agriculture</t>
  </si>
  <si>
    <t>                    GR_1151</t>
  </si>
  <si>
    <t>                    GR_1641</t>
  </si>
  <si>
    <t>Chlorobutylrubber</t>
  </si>
  <si>
    <t>                    GR_1711</t>
  </si>
  <si>
    <t>Natural rubber reclaim</t>
  </si>
  <si>
    <t>                    GR_1721</t>
  </si>
  <si>
    <t>Reclaim butyl</t>
  </si>
  <si>
    <t>                    GR_2132</t>
  </si>
  <si>
    <t>N 330 Carbon Black</t>
  </si>
  <si>
    <t>                    GR_2211</t>
  </si>
  <si>
    <t>Silica  (semi HDS)</t>
  </si>
  <si>
    <t>                    GR_2311</t>
  </si>
  <si>
    <t>China clay</t>
  </si>
  <si>
    <t>                    GR_3511</t>
  </si>
  <si>
    <t>                    GR_4312</t>
  </si>
  <si>
    <t>                    GR_4321</t>
  </si>
  <si>
    <t>                    GR_4651</t>
  </si>
  <si>
    <t>                    GR_5111</t>
  </si>
  <si>
    <t>                GR_4131</t>
  </si>
  <si>
    <t>Butylphenoldisulfide</t>
  </si>
  <si>
    <t>                GR_4211</t>
  </si>
  <si>
    <t>TBBS (N-Tert-Butyl-2 benzo-thiazole sulfenamide)</t>
  </si>
  <si>
    <t>                GR_4121</t>
  </si>
  <si>
    <t>        EI_C650T</t>
  </si>
  <si>
    <t>        EI_P830</t>
  </si>
  <si>
    <t>VOERING 745  1,50X830</t>
  </si>
  <si>
    <t>            EM_745</t>
  </si>
  <si>
    <t>FM Technical layer agriculture</t>
  </si>
  <si>
    <t>                EM_545</t>
  </si>
  <si>
    <t>Remill Technical layer agriculture</t>
  </si>
  <si>
    <t>                    EM_445</t>
  </si>
  <si>
    <t>MB Technical Layer Agriculture</t>
  </si>
  <si>
    <t>                        GR_1151</t>
  </si>
  <si>
    <t>                        GR_1411</t>
  </si>
  <si>
    <t>Butadiene Rubber, high cis (Nd catalyst)</t>
  </si>
  <si>
    <t>                        GR_1711</t>
  </si>
  <si>
    <t>                        GR_2132</t>
  </si>
  <si>
    <t>                        GR_2161</t>
  </si>
  <si>
    <t>                        GR_2211</t>
  </si>
  <si>
    <t>                        GR_3511</t>
  </si>
  <si>
    <t>                        GR_4312</t>
  </si>
  <si>
    <t>                        GR_4321</t>
  </si>
  <si>
    <t>                        GR_4651</t>
  </si>
  <si>
    <t>                        GR_4611</t>
  </si>
  <si>
    <t>6PPD</t>
  </si>
  <si>
    <t>                        GR_5111</t>
  </si>
  <si>
    <t>                GR_4213</t>
  </si>
  <si>
    <t>CBS (N-Cyclohexyl-2-benzo thiazolesulfenamide)</t>
  </si>
  <si>
    <t>        EX_V200</t>
  </si>
  <si>
    <t>KARKASSTROOK  761 2.00X200</t>
  </si>
  <si>
    <t>            EI_V830</t>
  </si>
  <si>
    <t>Insert stroken 761  2.00X830</t>
  </si>
  <si>
    <t>                EM_761</t>
  </si>
  <si>
    <t>FM Carcass agriculture</t>
  </si>
  <si>
    <t>                    EM_461</t>
  </si>
  <si>
    <t>MB Carcas Agriculture</t>
  </si>
  <si>
    <t>                        GR_2131</t>
  </si>
  <si>
    <t>N 326 Carbon Black</t>
  </si>
  <si>
    <t>                        GR_5212</t>
  </si>
  <si>
    <t>Mixture of aromatic and aliphatic hydrocarbons</t>
  </si>
  <si>
    <t>                        GR_5214</t>
  </si>
  <si>
    <t>DBD (Peptizer)</t>
  </si>
  <si>
    <t>                        GR_5215</t>
  </si>
  <si>
    <t>Zinc salt of fatty acids</t>
  </si>
  <si>
    <t>                    GR_4221</t>
  </si>
  <si>
    <t>                    GR_4121</t>
  </si>
  <si>
    <t>                    GR_2612</t>
  </si>
  <si>
    <t>TESPT / carbon black (50/50)</t>
  </si>
  <si>
    <t>                GR_9306</t>
  </si>
  <si>
    <t>white 850 mm embossed film</t>
  </si>
  <si>
    <t>        ER_SE06-85-1520</t>
  </si>
  <si>
    <t>PLY WI/BL</t>
  </si>
  <si>
    <t>            EC_SE06</t>
  </si>
  <si>
    <t>REKNUMMER SE-06 WIT/BLAUW</t>
  </si>
  <si>
    <t>                GR_7611</t>
  </si>
  <si>
    <t>Nylon 1880*3 dtex 73 epdm dipped fabric</t>
  </si>
  <si>
    <t>                GR_8705</t>
  </si>
  <si>
    <t>merkgaren Wit</t>
  </si>
  <si>
    <t>                GR_8713</t>
  </si>
  <si>
    <t>merkgaren Blauw</t>
  </si>
  <si>
    <t>        ER_SE06-85-1560</t>
  </si>
  <si>
    <t>        EB_33910E1110F</t>
  </si>
  <si>
    <t>HIEL  L=11  DR=10  VS=18 X 30  FL=120</t>
  </si>
  <si>
    <t>            EB_V33910E1110F</t>
  </si>
  <si>
    <t>HIEL  L=11  DR=10</t>
  </si>
  <si>
    <t>                GR_5512</t>
  </si>
  <si>
    <t>Bead wire 1.30 HT</t>
  </si>
  <si>
    <t>                EM_700</t>
  </si>
  <si>
    <t>FM Bead</t>
  </si>
  <si>
    <t>                    EM_400</t>
  </si>
  <si>
    <t>MB Bead</t>
  </si>
  <si>
    <t>                        GR_1312</t>
  </si>
  <si>
    <t>SBR 1507 / 1509</t>
  </si>
  <si>
    <t>                        GR_5141</t>
  </si>
  <si>
    <t>Phenol-formaldehyde resin (cashew oil modified)</t>
  </si>
  <si>
    <t>                    GR_4231</t>
  </si>
  <si>
    <t>DPG (Diphenyl guanidine)</t>
  </si>
  <si>
    <t>                    GR_4111</t>
  </si>
  <si>
    <t>Sulphur (soluble, 1% oil)</t>
  </si>
  <si>
    <t>                    GR_5421</t>
  </si>
  <si>
    <t>HMMM (Hexa methoxy methyl melamine (72% )</t>
  </si>
  <si>
    <t>                    GR_4213</t>
  </si>
  <si>
    <t>            EM_747</t>
  </si>
  <si>
    <t>FM Apex PCR</t>
  </si>
  <si>
    <t>                EM_447</t>
  </si>
  <si>
    <t>MB Apex</t>
  </si>
  <si>
    <t>                    GR_1412</t>
  </si>
  <si>
    <t>Butadiene Rubber, high cis (Nd catalyst) easy processible</t>
  </si>
  <si>
    <t>                    GR_4611</t>
  </si>
  <si>
    <t>                    GR_5141</t>
  </si>
  <si>
    <t>                    GR_5112</t>
  </si>
  <si>
    <t>Koresin</t>
  </si>
  <si>
    <t>                    GR_5212</t>
  </si>
  <si>
    <t>                    GR_5214</t>
  </si>
  <si>
    <t>                    GR_5215</t>
  </si>
  <si>
    <t>                GR_5413</t>
  </si>
  <si>
    <t>HMTA 1.693kg preweighted</t>
  </si>
  <si>
    <t>                GR_4411</t>
  </si>
  <si>
    <t>                GR_5141</t>
  </si>
  <si>
    <t>            ER_NE03-60-0120</t>
  </si>
  <si>
    <t>FLIPPER GE/GE</t>
  </si>
  <si>
    <t>                ER_NE03-60-0770</t>
  </si>
  <si>
    <t>FLIPPERMATERIAAL</t>
  </si>
  <si>
    <t>                    EC_NE03</t>
  </si>
  <si>
    <t>REKNUMMER NE03 GEEL/GEEL</t>
  </si>
  <si>
    <t>                        GR_7511</t>
  </si>
  <si>
    <t>Nylon 1880*2 dtex 88 epdm dipped fabric</t>
  </si>
  <si>
    <t>                        EM_766</t>
  </si>
  <si>
    <t>                            EM_466</t>
  </si>
  <si>
    <t>                                GR_1151</t>
  </si>
  <si>
    <t>                                GR_1315</t>
  </si>
  <si>
    <t>                                GR_2161</t>
  </si>
  <si>
    <t>                                GR_4312</t>
  </si>
  <si>
    <t>                                GR_4651</t>
  </si>
  <si>
    <t>                                GR_5111</t>
  </si>
  <si>
    <t>                                GR_4321</t>
  </si>
  <si>
    <t>                                GR_3511</t>
  </si>
  <si>
    <t>                            GR_4221</t>
  </si>
  <si>
    <t>                            GR_4121</t>
  </si>
  <si>
    <t>                            GR_4411</t>
  </si>
  <si>
    <t>                        GR_8707</t>
  </si>
  <si>
    <t>merkgaren Geel</t>
  </si>
  <si>
    <t>                    GR_9306</t>
  </si>
  <si>
    <t>        ER_SE06-85-1220</t>
  </si>
  <si>
    <t>        ES_RC17-100H</t>
  </si>
  <si>
    <t>VELGRUBBER  742</t>
  </si>
  <si>
    <t>            EM_742</t>
  </si>
  <si>
    <t>FM rimcushion</t>
  </si>
  <si>
    <t>                EM_542</t>
  </si>
  <si>
    <t>Remill Rimcushion</t>
  </si>
  <si>
    <t>                    EM_442</t>
  </si>
  <si>
    <t>MB Rimcushion</t>
  </si>
  <si>
    <t>        ES_L650/65R42-174A</t>
  </si>
  <si>
    <t>ZIJKANT  B=395 P=30 L=3760 G=24,93</t>
  </si>
  <si>
    <t>            EM_723</t>
  </si>
  <si>
    <t>FM Sidewall Agriculture</t>
  </si>
  <si>
    <t>                EM_423</t>
  </si>
  <si>
    <t>MB Sidewall Agriculture</t>
  </si>
  <si>
    <t>                    GR_1315</t>
  </si>
  <si>
    <t>                    GR_1411</t>
  </si>
  <si>
    <t>                    GR_4711</t>
  </si>
  <si>
    <t>Anti ozone wax</t>
  </si>
  <si>
    <t>    ER_RE01-30-0640A</t>
  </si>
  <si>
    <t>GORDEL BL/GE/GE A-gordel</t>
  </si>
  <si>
    <t>        EC_RE01</t>
  </si>
  <si>
    <t>REKNUMMER RE01 BLAUW/GEEL/GEEL</t>
  </si>
  <si>
    <t>            GR_6411</t>
  </si>
  <si>
    <t>Rayon 3680*2 72 epdm dipped fabric</t>
  </si>
  <si>
    <t>            EM_763</t>
  </si>
  <si>
    <t>FM Agri Belt compound</t>
  </si>
  <si>
    <t>                EM_463</t>
  </si>
  <si>
    <t>MB Agri Belt compound</t>
  </si>
  <si>
    <t>                    GR_1352</t>
  </si>
  <si>
    <t>SBR 1723 (OE, TDAE)</t>
  </si>
  <si>
    <t>                    GR_2161</t>
  </si>
  <si>
    <t>                    GR_5131</t>
  </si>
  <si>
    <t>Resorcinol-formaldehyde resin</t>
  </si>
  <si>
    <t>                GR_4111</t>
  </si>
  <si>
    <t>                GR_4221</t>
  </si>
  <si>
    <t>                GR_5421</t>
  </si>
  <si>
    <t>            GR_8713</t>
  </si>
  <si>
    <t>            GR_8707</t>
  </si>
  <si>
    <t>    ER_RE01-30-0640B</t>
  </si>
  <si>
    <t>GORDEL BL/GE/GE B-gordel</t>
  </si>
  <si>
    <t>    EM_716</t>
  </si>
  <si>
    <t>FM Tread agri</t>
  </si>
  <si>
    <t>        EM_416</t>
  </si>
  <si>
    <t>MB tread agri</t>
  </si>
  <si>
    <t>            GR_1312</t>
  </si>
  <si>
    <t>            GR_1411</t>
  </si>
  <si>
    <t>            GR_2111</t>
  </si>
  <si>
    <t>N 134 SAF Carbon Black</t>
  </si>
  <si>
    <t>            GR_2134</t>
  </si>
  <si>
    <t>N 339 Carbon Black</t>
  </si>
  <si>
    <t>            GR_3511</t>
  </si>
  <si>
    <t>            GR_4312</t>
  </si>
  <si>
    <t>            GR_4321</t>
  </si>
  <si>
    <t>            GR_4611</t>
  </si>
  <si>
    <t>            GR_4651</t>
  </si>
  <si>
    <t>            GR_4711</t>
  </si>
  <si>
    <t>            GR_5120</t>
  </si>
  <si>
    <t>Gum Rosin C</t>
  </si>
  <si>
    <t>        GR_4211</t>
  </si>
  <si>
    <t>        GR_4111</t>
  </si>
  <si>
    <t>        GR_4231</t>
  </si>
  <si>
    <t>        GR_4411</t>
  </si>
  <si>
    <r>
      <t>User : Peter.Schepens</t>
    </r>
    <r>
      <rPr>
        <sz val="8"/>
        <color rgb="FF000000"/>
        <rFont val="ARIAL"/>
      </rPr>
      <t> ­ </t>
    </r>
    <r>
      <rPr>
        <sz val="8"/>
        <color rgb="FF000000"/>
        <rFont val="ARIAL"/>
      </rPr>
      <t>Report created : 26-03-2024</t>
    </r>
    <r>
      <rPr>
        <sz val="8"/>
        <color rgb="FF000000"/>
        <rFont val="ARIAL"/>
      </rPr>
      <t> ­ </t>
    </r>
    <r>
      <rPr>
        <sz val="8"/>
        <color rgb="FF000000"/>
        <rFont val="ARIAL"/>
      </rPr>
      <t xml:space="preserve">Data actualized : 26-03-2024 16:53    </t>
    </r>
    <r>
      <rPr>
        <sz val="8"/>
        <color rgb="FF000000"/>
        <rFont val="ARIAL"/>
      </rPr>
      <t> ­ </t>
    </r>
    <r>
      <rPr>
        <sz val="8"/>
        <color rgb="FF000000"/>
        <rFont val="ARIAL"/>
      </rPr>
      <t>Report name : UNI00036R_dispersion</t>
    </r>
    <r>
      <rPr>
        <sz val="8"/>
        <color rgb="FF000000"/>
        <rFont val="ARIAL"/>
      </rPr>
      <t> ­ </t>
    </r>
    <r>
      <rPr>
        <sz val="8"/>
        <color rgb="FF000000"/>
        <rFont val="ARIAL"/>
      </rPr>
      <t>Report owner : Benthem, H. van</t>
    </r>
    <r>
      <rPr>
        <sz val="8"/>
        <color rgb="FF000000"/>
        <rFont val="ARIAL"/>
      </rPr>
      <t> ­ </t>
    </r>
    <r>
      <rPr>
        <sz val="8"/>
        <color rgb="FF000000"/>
        <rFont val="ARIAL"/>
      </rPr>
      <t xml:space="preserve">Revision : 7f418736956d            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</si>
</sst>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m/d/yy\ h:mm;@"/>
    <numFmt numFmtId="166" formatCode="0.000"/>
    <numFmt numFmtId="167" formatCode="#,##0.000"/>
    <numFmt numFmtId="168" formatCode="yyyy/mm/dd\ hh:mm:ss"/>
    <numFmt numFmtId="169" formatCode="#,###.00%;\-#,###.00%;"/>
    <numFmt numFmtId="170" formatCode="#,###.00%;\-#,###.00%;&quot;.&quot;"/>
  </numFmts>
  <fonts count="32" x14ac:knownFonts="1">
    <font>
      <sz val="10"/>
      <name val="Arial"/>
    </font>
    <font>
      <sz val="11"/>
      <color indexed="8"/>
      <name val="Calibri"/>
      <family val="2"/>
    </font>
    <font>
      <sz val="10"/>
      <name val="Arial"/>
      <family val="2"/>
    </font>
    <font>
      <sz val="12"/>
      <name val="Arial"/>
      <family val="2"/>
    </font>
    <font>
      <sz val="10"/>
      <name val="Arial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u/>
      <sz val="10"/>
      <color rgb="FF800080"/>
      <name val="Arial"/>
      <family val="2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0"/>
      <color rgb="FF0000FF"/>
      <name val="Arial"/>
      <family val="2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0000"/>
      <name val="ARIAL"/>
    </font>
    <font>
      <sz val="10"/>
      <color rgb="FF000000"/>
      <name val="ARIAL"/>
    </font>
    <font>
      <b/>
      <sz val="10"/>
      <color rgb="FF000000"/>
      <name val="ARIAL"/>
    </font>
    <font>
      <sz val="8"/>
      <color rgb="FF000000"/>
      <name val="ARIAL"/>
    </font>
    <font>
      <sz val="10"/>
      <color rgb="FF000000"/>
      <name val="ARIAL"/>
    </font>
    <font>
      <b/>
      <sz val="10"/>
      <color rgb="FF000000"/>
      <name val="ARIAL"/>
    </font>
    <font>
      <sz val="8"/>
      <color rgb="FF000000"/>
      <name val="ARIAL"/>
    </font>
  </fonts>
  <fills count="38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92D050"/>
        <bgColor indexed="64"/>
      </patternFill>
    </fill>
    <fill>
      <patternFill patternType="none"/>
    </fill>
    <fill>
      <patternFill patternType="none"/>
    </fill>
    <fill>
      <patternFill patternType="solid">
        <fgColor rgb="FFDDDDDD"/>
      </patternFill>
    </fill>
  </fills>
  <borders count="1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27" borderId="0" applyNumberFormat="0" applyBorder="0" applyAlignment="0" applyProtection="0"/>
    <xf numFmtId="0" fontId="9" fillId="28" borderId="8" applyNumberFormat="0" applyAlignment="0" applyProtection="0"/>
    <xf numFmtId="0" fontId="10" fillId="29" borderId="9" applyNumberFormat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30" borderId="0" applyNumberFormat="0" applyBorder="0" applyAlignment="0" applyProtection="0"/>
    <xf numFmtId="0" fontId="14" fillId="0" borderId="10" applyNumberFormat="0" applyFill="0" applyAlignment="0" applyProtection="0"/>
    <xf numFmtId="0" fontId="15" fillId="0" borderId="11" applyNumberFormat="0" applyFill="0" applyAlignment="0" applyProtection="0"/>
    <xf numFmtId="0" fontId="16" fillId="0" borderId="12" applyNumberFormat="0" applyFill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31" borderId="8" applyNumberFormat="0" applyAlignment="0" applyProtection="0"/>
    <xf numFmtId="0" fontId="19" fillId="0" borderId="13" applyNumberFormat="0" applyFill="0" applyAlignment="0" applyProtection="0"/>
    <xf numFmtId="0" fontId="20" fillId="32" borderId="0" applyNumberFormat="0" applyBorder="0" applyAlignment="0" applyProtection="0"/>
    <xf numFmtId="0" fontId="3" fillId="0" borderId="0"/>
    <xf numFmtId="0" fontId="1" fillId="33" borderId="14" applyNumberFormat="0" applyFont="0" applyAlignment="0" applyProtection="0"/>
    <xf numFmtId="0" fontId="21" fillId="28" borderId="15" applyNumberFormat="0" applyAlignment="0" applyProtection="0"/>
    <xf numFmtId="0" fontId="22" fillId="0" borderId="0" applyNumberFormat="0" applyFill="0" applyBorder="0" applyAlignment="0" applyProtection="0"/>
    <xf numFmtId="0" fontId="23" fillId="0" borderId="16" applyNumberFormat="0" applyFill="0" applyAlignment="0" applyProtection="0"/>
    <xf numFmtId="0" fontId="24" fillId="0" borderId="0" applyNumberFormat="0" applyFill="0" applyBorder="0" applyAlignment="0" applyProtection="0"/>
  </cellStyleXfs>
  <cellXfs count="49">
    <xf numFmtId="0" fontId="2" fillId="0" borderId="0" xfId="0" applyFont="1"/>
    <xf numFmtId="0" fontId="0" fillId="0" borderId="0" xfId="0"/>
    <xf numFmtId="2" fontId="0" fillId="0" borderId="0" xfId="0" applyNumberFormat="1"/>
    <xf numFmtId="3" fontId="0" fillId="0" borderId="0" xfId="0" applyNumberFormat="1"/>
    <xf numFmtId="0" fontId="0" fillId="0" borderId="1" xfId="0" applyBorder="1"/>
    <xf numFmtId="0" fontId="18" fillId="31" borderId="2" xfId="36" applyBorder="1" applyAlignment="1">
      <alignment horizontal="center"/>
    </xf>
    <xf numFmtId="0" fontId="0" fillId="0" borderId="3" xfId="0" applyBorder="1"/>
    <xf numFmtId="0" fontId="18" fillId="31" borderId="4" xfId="36" applyBorder="1" applyAlignment="1">
      <alignment horizontal="center"/>
    </xf>
    <xf numFmtId="2" fontId="10" fillId="29" borderId="9" xfId="27" applyNumberFormat="1" applyAlignment="1">
      <alignment horizontal="center"/>
    </xf>
    <xf numFmtId="0" fontId="0" fillId="0" borderId="5" xfId="0" applyBorder="1"/>
    <xf numFmtId="164" fontId="10" fillId="29" borderId="9" xfId="27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18" fillId="31" borderId="6" xfId="36" applyNumberFormat="1" applyBorder="1" applyAlignment="1">
      <alignment horizontal="center"/>
    </xf>
    <xf numFmtId="0" fontId="2" fillId="0" borderId="0" xfId="0" applyFont="1" applyAlignment="1">
      <alignment horizontal="center"/>
    </xf>
    <xf numFmtId="167" fontId="0" fillId="0" borderId="0" xfId="0" applyNumberFormat="1"/>
    <xf numFmtId="0" fontId="0" fillId="0" borderId="7" xfId="0" applyBorder="1" applyAlignment="1">
      <alignment horizontal="center"/>
    </xf>
    <xf numFmtId="0" fontId="0" fillId="0" borderId="7" xfId="0" applyBorder="1"/>
    <xf numFmtId="166" fontId="18" fillId="31" borderId="8" xfId="36" applyNumberFormat="1" applyAlignment="1">
      <alignment horizontal="center"/>
    </xf>
    <xf numFmtId="0" fontId="5" fillId="0" borderId="0" xfId="0" applyFont="1"/>
    <xf numFmtId="0" fontId="0" fillId="2" borderId="0" xfId="0" applyFill="1"/>
    <xf numFmtId="1" fontId="0" fillId="2" borderId="0" xfId="0" applyNumberFormat="1" applyFill="1"/>
    <xf numFmtId="0" fontId="4" fillId="0" borderId="0" xfId="0" applyFont="1"/>
    <xf numFmtId="1" fontId="0" fillId="0" borderId="0" xfId="0" applyNumberFormat="1"/>
    <xf numFmtId="164" fontId="0" fillId="2" borderId="0" xfId="0" applyNumberFormat="1" applyFill="1"/>
    <xf numFmtId="1" fontId="2" fillId="2" borderId="0" xfId="0" applyNumberFormat="1" applyFont="1" applyFill="1"/>
    <xf numFmtId="2" fontId="0" fillId="2" borderId="0" xfId="0" applyNumberFormat="1" applyFill="1"/>
    <xf numFmtId="0" fontId="0" fillId="34" borderId="0" xfId="0" applyFill="1"/>
    <xf numFmtId="1" fontId="0" fillId="34" borderId="0" xfId="0" applyNumberFormat="1" applyFill="1"/>
    <xf numFmtId="2" fontId="0" fillId="34" borderId="0" xfId="0" applyNumberFormat="1" applyFill="1"/>
    <xf numFmtId="166" fontId="0" fillId="0" borderId="0" xfId="0" applyNumberFormat="1"/>
    <xf numFmtId="1" fontId="2" fillId="34" borderId="0" xfId="0" applyNumberFormat="1" applyFont="1" applyFill="1"/>
    <xf numFmtId="2" fontId="18" fillId="31" borderId="4" xfId="36" applyNumberFormat="1" applyBorder="1" applyAlignment="1">
      <alignment horizontal="center"/>
    </xf>
    <xf numFmtId="0" fontId="27" fillId="35" borderId="0" xfId="0" applyFont="1" applyFill="1" applyAlignment="1">
      <alignment horizontal="left" wrapText="1"/>
    </xf>
    <xf numFmtId="0" fontId="27" fillId="35" borderId="0" xfId="0" applyFont="1" applyFill="1" applyAlignment="1">
      <alignment horizontal="right" wrapText="1"/>
    </xf>
    <xf numFmtId="0" fontId="26" fillId="35" borderId="0" xfId="0" applyFont="1" applyFill="1" applyAlignment="1">
      <alignment horizontal="left" wrapText="1"/>
    </xf>
    <xf numFmtId="168" fontId="26" fillId="35" borderId="0" xfId="0" applyNumberFormat="1" applyFont="1" applyFill="1" applyAlignment="1">
      <alignment horizontal="left"/>
    </xf>
    <xf numFmtId="169" fontId="26" fillId="35" borderId="0" xfId="0" applyNumberFormat="1" applyFont="1" applyFill="1" applyAlignment="1">
      <alignment horizontal="right"/>
    </xf>
    <xf numFmtId="0" fontId="30" fillId="36" borderId="0" xfId="0" applyFont="1" applyFill="1" applyAlignment="1">
      <alignment horizontal="left" wrapText="1"/>
    </xf>
    <xf numFmtId="0" fontId="30" fillId="36" borderId="0" xfId="0" applyFont="1" applyFill="1" applyAlignment="1">
      <alignment horizontal="right" wrapText="1"/>
    </xf>
    <xf numFmtId="0" fontId="29" fillId="36" borderId="0" xfId="0" applyFont="1" applyFill="1" applyAlignment="1">
      <alignment horizontal="left" wrapText="1"/>
    </xf>
    <xf numFmtId="170" fontId="29" fillId="36" borderId="0" xfId="0" applyNumberFormat="1" applyFont="1" applyFill="1" applyAlignment="1">
      <alignment horizontal="right"/>
    </xf>
    <xf numFmtId="169" fontId="29" fillId="36" borderId="0" xfId="0" applyNumberFormat="1" applyFont="1" applyFill="1" applyAlignment="1">
      <alignment horizontal="right"/>
    </xf>
    <xf numFmtId="0" fontId="28" fillId="35" borderId="0" xfId="0" applyFont="1" applyFill="1" applyAlignment="1">
      <alignment horizontal="center" wrapText="1"/>
    </xf>
    <xf numFmtId="0" fontId="2" fillId="0" borderId="0" xfId="0" applyFont="1"/>
    <xf numFmtId="0" fontId="29" fillId="36" borderId="0" xfId="0" applyFont="1" applyFill="1" applyAlignment="1">
      <alignment wrapText="1"/>
    </xf>
    <xf numFmtId="0" fontId="30" fillId="37" borderId="0" xfId="0" applyFont="1" applyFill="1" applyAlignment="1">
      <alignment wrapText="1"/>
    </xf>
    <xf numFmtId="0" fontId="31" fillId="36" borderId="0" xfId="0" applyFont="1" applyFill="1" applyAlignment="1">
      <alignment horizontal="center" wrapText="1"/>
    </xf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erekening" xfId="26" builtinId="22" customBuiltin="1"/>
    <cellStyle name="Controlecel" xfId="27" builtinId="23" customBuiltin="1"/>
    <cellStyle name="Gekoppelde cel" xfId="37" builtinId="24" customBuiltin="1"/>
    <cellStyle name="Gevolgde hyperlink" xfId="29" builtinId="9" customBuiltin="1"/>
    <cellStyle name="Goed" xfId="30" builtinId="26" customBuiltin="1"/>
    <cellStyle name="Hyperlink" xfId="35" builtinId="8" customBuiltin="1"/>
    <cellStyle name="Invoer" xfId="36" builtinId="20" customBuiltin="1"/>
    <cellStyle name="Kop 1" xfId="31" builtinId="16" customBuiltin="1"/>
    <cellStyle name="Kop 2" xfId="32" builtinId="17" customBuiltin="1"/>
    <cellStyle name="Kop 3" xfId="33" builtinId="18" customBuiltin="1"/>
    <cellStyle name="Kop 4" xfId="34" builtinId="19" customBuiltin="1"/>
    <cellStyle name="Neutraal" xfId="38" builtinId="28" customBuiltin="1"/>
    <cellStyle name="Normal 2" xfId="39" xr:uid="{00000000-0005-0000-0000-000027000000}"/>
    <cellStyle name="Notitie" xfId="40" builtinId="10" customBuiltin="1"/>
    <cellStyle name="Ongeldig" xfId="25" builtinId="27" customBuiltin="1"/>
    <cellStyle name="Standaard" xfId="0" builtinId="0"/>
    <cellStyle name="Titel" xfId="42" builtinId="15" customBuiltin="1"/>
    <cellStyle name="Totaal" xfId="43" builtinId="25" customBuiltin="1"/>
    <cellStyle name="Uitvoer" xfId="41" builtinId="21" customBuiltin="1"/>
    <cellStyle name="Verklarende tekst" xfId="28" builtinId="53" customBuiltin="1"/>
    <cellStyle name="Waarschuwingstekst" xfId="4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57425919960789"/>
          <c:y val="0.16527364640081746"/>
          <c:w val="0.67490556947478153"/>
          <c:h val="0.657180797356767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invoer!$A$62:$A$63</c:f>
              <c:strCache>
                <c:ptCount val="2"/>
                <c:pt idx="0">
                  <c:v>Dk=</c:v>
                </c:pt>
                <c:pt idx="1">
                  <c:v>99.64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Lit>
              <c:formatCode>General</c:formatCode>
              <c:ptCount val="50"/>
              <c:pt idx="0">
                <c:v>1</c:v>
              </c:pt>
              <c:pt idx="1">
                <c:v>3</c:v>
              </c:pt>
              <c:pt idx="2">
                <c:v>5</c:v>
              </c:pt>
              <c:pt idx="3">
                <c:v>7</c:v>
              </c:pt>
              <c:pt idx="4">
                <c:v>9</c:v>
              </c:pt>
              <c:pt idx="5">
                <c:v>11</c:v>
              </c:pt>
              <c:pt idx="6">
                <c:v>13</c:v>
              </c:pt>
              <c:pt idx="7">
                <c:v>15</c:v>
              </c:pt>
              <c:pt idx="8">
                <c:v>17</c:v>
              </c:pt>
              <c:pt idx="9">
                <c:v>19</c:v>
              </c:pt>
              <c:pt idx="10">
                <c:v>21</c:v>
              </c:pt>
              <c:pt idx="11">
                <c:v>23</c:v>
              </c:pt>
              <c:pt idx="12">
                <c:v>25</c:v>
              </c:pt>
              <c:pt idx="13">
                <c:v>27</c:v>
              </c:pt>
              <c:pt idx="14">
                <c:v>29</c:v>
              </c:pt>
              <c:pt idx="15">
                <c:v>31</c:v>
              </c:pt>
              <c:pt idx="16">
                <c:v>33</c:v>
              </c:pt>
              <c:pt idx="17">
                <c:v>35</c:v>
              </c:pt>
              <c:pt idx="18">
                <c:v>37</c:v>
              </c:pt>
              <c:pt idx="19">
                <c:v>39</c:v>
              </c:pt>
              <c:pt idx="20">
                <c:v>41</c:v>
              </c:pt>
              <c:pt idx="21">
                <c:v>43</c:v>
              </c:pt>
              <c:pt idx="22">
                <c:v>45</c:v>
              </c:pt>
              <c:pt idx="23">
                <c:v>47</c:v>
              </c:pt>
              <c:pt idx="24">
                <c:v>49</c:v>
              </c:pt>
              <c:pt idx="25">
                <c:v>51</c:v>
              </c:pt>
              <c:pt idx="26">
                <c:v>53</c:v>
              </c:pt>
              <c:pt idx="27">
                <c:v>55</c:v>
              </c:pt>
              <c:pt idx="28">
                <c:v>57</c:v>
              </c:pt>
              <c:pt idx="29">
                <c:v>59</c:v>
              </c:pt>
              <c:pt idx="30">
                <c:v>61</c:v>
              </c:pt>
              <c:pt idx="31">
                <c:v>63</c:v>
              </c:pt>
              <c:pt idx="32">
                <c:v>65</c:v>
              </c:pt>
              <c:pt idx="33">
                <c:v>67</c:v>
              </c:pt>
              <c:pt idx="34">
                <c:v>69</c:v>
              </c:pt>
              <c:pt idx="35">
                <c:v>71</c:v>
              </c:pt>
              <c:pt idx="36">
                <c:v>73</c:v>
              </c:pt>
              <c:pt idx="37">
                <c:v>75</c:v>
              </c:pt>
              <c:pt idx="38">
                <c:v>77</c:v>
              </c:pt>
              <c:pt idx="39">
                <c:v>79</c:v>
              </c:pt>
              <c:pt idx="40">
                <c:v>81</c:v>
              </c:pt>
              <c:pt idx="41">
                <c:v>83</c:v>
              </c:pt>
              <c:pt idx="42">
                <c:v>85</c:v>
              </c:pt>
              <c:pt idx="43">
                <c:v>87</c:v>
              </c:pt>
              <c:pt idx="44">
                <c:v>89</c:v>
              </c:pt>
              <c:pt idx="45">
                <c:v>91</c:v>
              </c:pt>
              <c:pt idx="46">
                <c:v>93</c:v>
              </c:pt>
              <c:pt idx="47">
                <c:v>95</c:v>
              </c:pt>
              <c:pt idx="48">
                <c:v>97</c:v>
              </c:pt>
              <c:pt idx="49">
                <c:v>99</c:v>
              </c:pt>
            </c:numLit>
          </c:cat>
          <c:val>
            <c:numRef>
              <c:f>invoer!$B$5:$B$54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839</c:v>
                </c:pt>
                <c:pt idx="3">
                  <c:v>379</c:v>
                </c:pt>
                <c:pt idx="4">
                  <c:v>175</c:v>
                </c:pt>
                <c:pt idx="5">
                  <c:v>69</c:v>
                </c:pt>
                <c:pt idx="6">
                  <c:v>41</c:v>
                </c:pt>
                <c:pt idx="7">
                  <c:v>40</c:v>
                </c:pt>
                <c:pt idx="8">
                  <c:v>22</c:v>
                </c:pt>
                <c:pt idx="9">
                  <c:v>20</c:v>
                </c:pt>
                <c:pt idx="10">
                  <c:v>10</c:v>
                </c:pt>
                <c:pt idx="11">
                  <c:v>17</c:v>
                </c:pt>
                <c:pt idx="12">
                  <c:v>10</c:v>
                </c:pt>
                <c:pt idx="13">
                  <c:v>4</c:v>
                </c:pt>
                <c:pt idx="14">
                  <c:v>7</c:v>
                </c:pt>
                <c:pt idx="15">
                  <c:v>5</c:v>
                </c:pt>
                <c:pt idx="16">
                  <c:v>3</c:v>
                </c:pt>
                <c:pt idx="17">
                  <c:v>2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AA-4155-9A6D-A588E9F2065E}"/>
            </c:ext>
          </c:extLst>
        </c:ser>
        <c:ser>
          <c:idx val="1"/>
          <c:order val="1"/>
          <c:tx>
            <c:strRef>
              <c:f>invoer!$G$57:$G$58</c:f>
              <c:strCache>
                <c:ptCount val="2"/>
                <c:pt idx="0">
                  <c:v>U=</c:v>
                </c:pt>
                <c:pt idx="1">
                  <c:v>0.42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DBAA-4155-9A6D-A588E9F20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137600"/>
        <c:axId val="122139776"/>
      </c:barChart>
      <c:catAx>
        <c:axId val="1221376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NewCenturySchlbk"/>
                    <a:ea typeface="NewCenturySchlbk"/>
                    <a:cs typeface="NewCenturySchlbk"/>
                  </a:defRPr>
                </a:pPr>
                <a:r>
                  <a:rPr lang="nl-NL"/>
                  <a:t>Equivalent</a:t>
                </a:r>
                <a:r>
                  <a:rPr lang="nl-NL" baseline="0"/>
                  <a:t> </a:t>
                </a:r>
                <a:r>
                  <a:rPr lang="nl-NL"/>
                  <a:t>diameter (um)</a:t>
                </a:r>
              </a:p>
            </c:rich>
          </c:tx>
          <c:layout>
            <c:manualLayout>
              <c:xMode val="edge"/>
              <c:yMode val="edge"/>
              <c:x val="0.32699666811098327"/>
              <c:y val="0.90078318913839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22139776"/>
        <c:crosses val="autoZero"/>
        <c:auto val="1"/>
        <c:lblAlgn val="ctr"/>
        <c:lblOffset val="100"/>
        <c:tickLblSkip val="5"/>
        <c:tickMarkSkip val="1"/>
        <c:noMultiLvlLbl val="0"/>
      </c:catAx>
      <c:valAx>
        <c:axId val="1221397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NewCenturySchlbk"/>
                    <a:ea typeface="NewCenturySchlbk"/>
                    <a:cs typeface="NewCenturySchlbk"/>
                  </a:defRPr>
                </a:pPr>
                <a:r>
                  <a:rPr lang="nl-NL"/>
                  <a:t>Filler</a:t>
                </a:r>
                <a:r>
                  <a:rPr lang="nl-NL" baseline="0"/>
                  <a:t> </a:t>
                </a:r>
                <a:r>
                  <a:rPr lang="nl-NL"/>
                  <a:t>percentage (%)</a:t>
                </a:r>
              </a:p>
            </c:rich>
          </c:tx>
          <c:layout>
            <c:manualLayout>
              <c:xMode val="edge"/>
              <c:yMode val="edge"/>
              <c:x val="3.0418303973862852E-2"/>
              <c:y val="0.34347655617121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22137600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381628292668352"/>
          <c:y val="0.4607848093062441"/>
          <c:w val="0.13878348697873866"/>
          <c:h val="0.25630439713554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9525</xdr:rowOff>
    </xdr:from>
    <xdr:to>
      <xdr:col>5</xdr:col>
      <xdr:colOff>828675</xdr:colOff>
      <xdr:row>30</xdr:row>
      <xdr:rowOff>47625</xdr:rowOff>
    </xdr:to>
    <xdr:graphicFrame macro="">
      <xdr:nvGraphicFramePr>
        <xdr:cNvPr id="1138" name="Chart 1">
          <a:extLst>
            <a:ext uri="{FF2B5EF4-FFF2-40B4-BE49-F238E27FC236}">
              <a16:creationId xmlns:a16="http://schemas.microsoft.com/office/drawing/2014/main" id="{00000000-0008-0000-0400-000072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4</xdr:col>
      <xdr:colOff>838199</xdr:colOff>
      <xdr:row>2</xdr:row>
      <xdr:rowOff>1</xdr:rowOff>
    </xdr:from>
    <xdr:to>
      <xdr:col>6</xdr:col>
      <xdr:colOff>828675</xdr:colOff>
      <xdr:row>4</xdr:row>
      <xdr:rowOff>1</xdr:rowOff>
    </xdr:to>
    <xdr:sp macro="[0]!Savefil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467224" y="361951"/>
          <a:ext cx="1666876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nl-NL" sz="1100"/>
            <a:t>Save to location</a:t>
          </a: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819150</xdr:colOff>
      <xdr:row>7</xdr:row>
      <xdr:rowOff>9525</xdr:rowOff>
    </xdr:to>
    <xdr:sp macro="[0]!export_unilab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467225" y="942975"/>
          <a:ext cx="1657350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nl-NL" sz="1100"/>
            <a:t>Export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70"/>
  <sheetViews>
    <sheetView workbookViewId="0">
      <selection activeCell="E3" sqref="E3"/>
    </sheetView>
  </sheetViews>
  <sheetFormatPr defaultRowHeight="12.75" x14ac:dyDescent="0.2"/>
  <cols>
    <col min="1" max="7" width="9.140625" style="1"/>
    <col min="8" max="8" width="14.7109375" style="2" bestFit="1" customWidth="1"/>
    <col min="9" max="16384" width="9.140625" style="1"/>
  </cols>
  <sheetData>
    <row r="1" spans="1:10" x14ac:dyDescent="0.2">
      <c r="A1" s="1" t="s">
        <v>9</v>
      </c>
      <c r="B1" s="1" t="s">
        <v>10</v>
      </c>
      <c r="C1" s="1" t="s">
        <v>11</v>
      </c>
      <c r="D1" s="1" t="s">
        <v>11</v>
      </c>
      <c r="G1" s="1" t="s">
        <v>12</v>
      </c>
      <c r="H1" s="2" t="s">
        <v>13</v>
      </c>
      <c r="I1" s="1" t="s">
        <v>14</v>
      </c>
      <c r="J1" s="1" t="s">
        <v>15</v>
      </c>
    </row>
    <row r="2" spans="1:10" x14ac:dyDescent="0.2">
      <c r="A2" s="1" t="s">
        <v>16</v>
      </c>
      <c r="B2" s="1" t="s">
        <v>17</v>
      </c>
      <c r="C2" s="1" t="s">
        <v>16</v>
      </c>
      <c r="D2" s="1" t="s">
        <v>18</v>
      </c>
      <c r="G2" s="1">
        <v>1</v>
      </c>
      <c r="H2" s="2">
        <v>11704.93</v>
      </c>
      <c r="I2" s="1">
        <v>163</v>
      </c>
      <c r="J2" s="1">
        <v>2.4900000000000002</v>
      </c>
    </row>
    <row r="3" spans="1:10" x14ac:dyDescent="0.2">
      <c r="A3" s="1">
        <v>1</v>
      </c>
      <c r="B3" s="1">
        <v>0</v>
      </c>
      <c r="C3" s="1">
        <v>2</v>
      </c>
      <c r="D3" s="1">
        <v>0</v>
      </c>
      <c r="E3" s="1">
        <v>0</v>
      </c>
      <c r="G3" s="1">
        <v>2</v>
      </c>
      <c r="H3" s="2">
        <v>17447.21</v>
      </c>
      <c r="I3" s="1">
        <v>262</v>
      </c>
      <c r="J3" s="1">
        <v>3.72</v>
      </c>
    </row>
    <row r="4" spans="1:10" x14ac:dyDescent="0.2">
      <c r="A4" s="1">
        <v>2</v>
      </c>
      <c r="B4" s="1">
        <v>2</v>
      </c>
      <c r="C4" s="1">
        <v>4</v>
      </c>
      <c r="D4" s="1">
        <v>0</v>
      </c>
      <c r="E4" s="1">
        <v>0</v>
      </c>
      <c r="G4" s="1">
        <v>3</v>
      </c>
      <c r="H4" s="2">
        <v>12949.14</v>
      </c>
      <c r="I4" s="1">
        <v>213</v>
      </c>
      <c r="J4" s="1">
        <v>2.76</v>
      </c>
    </row>
    <row r="5" spans="1:10" x14ac:dyDescent="0.2">
      <c r="A5" s="1">
        <v>3</v>
      </c>
      <c r="B5" s="1">
        <v>4</v>
      </c>
      <c r="C5" s="1">
        <v>6</v>
      </c>
      <c r="D5" s="1">
        <v>839</v>
      </c>
      <c r="E5" s="1">
        <v>50.85</v>
      </c>
      <c r="G5" s="1">
        <v>4</v>
      </c>
      <c r="H5" s="2">
        <v>12122.2</v>
      </c>
      <c r="I5" s="1">
        <v>178</v>
      </c>
      <c r="J5" s="1">
        <v>2.58</v>
      </c>
    </row>
    <row r="6" spans="1:10" x14ac:dyDescent="0.2">
      <c r="A6" s="1">
        <v>4</v>
      </c>
      <c r="B6" s="1">
        <v>6</v>
      </c>
      <c r="C6" s="1">
        <v>8</v>
      </c>
      <c r="D6" s="1">
        <v>379</v>
      </c>
      <c r="E6" s="1">
        <v>22.97</v>
      </c>
      <c r="G6" s="1">
        <v>5</v>
      </c>
      <c r="H6" s="2">
        <v>9392.68</v>
      </c>
      <c r="I6" s="1">
        <v>151</v>
      </c>
      <c r="J6" s="1">
        <v>2</v>
      </c>
    </row>
    <row r="7" spans="1:10" x14ac:dyDescent="0.2">
      <c r="A7" s="1">
        <v>5</v>
      </c>
      <c r="B7" s="1">
        <v>8</v>
      </c>
      <c r="C7" s="1">
        <v>10</v>
      </c>
      <c r="D7" s="1">
        <v>175</v>
      </c>
      <c r="E7" s="1">
        <v>10.61</v>
      </c>
      <c r="G7" s="1">
        <v>6</v>
      </c>
      <c r="H7" s="2">
        <v>9409.9500000000007</v>
      </c>
      <c r="I7" s="1">
        <v>194</v>
      </c>
      <c r="J7" s="1">
        <v>2.0099999999999998</v>
      </c>
    </row>
    <row r="8" spans="1:10" x14ac:dyDescent="0.2">
      <c r="A8" s="1">
        <v>6</v>
      </c>
      <c r="B8" s="1">
        <v>10</v>
      </c>
      <c r="C8" s="1">
        <v>12</v>
      </c>
      <c r="D8" s="1">
        <v>69</v>
      </c>
      <c r="E8" s="1">
        <v>4.18</v>
      </c>
      <c r="G8" s="1">
        <v>7</v>
      </c>
      <c r="H8" s="2">
        <v>10802</v>
      </c>
      <c r="I8" s="1">
        <v>178</v>
      </c>
      <c r="J8" s="1">
        <v>2.2999999999999998</v>
      </c>
    </row>
    <row r="9" spans="1:10" x14ac:dyDescent="0.2">
      <c r="A9" s="1">
        <v>7</v>
      </c>
      <c r="B9" s="1">
        <v>12</v>
      </c>
      <c r="C9" s="1">
        <v>14</v>
      </c>
      <c r="D9" s="1">
        <v>41</v>
      </c>
      <c r="E9" s="1">
        <v>2.48</v>
      </c>
      <c r="G9" s="1">
        <v>8</v>
      </c>
      <c r="H9" s="2">
        <v>12544.3</v>
      </c>
      <c r="I9" s="1">
        <v>132</v>
      </c>
      <c r="J9" s="1">
        <v>2.67</v>
      </c>
    </row>
    <row r="10" spans="1:10" x14ac:dyDescent="0.2">
      <c r="A10" s="1">
        <v>8</v>
      </c>
      <c r="B10" s="1">
        <v>14</v>
      </c>
      <c r="C10" s="1">
        <v>16</v>
      </c>
      <c r="D10" s="1">
        <v>40</v>
      </c>
      <c r="E10" s="1">
        <v>2.42</v>
      </c>
      <c r="G10" s="1">
        <v>9</v>
      </c>
      <c r="H10" s="2">
        <v>12726.68</v>
      </c>
      <c r="I10" s="1">
        <v>179</v>
      </c>
      <c r="J10" s="1">
        <v>2.71</v>
      </c>
    </row>
    <row r="11" spans="1:10" x14ac:dyDescent="0.2">
      <c r="A11" s="1">
        <v>9</v>
      </c>
      <c r="B11" s="1">
        <v>16</v>
      </c>
      <c r="C11" s="1">
        <v>18</v>
      </c>
      <c r="D11" s="1">
        <v>22</v>
      </c>
      <c r="E11" s="1">
        <v>1.33</v>
      </c>
    </row>
    <row r="12" spans="1:10" x14ac:dyDescent="0.2">
      <c r="A12" s="1">
        <v>10</v>
      </c>
      <c r="B12" s="1">
        <v>18</v>
      </c>
      <c r="C12" s="1">
        <v>20</v>
      </c>
      <c r="D12" s="1">
        <v>20</v>
      </c>
      <c r="E12" s="1">
        <v>1.21</v>
      </c>
      <c r="G12" s="1" t="s">
        <v>19</v>
      </c>
      <c r="H12" s="2">
        <v>109099.092</v>
      </c>
      <c r="I12" s="3">
        <v>1650</v>
      </c>
      <c r="J12" s="3">
        <v>23.251999999999999</v>
      </c>
    </row>
    <row r="13" spans="1:10" x14ac:dyDescent="0.2">
      <c r="A13" s="1">
        <v>11</v>
      </c>
      <c r="B13" s="1">
        <v>20</v>
      </c>
      <c r="C13" s="1">
        <v>22</v>
      </c>
      <c r="D13" s="1">
        <v>10</v>
      </c>
      <c r="E13" s="1">
        <v>0.61</v>
      </c>
      <c r="G13" s="1" t="s">
        <v>20</v>
      </c>
      <c r="H13" s="2">
        <v>12122.120999999999</v>
      </c>
      <c r="I13" s="3">
        <v>183.333</v>
      </c>
      <c r="J13" s="3">
        <v>2.5840000000000001</v>
      </c>
    </row>
    <row r="14" spans="1:10" x14ac:dyDescent="0.2">
      <c r="A14" s="1">
        <v>12</v>
      </c>
      <c r="B14" s="1">
        <v>22</v>
      </c>
      <c r="C14" s="1">
        <v>24</v>
      </c>
      <c r="D14" s="1">
        <v>17</v>
      </c>
      <c r="E14" s="1">
        <v>1.03</v>
      </c>
      <c r="G14" s="1" t="s">
        <v>21</v>
      </c>
      <c r="H14" s="2">
        <v>2268.3000000000002</v>
      </c>
      <c r="I14" s="3">
        <v>35.515000000000001</v>
      </c>
      <c r="J14" s="3">
        <v>0.48299999999999998</v>
      </c>
    </row>
    <row r="15" spans="1:10" x14ac:dyDescent="0.2">
      <c r="A15" s="1">
        <v>13</v>
      </c>
      <c r="B15" s="1">
        <v>24</v>
      </c>
      <c r="C15" s="1">
        <v>26</v>
      </c>
      <c r="D15" s="1">
        <v>10</v>
      </c>
      <c r="E15" s="1">
        <v>0.61</v>
      </c>
      <c r="G15" s="1" t="s">
        <v>22</v>
      </c>
      <c r="H15" s="2">
        <v>756.1</v>
      </c>
      <c r="I15" s="3">
        <v>11.837999999999999</v>
      </c>
      <c r="J15" s="3">
        <v>0.161</v>
      </c>
    </row>
    <row r="16" spans="1:10" x14ac:dyDescent="0.2">
      <c r="A16" s="1">
        <v>14</v>
      </c>
      <c r="B16" s="1">
        <v>26</v>
      </c>
      <c r="C16" s="1">
        <v>28</v>
      </c>
      <c r="D16" s="1">
        <v>4</v>
      </c>
      <c r="E16" s="1">
        <v>0.24</v>
      </c>
      <c r="G16" s="1" t="s">
        <v>23</v>
      </c>
      <c r="H16" s="2">
        <v>17447.205000000002</v>
      </c>
      <c r="I16" s="3">
        <v>262</v>
      </c>
      <c r="J16" s="3">
        <v>3.718</v>
      </c>
    </row>
    <row r="17" spans="1:10" x14ac:dyDescent="0.2">
      <c r="A17" s="1">
        <v>15</v>
      </c>
      <c r="B17" s="1">
        <v>28</v>
      </c>
      <c r="C17" s="1">
        <v>30</v>
      </c>
      <c r="D17" s="1">
        <v>7</v>
      </c>
      <c r="E17" s="1">
        <v>0.42</v>
      </c>
      <c r="G17" s="1" t="s">
        <v>24</v>
      </c>
      <c r="H17" s="2">
        <v>9392.6830000000009</v>
      </c>
      <c r="I17" s="3">
        <v>132</v>
      </c>
      <c r="J17" s="3">
        <v>2.0019999999999998</v>
      </c>
    </row>
    <row r="18" spans="1:10" x14ac:dyDescent="0.2">
      <c r="A18" s="1">
        <v>16</v>
      </c>
      <c r="B18" s="1">
        <v>30</v>
      </c>
      <c r="C18" s="1">
        <v>32</v>
      </c>
      <c r="D18" s="1">
        <v>5</v>
      </c>
      <c r="E18" s="1">
        <v>0.3</v>
      </c>
      <c r="G18" s="1" t="s">
        <v>25</v>
      </c>
      <c r="H18" s="2">
        <v>9073.1990000000005</v>
      </c>
      <c r="I18" s="3">
        <v>142.06100000000001</v>
      </c>
      <c r="J18" s="3">
        <v>1.9339999999999999</v>
      </c>
    </row>
    <row r="19" spans="1:10" x14ac:dyDescent="0.2">
      <c r="A19" s="1">
        <v>17</v>
      </c>
      <c r="B19" s="1">
        <v>32</v>
      </c>
      <c r="C19" s="1">
        <v>34</v>
      </c>
      <c r="D19" s="1">
        <v>3</v>
      </c>
      <c r="E19" s="1">
        <v>0.18</v>
      </c>
    </row>
    <row r="20" spans="1:10" x14ac:dyDescent="0.2">
      <c r="A20" s="1">
        <v>18</v>
      </c>
      <c r="B20" s="1">
        <v>34</v>
      </c>
      <c r="C20" s="1">
        <v>36</v>
      </c>
      <c r="D20" s="1">
        <v>2</v>
      </c>
      <c r="E20" s="1">
        <v>0.12</v>
      </c>
    </row>
    <row r="21" spans="1:10" x14ac:dyDescent="0.2">
      <c r="A21" s="1">
        <v>19</v>
      </c>
      <c r="B21" s="1">
        <v>36</v>
      </c>
      <c r="C21" s="1">
        <v>38</v>
      </c>
      <c r="D21" s="1">
        <v>3</v>
      </c>
      <c r="E21" s="1">
        <v>0.18</v>
      </c>
    </row>
    <row r="22" spans="1:10" x14ac:dyDescent="0.2">
      <c r="A22" s="1">
        <v>20</v>
      </c>
      <c r="B22" s="1">
        <v>38</v>
      </c>
      <c r="C22" s="1">
        <v>40</v>
      </c>
      <c r="D22" s="1">
        <v>1</v>
      </c>
      <c r="E22" s="1">
        <v>0.06</v>
      </c>
    </row>
    <row r="23" spans="1:10" x14ac:dyDescent="0.2">
      <c r="A23" s="1">
        <v>21</v>
      </c>
      <c r="B23" s="1">
        <v>40</v>
      </c>
      <c r="C23" s="1">
        <v>42</v>
      </c>
      <c r="D23" s="1">
        <v>1</v>
      </c>
      <c r="E23" s="1">
        <v>0.06</v>
      </c>
    </row>
    <row r="24" spans="1:10" x14ac:dyDescent="0.2">
      <c r="A24" s="1">
        <v>22</v>
      </c>
      <c r="B24" s="1">
        <v>42</v>
      </c>
      <c r="C24" s="1">
        <v>44</v>
      </c>
      <c r="D24" s="1">
        <v>1</v>
      </c>
      <c r="E24" s="1">
        <v>0.06</v>
      </c>
    </row>
    <row r="25" spans="1:10" x14ac:dyDescent="0.2">
      <c r="A25" s="1">
        <v>23</v>
      </c>
      <c r="B25" s="1">
        <v>44</v>
      </c>
      <c r="C25" s="1">
        <v>46</v>
      </c>
      <c r="D25" s="1">
        <v>0</v>
      </c>
      <c r="E25" s="1">
        <v>0</v>
      </c>
    </row>
    <row r="26" spans="1:10" x14ac:dyDescent="0.2">
      <c r="A26" s="1">
        <v>24</v>
      </c>
      <c r="B26" s="1">
        <v>46</v>
      </c>
      <c r="C26" s="1">
        <v>48</v>
      </c>
      <c r="D26" s="1">
        <v>1</v>
      </c>
      <c r="E26" s="1">
        <v>0.06</v>
      </c>
    </row>
    <row r="27" spans="1:10" x14ac:dyDescent="0.2">
      <c r="A27" s="1">
        <v>25</v>
      </c>
      <c r="B27" s="1">
        <v>48</v>
      </c>
      <c r="C27" s="1">
        <v>50</v>
      </c>
      <c r="D27" s="1">
        <v>0</v>
      </c>
      <c r="E27" s="1">
        <v>0</v>
      </c>
    </row>
    <row r="28" spans="1:10" x14ac:dyDescent="0.2">
      <c r="A28" s="1">
        <v>26</v>
      </c>
      <c r="B28" s="1">
        <v>50</v>
      </c>
      <c r="C28" s="1">
        <v>52</v>
      </c>
      <c r="D28" s="1">
        <v>0</v>
      </c>
      <c r="E28" s="1">
        <v>0</v>
      </c>
    </row>
    <row r="29" spans="1:10" x14ac:dyDescent="0.2">
      <c r="A29" s="1">
        <v>27</v>
      </c>
      <c r="B29" s="1">
        <v>52</v>
      </c>
      <c r="C29" s="1">
        <v>54</v>
      </c>
      <c r="D29" s="1">
        <v>0</v>
      </c>
      <c r="E29" s="1">
        <v>0</v>
      </c>
    </row>
    <row r="30" spans="1:10" x14ac:dyDescent="0.2">
      <c r="A30" s="1">
        <v>28</v>
      </c>
      <c r="B30" s="1">
        <v>54</v>
      </c>
      <c r="C30" s="1">
        <v>56</v>
      </c>
      <c r="D30" s="1">
        <v>0</v>
      </c>
      <c r="E30" s="1">
        <v>0</v>
      </c>
    </row>
    <row r="31" spans="1:10" x14ac:dyDescent="0.2">
      <c r="A31" s="1">
        <v>29</v>
      </c>
      <c r="B31" s="1">
        <v>56</v>
      </c>
      <c r="C31" s="1">
        <v>58</v>
      </c>
      <c r="D31" s="1">
        <v>0</v>
      </c>
      <c r="E31" s="1">
        <v>0</v>
      </c>
    </row>
    <row r="32" spans="1:10" x14ac:dyDescent="0.2">
      <c r="A32" s="1">
        <v>30</v>
      </c>
      <c r="B32" s="1">
        <v>58</v>
      </c>
      <c r="C32" s="1">
        <v>60</v>
      </c>
      <c r="D32" s="1">
        <v>0</v>
      </c>
      <c r="E32" s="1">
        <v>0</v>
      </c>
    </row>
    <row r="33" spans="1:5" x14ac:dyDescent="0.2">
      <c r="A33" s="1">
        <v>31</v>
      </c>
      <c r="B33" s="1">
        <v>60</v>
      </c>
      <c r="C33" s="1">
        <v>62</v>
      </c>
      <c r="D33" s="1">
        <v>0</v>
      </c>
      <c r="E33" s="1">
        <v>0</v>
      </c>
    </row>
    <row r="34" spans="1:5" x14ac:dyDescent="0.2">
      <c r="A34" s="1">
        <v>32</v>
      </c>
      <c r="B34" s="1">
        <v>62</v>
      </c>
      <c r="C34" s="1">
        <v>64</v>
      </c>
      <c r="D34" s="1">
        <v>0</v>
      </c>
      <c r="E34" s="1">
        <v>0</v>
      </c>
    </row>
    <row r="35" spans="1:5" x14ac:dyDescent="0.2">
      <c r="A35" s="1">
        <v>33</v>
      </c>
      <c r="B35" s="1">
        <v>64</v>
      </c>
      <c r="C35" s="1">
        <v>66</v>
      </c>
      <c r="D35" s="1">
        <v>0</v>
      </c>
      <c r="E35" s="1">
        <v>0</v>
      </c>
    </row>
    <row r="36" spans="1:5" x14ac:dyDescent="0.2">
      <c r="A36" s="1">
        <v>34</v>
      </c>
      <c r="B36" s="1">
        <v>66</v>
      </c>
      <c r="C36" s="1">
        <v>68</v>
      </c>
      <c r="D36" s="1">
        <v>0</v>
      </c>
      <c r="E36" s="1">
        <v>0</v>
      </c>
    </row>
    <row r="37" spans="1:5" x14ac:dyDescent="0.2">
      <c r="A37" s="1">
        <v>35</v>
      </c>
      <c r="B37" s="1">
        <v>68</v>
      </c>
      <c r="C37" s="1">
        <v>70</v>
      </c>
      <c r="D37" s="1">
        <v>0</v>
      </c>
      <c r="E37" s="1">
        <v>0</v>
      </c>
    </row>
    <row r="38" spans="1:5" x14ac:dyDescent="0.2">
      <c r="A38" s="1">
        <v>36</v>
      </c>
      <c r="B38" s="1">
        <v>70</v>
      </c>
      <c r="C38" s="1">
        <v>72</v>
      </c>
      <c r="D38" s="1">
        <v>0</v>
      </c>
      <c r="E38" s="1">
        <v>0</v>
      </c>
    </row>
    <row r="39" spans="1:5" x14ac:dyDescent="0.2">
      <c r="A39" s="1">
        <v>37</v>
      </c>
      <c r="B39" s="1">
        <v>72</v>
      </c>
      <c r="C39" s="1">
        <v>74</v>
      </c>
      <c r="D39" s="1">
        <v>0</v>
      </c>
      <c r="E39" s="1">
        <v>0</v>
      </c>
    </row>
    <row r="40" spans="1:5" x14ac:dyDescent="0.2">
      <c r="A40" s="1">
        <v>38</v>
      </c>
      <c r="B40" s="1">
        <v>74</v>
      </c>
      <c r="C40" s="1">
        <v>76</v>
      </c>
      <c r="D40" s="1">
        <v>0</v>
      </c>
      <c r="E40" s="1">
        <v>0</v>
      </c>
    </row>
    <row r="41" spans="1:5" x14ac:dyDescent="0.2">
      <c r="A41" s="1">
        <v>39</v>
      </c>
      <c r="B41" s="1">
        <v>76</v>
      </c>
      <c r="C41" s="1">
        <v>78</v>
      </c>
      <c r="D41" s="1">
        <v>0</v>
      </c>
      <c r="E41" s="1">
        <v>0</v>
      </c>
    </row>
    <row r="42" spans="1:5" x14ac:dyDescent="0.2">
      <c r="A42" s="1">
        <v>40</v>
      </c>
      <c r="B42" s="1">
        <v>78</v>
      </c>
      <c r="C42" s="1">
        <v>80</v>
      </c>
      <c r="D42" s="1">
        <v>0</v>
      </c>
      <c r="E42" s="1">
        <v>0</v>
      </c>
    </row>
    <row r="43" spans="1:5" x14ac:dyDescent="0.2">
      <c r="A43" s="1">
        <v>41</v>
      </c>
      <c r="B43" s="1">
        <v>80</v>
      </c>
      <c r="C43" s="1">
        <v>82</v>
      </c>
      <c r="D43" s="1">
        <v>0</v>
      </c>
      <c r="E43" s="1">
        <v>0</v>
      </c>
    </row>
    <row r="44" spans="1:5" x14ac:dyDescent="0.2">
      <c r="A44" s="1">
        <v>42</v>
      </c>
      <c r="B44" s="1">
        <v>82</v>
      </c>
      <c r="C44" s="1">
        <v>84</v>
      </c>
      <c r="D44" s="1">
        <v>0</v>
      </c>
      <c r="E44" s="1">
        <v>0</v>
      </c>
    </row>
    <row r="45" spans="1:5" x14ac:dyDescent="0.2">
      <c r="A45" s="1">
        <v>43</v>
      </c>
      <c r="B45" s="1">
        <v>84</v>
      </c>
      <c r="C45" s="1">
        <v>86</v>
      </c>
      <c r="D45" s="1">
        <v>0</v>
      </c>
      <c r="E45" s="1">
        <v>0</v>
      </c>
    </row>
    <row r="46" spans="1:5" x14ac:dyDescent="0.2">
      <c r="A46" s="1">
        <v>44</v>
      </c>
      <c r="B46" s="1">
        <v>86</v>
      </c>
      <c r="C46" s="1">
        <v>88</v>
      </c>
      <c r="D46" s="1">
        <v>0</v>
      </c>
      <c r="E46" s="1">
        <v>0</v>
      </c>
    </row>
    <row r="47" spans="1:5" x14ac:dyDescent="0.2">
      <c r="A47" s="1">
        <v>45</v>
      </c>
      <c r="B47" s="1">
        <v>88</v>
      </c>
      <c r="C47" s="1">
        <v>90</v>
      </c>
      <c r="D47" s="1">
        <v>0</v>
      </c>
      <c r="E47" s="1">
        <v>0</v>
      </c>
    </row>
    <row r="48" spans="1:5" x14ac:dyDescent="0.2">
      <c r="A48" s="1">
        <v>46</v>
      </c>
      <c r="B48" s="1">
        <v>90</v>
      </c>
      <c r="C48" s="1">
        <v>92</v>
      </c>
      <c r="D48" s="1">
        <v>0</v>
      </c>
      <c r="E48" s="1">
        <v>0</v>
      </c>
    </row>
    <row r="49" spans="1:5" x14ac:dyDescent="0.2">
      <c r="A49" s="1">
        <v>47</v>
      </c>
      <c r="B49" s="1">
        <v>92</v>
      </c>
      <c r="C49" s="1">
        <v>94</v>
      </c>
      <c r="D49" s="1">
        <v>0</v>
      </c>
      <c r="E49" s="1">
        <v>0</v>
      </c>
    </row>
    <row r="50" spans="1:5" x14ac:dyDescent="0.2">
      <c r="A50" s="1">
        <v>48</v>
      </c>
      <c r="B50" s="1">
        <v>94</v>
      </c>
      <c r="C50" s="1">
        <v>96</v>
      </c>
      <c r="D50" s="1">
        <v>0</v>
      </c>
      <c r="E50" s="1">
        <v>0</v>
      </c>
    </row>
    <row r="51" spans="1:5" x14ac:dyDescent="0.2">
      <c r="A51" s="1">
        <v>49</v>
      </c>
      <c r="B51" s="1">
        <v>96</v>
      </c>
      <c r="C51" s="1">
        <v>98</v>
      </c>
      <c r="D51" s="1">
        <v>0</v>
      </c>
      <c r="E51" s="1">
        <v>0</v>
      </c>
    </row>
    <row r="52" spans="1:5" x14ac:dyDescent="0.2">
      <c r="A52" s="1">
        <v>50</v>
      </c>
      <c r="B52" s="1">
        <v>98</v>
      </c>
      <c r="C52" s="1">
        <v>100</v>
      </c>
      <c r="D52" s="1">
        <v>0</v>
      </c>
      <c r="E52" s="1">
        <v>0</v>
      </c>
    </row>
    <row r="54" spans="1:5" x14ac:dyDescent="0.2">
      <c r="A54" s="1" t="s">
        <v>26</v>
      </c>
      <c r="B54" s="1">
        <v>0</v>
      </c>
      <c r="D54" s="1" t="s">
        <v>27</v>
      </c>
      <c r="E54" s="1">
        <v>1650</v>
      </c>
    </row>
    <row r="55" spans="1:5" x14ac:dyDescent="0.2">
      <c r="A55" s="1" t="s">
        <v>28</v>
      </c>
      <c r="B55" s="1">
        <v>0</v>
      </c>
    </row>
    <row r="57" spans="1:5" x14ac:dyDescent="0.2">
      <c r="A57" s="1" t="s">
        <v>29</v>
      </c>
      <c r="B57" s="1">
        <v>12700.07</v>
      </c>
    </row>
    <row r="58" spans="1:5" x14ac:dyDescent="0.2">
      <c r="A58" s="1" t="s">
        <v>30</v>
      </c>
      <c r="B58" s="1">
        <v>7.7</v>
      </c>
    </row>
    <row r="59" spans="1:5" x14ac:dyDescent="0.2">
      <c r="A59" s="1" t="s">
        <v>31</v>
      </c>
      <c r="B59" s="1">
        <v>5.09</v>
      </c>
    </row>
    <row r="60" spans="1:5" x14ac:dyDescent="0.2">
      <c r="A60" s="1" t="s">
        <v>32</v>
      </c>
      <c r="B60" s="1">
        <v>0.13</v>
      </c>
    </row>
    <row r="61" spans="1:5" x14ac:dyDescent="0.2">
      <c r="A61" s="1" t="s">
        <v>33</v>
      </c>
      <c r="B61" s="1">
        <v>47.12</v>
      </c>
    </row>
    <row r="62" spans="1:5" x14ac:dyDescent="0.2">
      <c r="A62" s="1" t="s">
        <v>34</v>
      </c>
      <c r="B62" s="1">
        <v>4.1900000000000004</v>
      </c>
    </row>
    <row r="63" spans="1:5" x14ac:dyDescent="0.2">
      <c r="A63" s="1" t="s">
        <v>35</v>
      </c>
      <c r="B63" s="1">
        <v>20.37</v>
      </c>
    </row>
    <row r="64" spans="1:5" x14ac:dyDescent="0.2">
      <c r="A64" s="1" t="s">
        <v>36</v>
      </c>
      <c r="B64" s="1">
        <v>5</v>
      </c>
    </row>
    <row r="65" spans="1:2" x14ac:dyDescent="0.2">
      <c r="A65" s="1" t="s">
        <v>37</v>
      </c>
      <c r="B65" s="1">
        <v>5</v>
      </c>
    </row>
    <row r="66" spans="1:2" x14ac:dyDescent="0.2">
      <c r="A66" s="1" t="s">
        <v>38</v>
      </c>
      <c r="B66" s="1">
        <v>3.15</v>
      </c>
    </row>
    <row r="67" spans="1:2" x14ac:dyDescent="0.2">
      <c r="A67" s="1" t="s">
        <v>39</v>
      </c>
      <c r="B67" s="1">
        <v>12.4</v>
      </c>
    </row>
    <row r="68" spans="1:2" x14ac:dyDescent="0.2">
      <c r="A68" s="1" t="s">
        <v>40</v>
      </c>
      <c r="B68" s="1">
        <v>1650</v>
      </c>
    </row>
    <row r="69" spans="1:2" x14ac:dyDescent="0.2">
      <c r="A69" s="1" t="s">
        <v>41</v>
      </c>
      <c r="B69" s="1">
        <v>4222802.59</v>
      </c>
    </row>
    <row r="70" spans="1:2" x14ac:dyDescent="0.2">
      <c r="A70" s="1" t="s">
        <v>42</v>
      </c>
      <c r="B70" s="1">
        <v>390.74</v>
      </c>
    </row>
  </sheetData>
  <phoneticPr fontId="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H63"/>
  <sheetViews>
    <sheetView workbookViewId="0">
      <selection activeCell="H25" sqref="H25"/>
    </sheetView>
  </sheetViews>
  <sheetFormatPr defaultColWidth="12.5703125" defaultRowHeight="12.75" x14ac:dyDescent="0.2"/>
  <cols>
    <col min="1" max="2" width="12.5703125" style="1"/>
    <col min="3" max="3" width="12.5703125" style="31"/>
    <col min="4" max="16384" width="12.5703125" style="1"/>
  </cols>
  <sheetData>
    <row r="3" spans="1:7" x14ac:dyDescent="0.2">
      <c r="A3" s="1" t="s">
        <v>0</v>
      </c>
      <c r="B3" s="1" t="s">
        <v>1</v>
      </c>
      <c r="C3" s="31" t="s">
        <v>2</v>
      </c>
      <c r="E3" s="1" t="s">
        <v>3</v>
      </c>
      <c r="F3" s="1" t="s">
        <v>4</v>
      </c>
    </row>
    <row r="5" spans="1:7" x14ac:dyDescent="0.2">
      <c r="A5" s="1">
        <v>1</v>
      </c>
      <c r="B5" s="1">
        <f>blad1!D3</f>
        <v>0</v>
      </c>
      <c r="C5" s="31">
        <f>(B5/B55*100)</f>
        <v>0</v>
      </c>
      <c r="E5" s="1">
        <f t="shared" ref="E5:E54" si="0">(A5*B5)</f>
        <v>0</v>
      </c>
      <c r="F5" s="1">
        <f t="shared" ref="F5:F54" si="1">(A5^2)*B5</f>
        <v>0</v>
      </c>
    </row>
    <row r="6" spans="1:7" x14ac:dyDescent="0.2">
      <c r="A6" s="1">
        <v>3</v>
      </c>
      <c r="B6" s="1">
        <f>blad1!D4</f>
        <v>0</v>
      </c>
      <c r="C6" s="31">
        <f>(B6/B55*100)</f>
        <v>0</v>
      </c>
      <c r="E6" s="1">
        <f t="shared" si="0"/>
        <v>0</v>
      </c>
      <c r="F6" s="1">
        <f t="shared" si="1"/>
        <v>0</v>
      </c>
    </row>
    <row r="7" spans="1:7" x14ac:dyDescent="0.2">
      <c r="A7" s="1">
        <v>5</v>
      </c>
      <c r="B7" s="1">
        <f>blad1!D5</f>
        <v>839</v>
      </c>
      <c r="C7" s="31">
        <f>(B7/B55*100)</f>
        <v>50.848484848484851</v>
      </c>
      <c r="D7" s="1" t="s">
        <v>5</v>
      </c>
      <c r="E7" s="1">
        <f t="shared" si="0"/>
        <v>4195</v>
      </c>
      <c r="F7" s="1">
        <f t="shared" si="1"/>
        <v>20975</v>
      </c>
    </row>
    <row r="8" spans="1:7" x14ac:dyDescent="0.2">
      <c r="A8" s="1">
        <v>7</v>
      </c>
      <c r="B8" s="1">
        <f>blad1!D6</f>
        <v>379</v>
      </c>
      <c r="C8" s="31">
        <f>(B8/B55*100)</f>
        <v>22.969696969696969</v>
      </c>
      <c r="E8" s="1">
        <f t="shared" si="0"/>
        <v>2653</v>
      </c>
      <c r="F8" s="1">
        <f t="shared" si="1"/>
        <v>18571</v>
      </c>
    </row>
    <row r="9" spans="1:7" x14ac:dyDescent="0.2">
      <c r="A9" s="1">
        <v>9</v>
      </c>
      <c r="B9" s="1">
        <f>blad1!D7</f>
        <v>175</v>
      </c>
      <c r="C9" s="31">
        <f>(B9/B55*100)</f>
        <v>10.606060606060606</v>
      </c>
      <c r="E9" s="1">
        <f t="shared" si="0"/>
        <v>1575</v>
      </c>
      <c r="F9" s="1">
        <f t="shared" si="1"/>
        <v>14175</v>
      </c>
    </row>
    <row r="10" spans="1:7" x14ac:dyDescent="0.2">
      <c r="A10" s="1">
        <v>11</v>
      </c>
      <c r="B10" s="1">
        <f>blad1!D8</f>
        <v>69</v>
      </c>
      <c r="C10" s="31">
        <f>(B10/B55*100)</f>
        <v>4.1818181818181817</v>
      </c>
      <c r="E10" s="1">
        <f t="shared" si="0"/>
        <v>759</v>
      </c>
      <c r="F10" s="1">
        <f t="shared" si="1"/>
        <v>8349</v>
      </c>
    </row>
    <row r="11" spans="1:7" x14ac:dyDescent="0.2">
      <c r="A11" s="1">
        <v>13</v>
      </c>
      <c r="B11" s="1">
        <f>blad1!D9</f>
        <v>41</v>
      </c>
      <c r="C11" s="31">
        <f>(B11/B55*100)</f>
        <v>2.4848484848484849</v>
      </c>
      <c r="E11" s="1">
        <f t="shared" si="0"/>
        <v>533</v>
      </c>
      <c r="F11" s="1">
        <f t="shared" si="1"/>
        <v>6929</v>
      </c>
      <c r="G11" s="1" t="s">
        <v>5</v>
      </c>
    </row>
    <row r="12" spans="1:7" x14ac:dyDescent="0.2">
      <c r="A12" s="1">
        <v>15</v>
      </c>
      <c r="B12" s="1">
        <f>blad1!D10</f>
        <v>40</v>
      </c>
      <c r="C12" s="31">
        <f>(B12/B55*100)</f>
        <v>2.4242424242424243</v>
      </c>
      <c r="E12" s="1">
        <f t="shared" si="0"/>
        <v>600</v>
      </c>
      <c r="F12" s="1">
        <f t="shared" si="1"/>
        <v>9000</v>
      </c>
      <c r="G12" s="1" t="s">
        <v>5</v>
      </c>
    </row>
    <row r="13" spans="1:7" x14ac:dyDescent="0.2">
      <c r="A13" s="1">
        <v>17</v>
      </c>
      <c r="B13" s="1">
        <f>blad1!D11</f>
        <v>22</v>
      </c>
      <c r="C13" s="31">
        <f>(B13/B55*100)</f>
        <v>1.3333333333333335</v>
      </c>
      <c r="E13" s="1">
        <f t="shared" si="0"/>
        <v>374</v>
      </c>
      <c r="F13" s="1">
        <f t="shared" si="1"/>
        <v>6358</v>
      </c>
    </row>
    <row r="14" spans="1:7" x14ac:dyDescent="0.2">
      <c r="A14" s="1">
        <v>19</v>
      </c>
      <c r="B14" s="1">
        <f>blad1!D12</f>
        <v>20</v>
      </c>
      <c r="C14" s="31">
        <f>(B14/B55*100)</f>
        <v>1.2121212121212122</v>
      </c>
      <c r="E14" s="1">
        <f t="shared" si="0"/>
        <v>380</v>
      </c>
      <c r="F14" s="1">
        <f t="shared" si="1"/>
        <v>7220</v>
      </c>
    </row>
    <row r="15" spans="1:7" x14ac:dyDescent="0.2">
      <c r="A15" s="1">
        <v>21</v>
      </c>
      <c r="B15" s="1">
        <f>blad1!D13</f>
        <v>10</v>
      </c>
      <c r="C15" s="31">
        <f>(B15/B55*100)</f>
        <v>0.60606060606060608</v>
      </c>
      <c r="E15" s="1">
        <f t="shared" si="0"/>
        <v>210</v>
      </c>
      <c r="F15" s="1">
        <f t="shared" si="1"/>
        <v>4410</v>
      </c>
    </row>
    <row r="16" spans="1:7" x14ac:dyDescent="0.2">
      <c r="A16" s="1">
        <v>23</v>
      </c>
      <c r="B16" s="1">
        <f>blad1!D14</f>
        <v>17</v>
      </c>
      <c r="C16" s="31">
        <f>(B16/B55*100)</f>
        <v>1.0303030303030303</v>
      </c>
      <c r="E16" s="1">
        <f t="shared" si="0"/>
        <v>391</v>
      </c>
      <c r="F16" s="1">
        <f t="shared" si="1"/>
        <v>8993</v>
      </c>
    </row>
    <row r="17" spans="1:6" x14ac:dyDescent="0.2">
      <c r="A17" s="1">
        <v>25</v>
      </c>
      <c r="B17" s="1">
        <f>blad1!D15</f>
        <v>10</v>
      </c>
      <c r="C17" s="31">
        <f>(B17/B55*100)</f>
        <v>0.60606060606060608</v>
      </c>
      <c r="E17" s="1">
        <f t="shared" si="0"/>
        <v>250</v>
      </c>
      <c r="F17" s="1">
        <f t="shared" si="1"/>
        <v>6250</v>
      </c>
    </row>
    <row r="18" spans="1:6" x14ac:dyDescent="0.2">
      <c r="A18" s="1">
        <v>27</v>
      </c>
      <c r="B18" s="1">
        <f>blad1!D16</f>
        <v>4</v>
      </c>
      <c r="C18" s="31">
        <f>(B18/B55*100)</f>
        <v>0.24242424242424243</v>
      </c>
      <c r="E18" s="1">
        <f t="shared" si="0"/>
        <v>108</v>
      </c>
      <c r="F18" s="1">
        <f t="shared" si="1"/>
        <v>2916</v>
      </c>
    </row>
    <row r="19" spans="1:6" x14ac:dyDescent="0.2">
      <c r="A19" s="1">
        <v>29</v>
      </c>
      <c r="B19" s="1">
        <f>blad1!D17</f>
        <v>7</v>
      </c>
      <c r="C19" s="31">
        <f>(B19/B55*100)</f>
        <v>0.42424242424242431</v>
      </c>
      <c r="E19" s="1">
        <f t="shared" si="0"/>
        <v>203</v>
      </c>
      <c r="F19" s="1">
        <f t="shared" si="1"/>
        <v>5887</v>
      </c>
    </row>
    <row r="20" spans="1:6" x14ac:dyDescent="0.2">
      <c r="A20" s="1">
        <v>31</v>
      </c>
      <c r="B20" s="1">
        <f>blad1!D18</f>
        <v>5</v>
      </c>
      <c r="C20" s="31">
        <f>(B20/B55*100)</f>
        <v>0.30303030303030304</v>
      </c>
      <c r="E20" s="1">
        <f t="shared" si="0"/>
        <v>155</v>
      </c>
      <c r="F20" s="1">
        <f t="shared" si="1"/>
        <v>4805</v>
      </c>
    </row>
    <row r="21" spans="1:6" x14ac:dyDescent="0.2">
      <c r="A21" s="1">
        <v>33</v>
      </c>
      <c r="B21" s="1">
        <f>blad1!D19</f>
        <v>3</v>
      </c>
      <c r="C21" s="31">
        <f>(B21/B55*100)</f>
        <v>0.18181818181818182</v>
      </c>
      <c r="E21" s="1">
        <f t="shared" si="0"/>
        <v>99</v>
      </c>
      <c r="F21" s="1">
        <f t="shared" si="1"/>
        <v>3267</v>
      </c>
    </row>
    <row r="22" spans="1:6" x14ac:dyDescent="0.2">
      <c r="A22" s="1">
        <v>35</v>
      </c>
      <c r="B22" s="1">
        <f>blad1!D20</f>
        <v>2</v>
      </c>
      <c r="C22" s="31">
        <f>(B22/B55*100)</f>
        <v>0.12121212121212122</v>
      </c>
      <c r="E22" s="1">
        <f t="shared" si="0"/>
        <v>70</v>
      </c>
      <c r="F22" s="1">
        <f t="shared" si="1"/>
        <v>2450</v>
      </c>
    </row>
    <row r="23" spans="1:6" x14ac:dyDescent="0.2">
      <c r="A23" s="1">
        <v>37</v>
      </c>
      <c r="B23" s="1">
        <f>blad1!D21</f>
        <v>3</v>
      </c>
      <c r="C23" s="31">
        <f>(B23/B55*100)</f>
        <v>0.18181818181818182</v>
      </c>
      <c r="E23" s="1">
        <f t="shared" si="0"/>
        <v>111</v>
      </c>
      <c r="F23" s="1">
        <f t="shared" si="1"/>
        <v>4107</v>
      </c>
    </row>
    <row r="24" spans="1:6" x14ac:dyDescent="0.2">
      <c r="A24" s="1">
        <v>39</v>
      </c>
      <c r="B24" s="1">
        <f>blad1!D22</f>
        <v>1</v>
      </c>
      <c r="C24" s="31">
        <f>(B24/B55*100)</f>
        <v>6.0606060606060608E-2</v>
      </c>
      <c r="E24" s="1">
        <f t="shared" si="0"/>
        <v>39</v>
      </c>
      <c r="F24" s="1">
        <f t="shared" si="1"/>
        <v>1521</v>
      </c>
    </row>
    <row r="25" spans="1:6" x14ac:dyDescent="0.2">
      <c r="A25" s="1">
        <v>41</v>
      </c>
      <c r="B25" s="1">
        <f>blad1!D23</f>
        <v>1</v>
      </c>
      <c r="C25" s="31">
        <f>(B25/B55*100)</f>
        <v>6.0606060606060608E-2</v>
      </c>
      <c r="E25" s="1">
        <f t="shared" si="0"/>
        <v>41</v>
      </c>
      <c r="F25" s="1">
        <f t="shared" si="1"/>
        <v>1681</v>
      </c>
    </row>
    <row r="26" spans="1:6" x14ac:dyDescent="0.2">
      <c r="A26" s="1">
        <v>43</v>
      </c>
      <c r="B26" s="1">
        <f>blad1!D24</f>
        <v>1</v>
      </c>
      <c r="C26" s="31">
        <f>(B26/B55*100)</f>
        <v>6.0606060606060608E-2</v>
      </c>
      <c r="E26" s="1">
        <f t="shared" si="0"/>
        <v>43</v>
      </c>
      <c r="F26" s="1">
        <f t="shared" si="1"/>
        <v>1849</v>
      </c>
    </row>
    <row r="27" spans="1:6" x14ac:dyDescent="0.2">
      <c r="A27" s="1">
        <v>45</v>
      </c>
      <c r="B27" s="1">
        <f>blad1!D25</f>
        <v>0</v>
      </c>
      <c r="C27" s="31">
        <f>(B27/B55*100)</f>
        <v>0</v>
      </c>
      <c r="E27" s="1">
        <f t="shared" si="0"/>
        <v>0</v>
      </c>
      <c r="F27" s="1">
        <f t="shared" si="1"/>
        <v>0</v>
      </c>
    </row>
    <row r="28" spans="1:6" x14ac:dyDescent="0.2">
      <c r="A28" s="1">
        <v>47</v>
      </c>
      <c r="B28" s="1">
        <f>blad1!D26</f>
        <v>1</v>
      </c>
      <c r="C28" s="31">
        <f>(B28/B55*100)</f>
        <v>6.0606060606060608E-2</v>
      </c>
      <c r="E28" s="1">
        <f t="shared" si="0"/>
        <v>47</v>
      </c>
      <c r="F28" s="1">
        <f t="shared" si="1"/>
        <v>2209</v>
      </c>
    </row>
    <row r="29" spans="1:6" x14ac:dyDescent="0.2">
      <c r="A29" s="1">
        <v>49</v>
      </c>
      <c r="B29" s="1">
        <f>blad1!D27</f>
        <v>0</v>
      </c>
      <c r="C29" s="31">
        <f>(B29/B55*100)</f>
        <v>0</v>
      </c>
      <c r="E29" s="1">
        <f t="shared" si="0"/>
        <v>0</v>
      </c>
      <c r="F29" s="1">
        <f t="shared" si="1"/>
        <v>0</v>
      </c>
    </row>
    <row r="30" spans="1:6" x14ac:dyDescent="0.2">
      <c r="A30" s="1">
        <v>51</v>
      </c>
      <c r="B30" s="1">
        <f>blad1!D28</f>
        <v>0</v>
      </c>
      <c r="C30" s="31">
        <f>(B30/B55*100)</f>
        <v>0</v>
      </c>
      <c r="E30" s="1">
        <f t="shared" si="0"/>
        <v>0</v>
      </c>
      <c r="F30" s="1">
        <f t="shared" si="1"/>
        <v>0</v>
      </c>
    </row>
    <row r="31" spans="1:6" x14ac:dyDescent="0.2">
      <c r="A31" s="1">
        <v>53</v>
      </c>
      <c r="B31" s="1">
        <f>blad1!D29</f>
        <v>0</v>
      </c>
      <c r="C31" s="31">
        <f>(B31/B55*100)</f>
        <v>0</v>
      </c>
      <c r="E31" s="1">
        <f t="shared" si="0"/>
        <v>0</v>
      </c>
      <c r="F31" s="1">
        <f t="shared" si="1"/>
        <v>0</v>
      </c>
    </row>
    <row r="32" spans="1:6" x14ac:dyDescent="0.2">
      <c r="A32" s="1">
        <v>55</v>
      </c>
      <c r="B32" s="1">
        <f>blad1!D30</f>
        <v>0</v>
      </c>
      <c r="C32" s="31">
        <f>(B32/B55*100)</f>
        <v>0</v>
      </c>
      <c r="E32" s="1">
        <f t="shared" si="0"/>
        <v>0</v>
      </c>
      <c r="F32" s="1">
        <f t="shared" si="1"/>
        <v>0</v>
      </c>
    </row>
    <row r="33" spans="1:6" x14ac:dyDescent="0.2">
      <c r="A33" s="1">
        <v>57</v>
      </c>
      <c r="B33" s="1">
        <f>blad1!D31</f>
        <v>0</v>
      </c>
      <c r="C33" s="31">
        <f>(B33/B55*100)</f>
        <v>0</v>
      </c>
      <c r="E33" s="1">
        <f t="shared" si="0"/>
        <v>0</v>
      </c>
      <c r="F33" s="1">
        <f t="shared" si="1"/>
        <v>0</v>
      </c>
    </row>
    <row r="34" spans="1:6" x14ac:dyDescent="0.2">
      <c r="A34" s="1">
        <v>59</v>
      </c>
      <c r="B34" s="1">
        <f>blad1!D32</f>
        <v>0</v>
      </c>
      <c r="C34" s="31">
        <f>(B34/B55*100)</f>
        <v>0</v>
      </c>
      <c r="E34" s="1">
        <f t="shared" si="0"/>
        <v>0</v>
      </c>
      <c r="F34" s="1">
        <f t="shared" si="1"/>
        <v>0</v>
      </c>
    </row>
    <row r="35" spans="1:6" x14ac:dyDescent="0.2">
      <c r="A35" s="1">
        <v>61</v>
      </c>
      <c r="B35" s="1">
        <f>blad1!D33</f>
        <v>0</v>
      </c>
      <c r="C35" s="31">
        <f>(B35/B55*100)</f>
        <v>0</v>
      </c>
      <c r="E35" s="1">
        <f t="shared" si="0"/>
        <v>0</v>
      </c>
      <c r="F35" s="1">
        <f t="shared" si="1"/>
        <v>0</v>
      </c>
    </row>
    <row r="36" spans="1:6" x14ac:dyDescent="0.2">
      <c r="A36" s="1">
        <v>63</v>
      </c>
      <c r="B36" s="1">
        <f>blad1!D34</f>
        <v>0</v>
      </c>
      <c r="C36" s="31">
        <f>(B36/B55*100)</f>
        <v>0</v>
      </c>
      <c r="E36" s="1">
        <f t="shared" si="0"/>
        <v>0</v>
      </c>
      <c r="F36" s="1">
        <f t="shared" si="1"/>
        <v>0</v>
      </c>
    </row>
    <row r="37" spans="1:6" x14ac:dyDescent="0.2">
      <c r="A37" s="1">
        <v>65</v>
      </c>
      <c r="B37" s="1">
        <f>blad1!D35</f>
        <v>0</v>
      </c>
      <c r="C37" s="31">
        <f>(B37/B55*100)</f>
        <v>0</v>
      </c>
      <c r="E37" s="1">
        <f t="shared" si="0"/>
        <v>0</v>
      </c>
      <c r="F37" s="1">
        <f t="shared" si="1"/>
        <v>0</v>
      </c>
    </row>
    <row r="38" spans="1:6" x14ac:dyDescent="0.2">
      <c r="A38" s="1">
        <v>67</v>
      </c>
      <c r="B38" s="1">
        <f>blad1!D36</f>
        <v>0</v>
      </c>
      <c r="C38" s="31">
        <f>(B38/B55*100)</f>
        <v>0</v>
      </c>
      <c r="E38" s="1">
        <f t="shared" si="0"/>
        <v>0</v>
      </c>
      <c r="F38" s="1">
        <f t="shared" si="1"/>
        <v>0</v>
      </c>
    </row>
    <row r="39" spans="1:6" x14ac:dyDescent="0.2">
      <c r="A39" s="1">
        <v>69</v>
      </c>
      <c r="B39" s="1">
        <f>blad1!D37</f>
        <v>0</v>
      </c>
      <c r="C39" s="31">
        <f>(B39/B55*100)</f>
        <v>0</v>
      </c>
      <c r="E39" s="1">
        <f t="shared" si="0"/>
        <v>0</v>
      </c>
      <c r="F39" s="1">
        <f t="shared" si="1"/>
        <v>0</v>
      </c>
    </row>
    <row r="40" spans="1:6" x14ac:dyDescent="0.2">
      <c r="A40" s="1">
        <v>71</v>
      </c>
      <c r="B40" s="1">
        <f>blad1!D38</f>
        <v>0</v>
      </c>
      <c r="C40" s="31">
        <f>(B40/B55*100)</f>
        <v>0</v>
      </c>
      <c r="E40" s="1">
        <f t="shared" si="0"/>
        <v>0</v>
      </c>
      <c r="F40" s="1">
        <f t="shared" si="1"/>
        <v>0</v>
      </c>
    </row>
    <row r="41" spans="1:6" x14ac:dyDescent="0.2">
      <c r="A41" s="1">
        <v>73</v>
      </c>
      <c r="B41" s="1">
        <f>blad1!D39</f>
        <v>0</v>
      </c>
      <c r="C41" s="31">
        <f>(B41/B55*100)</f>
        <v>0</v>
      </c>
      <c r="E41" s="1">
        <f t="shared" si="0"/>
        <v>0</v>
      </c>
      <c r="F41" s="1">
        <f t="shared" si="1"/>
        <v>0</v>
      </c>
    </row>
    <row r="42" spans="1:6" x14ac:dyDescent="0.2">
      <c r="A42" s="1">
        <v>75</v>
      </c>
      <c r="B42" s="1">
        <f>blad1!D40</f>
        <v>0</v>
      </c>
      <c r="C42" s="31">
        <f>(B42/B55*100)</f>
        <v>0</v>
      </c>
      <c r="E42" s="1">
        <f t="shared" si="0"/>
        <v>0</v>
      </c>
      <c r="F42" s="1">
        <f t="shared" si="1"/>
        <v>0</v>
      </c>
    </row>
    <row r="43" spans="1:6" x14ac:dyDescent="0.2">
      <c r="A43" s="1">
        <v>77</v>
      </c>
      <c r="B43" s="1">
        <f>blad1!D41</f>
        <v>0</v>
      </c>
      <c r="C43" s="31">
        <f>(B43/B55*100)</f>
        <v>0</v>
      </c>
      <c r="E43" s="1">
        <f t="shared" si="0"/>
        <v>0</v>
      </c>
      <c r="F43" s="1">
        <f t="shared" si="1"/>
        <v>0</v>
      </c>
    </row>
    <row r="44" spans="1:6" x14ac:dyDescent="0.2">
      <c r="A44" s="1">
        <v>79</v>
      </c>
      <c r="B44" s="1">
        <f>blad1!D42</f>
        <v>0</v>
      </c>
      <c r="C44" s="31">
        <f>(B44/B55*100)</f>
        <v>0</v>
      </c>
      <c r="E44" s="1">
        <f t="shared" si="0"/>
        <v>0</v>
      </c>
      <c r="F44" s="1">
        <f t="shared" si="1"/>
        <v>0</v>
      </c>
    </row>
    <row r="45" spans="1:6" x14ac:dyDescent="0.2">
      <c r="A45" s="1">
        <v>81</v>
      </c>
      <c r="B45" s="1">
        <f>blad1!D43</f>
        <v>0</v>
      </c>
      <c r="C45" s="31">
        <f>(B45/B55*100)</f>
        <v>0</v>
      </c>
      <c r="E45" s="1">
        <f t="shared" si="0"/>
        <v>0</v>
      </c>
      <c r="F45" s="1">
        <f t="shared" si="1"/>
        <v>0</v>
      </c>
    </row>
    <row r="46" spans="1:6" x14ac:dyDescent="0.2">
      <c r="A46" s="1">
        <v>83</v>
      </c>
      <c r="B46" s="1">
        <f>blad1!D44</f>
        <v>0</v>
      </c>
      <c r="C46" s="31">
        <f>(B46/B55*100)</f>
        <v>0</v>
      </c>
      <c r="E46" s="1">
        <f t="shared" si="0"/>
        <v>0</v>
      </c>
      <c r="F46" s="1">
        <f t="shared" si="1"/>
        <v>0</v>
      </c>
    </row>
    <row r="47" spans="1:6" x14ac:dyDescent="0.2">
      <c r="A47" s="1">
        <v>85</v>
      </c>
      <c r="B47" s="1">
        <f>blad1!D45</f>
        <v>0</v>
      </c>
      <c r="C47" s="31">
        <f>(B47/B55*100)</f>
        <v>0</v>
      </c>
      <c r="E47" s="1">
        <f t="shared" si="0"/>
        <v>0</v>
      </c>
      <c r="F47" s="1">
        <f t="shared" si="1"/>
        <v>0</v>
      </c>
    </row>
    <row r="48" spans="1:6" x14ac:dyDescent="0.2">
      <c r="A48" s="1">
        <v>87</v>
      </c>
      <c r="B48" s="1">
        <f>blad1!D46</f>
        <v>0</v>
      </c>
      <c r="C48" s="31">
        <f>(B48/B55*100)</f>
        <v>0</v>
      </c>
      <c r="E48" s="1">
        <f t="shared" si="0"/>
        <v>0</v>
      </c>
      <c r="F48" s="1">
        <f t="shared" si="1"/>
        <v>0</v>
      </c>
    </row>
    <row r="49" spans="1:8" x14ac:dyDescent="0.2">
      <c r="A49" s="1">
        <v>89</v>
      </c>
      <c r="B49" s="1">
        <f>blad1!D47</f>
        <v>0</v>
      </c>
      <c r="C49" s="31">
        <f>(B49/B55*100)</f>
        <v>0</v>
      </c>
      <c r="E49" s="1">
        <f t="shared" si="0"/>
        <v>0</v>
      </c>
      <c r="F49" s="1">
        <f t="shared" si="1"/>
        <v>0</v>
      </c>
    </row>
    <row r="50" spans="1:8" x14ac:dyDescent="0.2">
      <c r="A50" s="1">
        <v>91</v>
      </c>
      <c r="B50" s="1">
        <f>blad1!D48</f>
        <v>0</v>
      </c>
      <c r="C50" s="31">
        <f>(B50/B55*100)</f>
        <v>0</v>
      </c>
      <c r="E50" s="1">
        <f t="shared" si="0"/>
        <v>0</v>
      </c>
      <c r="F50" s="1">
        <f t="shared" si="1"/>
        <v>0</v>
      </c>
    </row>
    <row r="51" spans="1:8" x14ac:dyDescent="0.2">
      <c r="A51" s="1">
        <v>93</v>
      </c>
      <c r="B51" s="1">
        <f>blad1!D49</f>
        <v>0</v>
      </c>
      <c r="C51" s="31">
        <f>(B51/B55*100)</f>
        <v>0</v>
      </c>
      <c r="E51" s="1">
        <f t="shared" si="0"/>
        <v>0</v>
      </c>
      <c r="F51" s="1">
        <f t="shared" si="1"/>
        <v>0</v>
      </c>
    </row>
    <row r="52" spans="1:8" x14ac:dyDescent="0.2">
      <c r="A52" s="1">
        <v>95</v>
      </c>
      <c r="B52" s="1">
        <f>blad1!D50</f>
        <v>0</v>
      </c>
      <c r="C52" s="31">
        <f>(B52/B55*100)</f>
        <v>0</v>
      </c>
      <c r="E52" s="1">
        <f t="shared" si="0"/>
        <v>0</v>
      </c>
      <c r="F52" s="1">
        <f t="shared" si="1"/>
        <v>0</v>
      </c>
    </row>
    <row r="53" spans="1:8" x14ac:dyDescent="0.2">
      <c r="A53" s="1">
        <v>97</v>
      </c>
      <c r="B53" s="1">
        <f>blad1!D51</f>
        <v>0</v>
      </c>
      <c r="C53" s="31">
        <f>(B53/B55*100)</f>
        <v>0</v>
      </c>
      <c r="E53" s="1">
        <f t="shared" si="0"/>
        <v>0</v>
      </c>
      <c r="F53" s="1">
        <f t="shared" si="1"/>
        <v>0</v>
      </c>
    </row>
    <row r="54" spans="1:8" x14ac:dyDescent="0.2">
      <c r="A54" s="1">
        <v>99</v>
      </c>
      <c r="B54" s="1">
        <f>blad1!D52</f>
        <v>0</v>
      </c>
      <c r="C54" s="31">
        <f>(B54/B55*100)</f>
        <v>0</v>
      </c>
      <c r="E54" s="1">
        <f t="shared" si="0"/>
        <v>0</v>
      </c>
      <c r="F54" s="1">
        <f t="shared" si="1"/>
        <v>0</v>
      </c>
    </row>
    <row r="55" spans="1:8" x14ac:dyDescent="0.2">
      <c r="A55" s="1" t="s">
        <v>5</v>
      </c>
      <c r="B55" s="1">
        <f>SUM(B5:B54)</f>
        <v>1650</v>
      </c>
    </row>
    <row r="56" spans="1:8" x14ac:dyDescent="0.2">
      <c r="E56" s="1" t="s">
        <v>6</v>
      </c>
      <c r="F56" s="1" t="s">
        <v>6</v>
      </c>
    </row>
    <row r="57" spans="1:8" x14ac:dyDescent="0.2">
      <c r="E57" s="1">
        <f>SUM(E5:E54)</f>
        <v>12836</v>
      </c>
      <c r="F57" s="1">
        <f>SUM(F5:F54)</f>
        <v>141922</v>
      </c>
      <c r="G57" s="1" t="s">
        <v>7</v>
      </c>
      <c r="H57" s="1" t="s">
        <v>5</v>
      </c>
    </row>
    <row r="58" spans="1:8" x14ac:dyDescent="0.2">
      <c r="E58" s="1">
        <f>(E57/SUM(B5:B54))</f>
        <v>7.7793939393939393</v>
      </c>
      <c r="F58" s="1">
        <f>1/(E57/F57)</f>
        <v>11.056559675911499</v>
      </c>
      <c r="G58" s="2">
        <f>(F58/E58)-1</f>
        <v>0.42126234537659513</v>
      </c>
    </row>
    <row r="61" spans="1:8" x14ac:dyDescent="0.2">
      <c r="A61" s="2">
        <f>blad1!H12</f>
        <v>109099.092</v>
      </c>
    </row>
    <row r="62" spans="1:8" x14ac:dyDescent="0.2">
      <c r="A62" s="1" t="s">
        <v>8</v>
      </c>
    </row>
    <row r="63" spans="1:8" x14ac:dyDescent="0.2">
      <c r="A63" s="2">
        <f>(1-grafiek!B13*A61)*100</f>
        <v>99.642746734549249</v>
      </c>
    </row>
  </sheetData>
  <phoneticPr fontId="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3"/>
  <sheetViews>
    <sheetView tabSelected="1" workbookViewId="0">
      <selection activeCell="D5" sqref="D5"/>
    </sheetView>
  </sheetViews>
  <sheetFormatPr defaultRowHeight="12.75" x14ac:dyDescent="0.2"/>
  <cols>
    <col min="1" max="1" width="23.140625" bestFit="1" customWidth="1"/>
    <col min="2" max="2" width="11.140625" bestFit="1" customWidth="1"/>
    <col min="3" max="3" width="20.28515625" bestFit="1" customWidth="1"/>
    <col min="4" max="4" width="10.140625" bestFit="1" customWidth="1"/>
  </cols>
  <sheetData>
    <row r="1" spans="1:4" x14ac:dyDescent="0.2">
      <c r="A1" s="34" t="s">
        <v>252</v>
      </c>
      <c r="B1" s="34" t="s">
        <v>253</v>
      </c>
      <c r="C1" s="34" t="s">
        <v>254</v>
      </c>
      <c r="D1" s="35" t="s">
        <v>255</v>
      </c>
    </row>
    <row r="2" spans="1:4" x14ac:dyDescent="0.2">
      <c r="A2" s="36" t="s">
        <v>256</v>
      </c>
      <c r="B2" s="36" t="s">
        <v>257</v>
      </c>
      <c r="C2" s="37">
        <v>45377</v>
      </c>
      <c r="D2" s="38">
        <v>2.9261949999999999</v>
      </c>
    </row>
    <row r="3" spans="1:4" ht="40.9" customHeight="1" x14ac:dyDescent="0.2">
      <c r="A3" s="44" t="s">
        <v>258</v>
      </c>
      <c r="B3" s="45"/>
      <c r="C3" s="45"/>
      <c r="D3" s="45"/>
    </row>
  </sheetData>
  <mergeCells count="1">
    <mergeCell ref="A3:D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330"/>
  <sheetViews>
    <sheetView workbookViewId="0">
      <selection activeCell="Q21" sqref="Q21"/>
    </sheetView>
  </sheetViews>
  <sheetFormatPr defaultRowHeight="12.75" x14ac:dyDescent="0.2"/>
  <cols>
    <col min="1" max="1" width="28.28515625" bestFit="1" customWidth="1"/>
    <col min="2" max="2" width="52.85546875" bestFit="1" customWidth="1"/>
    <col min="3" max="3" width="8.85546875" bestFit="1" customWidth="1"/>
  </cols>
  <sheetData>
    <row r="1" spans="1:3" x14ac:dyDescent="0.2">
      <c r="A1" s="39" t="s">
        <v>259</v>
      </c>
      <c r="B1" s="39" t="s">
        <v>260</v>
      </c>
      <c r="C1" s="40" t="s">
        <v>261</v>
      </c>
    </row>
    <row r="2" spans="1:3" ht="17.649999999999999" customHeight="1" x14ac:dyDescent="0.2">
      <c r="A2" s="46" t="s">
        <v>262</v>
      </c>
      <c r="B2" s="45"/>
      <c r="C2" s="45"/>
    </row>
    <row r="3" spans="1:3" ht="17.649999999999999" customHeight="1" x14ac:dyDescent="0.2">
      <c r="A3" s="47" t="s">
        <v>263</v>
      </c>
      <c r="B3" s="45"/>
      <c r="C3" s="45"/>
    </row>
    <row r="4" spans="1:3" x14ac:dyDescent="0.2">
      <c r="A4" s="41" t="s">
        <v>264</v>
      </c>
      <c r="B4" s="41" t="s">
        <v>265</v>
      </c>
      <c r="C4" s="42">
        <v>0</v>
      </c>
    </row>
    <row r="5" spans="1:3" x14ac:dyDescent="0.2">
      <c r="A5" s="41" t="s">
        <v>266</v>
      </c>
      <c r="B5" s="41" t="s">
        <v>267</v>
      </c>
      <c r="C5" s="42">
        <v>0</v>
      </c>
    </row>
    <row r="6" spans="1:3" x14ac:dyDescent="0.2">
      <c r="A6" s="41" t="s">
        <v>268</v>
      </c>
      <c r="B6" s="41" t="s">
        <v>269</v>
      </c>
      <c r="C6" s="42">
        <v>0</v>
      </c>
    </row>
    <row r="7" spans="1:3" x14ac:dyDescent="0.2">
      <c r="A7" s="41" t="s">
        <v>270</v>
      </c>
      <c r="B7" s="41" t="s">
        <v>271</v>
      </c>
      <c r="C7" s="42">
        <v>0</v>
      </c>
    </row>
    <row r="8" spans="1:3" x14ac:dyDescent="0.2">
      <c r="A8" s="41" t="s">
        <v>272</v>
      </c>
      <c r="B8" s="41" t="s">
        <v>273</v>
      </c>
      <c r="C8" s="42">
        <v>0</v>
      </c>
    </row>
    <row r="9" spans="1:3" x14ac:dyDescent="0.2">
      <c r="A9" s="41" t="s">
        <v>274</v>
      </c>
      <c r="B9" s="41" t="s">
        <v>275</v>
      </c>
      <c r="C9" s="43"/>
    </row>
    <row r="10" spans="1:3" x14ac:dyDescent="0.2">
      <c r="A10" s="41" t="s">
        <v>276</v>
      </c>
      <c r="B10" s="41" t="s">
        <v>277</v>
      </c>
      <c r="C10" s="42">
        <v>0</v>
      </c>
    </row>
    <row r="11" spans="1:3" x14ac:dyDescent="0.2">
      <c r="A11" s="41" t="s">
        <v>278</v>
      </c>
      <c r="B11" s="41" t="s">
        <v>279</v>
      </c>
      <c r="C11" s="42">
        <v>0</v>
      </c>
    </row>
    <row r="12" spans="1:3" x14ac:dyDescent="0.2">
      <c r="A12" s="41" t="s">
        <v>280</v>
      </c>
      <c r="B12" s="41" t="s">
        <v>281</v>
      </c>
      <c r="C12" s="43">
        <v>0.42435200000000001</v>
      </c>
    </row>
    <row r="13" spans="1:3" x14ac:dyDescent="0.2">
      <c r="A13" s="41" t="s">
        <v>282</v>
      </c>
      <c r="B13" s="41" t="s">
        <v>283</v>
      </c>
      <c r="C13" s="43">
        <v>0.24496000000000001</v>
      </c>
    </row>
    <row r="14" spans="1:3" x14ac:dyDescent="0.2">
      <c r="A14" s="41" t="s">
        <v>284</v>
      </c>
      <c r="B14" s="41" t="s">
        <v>285</v>
      </c>
      <c r="C14" s="43">
        <v>0.18342700000000001</v>
      </c>
    </row>
    <row r="15" spans="1:3" x14ac:dyDescent="0.2">
      <c r="A15" s="41" t="s">
        <v>286</v>
      </c>
      <c r="B15" s="41" t="s">
        <v>287</v>
      </c>
      <c r="C15" s="43">
        <v>5.4900000000000001E-3</v>
      </c>
    </row>
    <row r="16" spans="1:3" x14ac:dyDescent="0.2">
      <c r="A16" s="41" t="s">
        <v>288</v>
      </c>
      <c r="B16" s="41" t="s">
        <v>289</v>
      </c>
      <c r="C16" s="43">
        <v>4.215E-3</v>
      </c>
    </row>
    <row r="17" spans="1:3" x14ac:dyDescent="0.2">
      <c r="A17" s="41" t="s">
        <v>290</v>
      </c>
      <c r="B17" s="41" t="s">
        <v>291</v>
      </c>
      <c r="C17" s="43">
        <v>9.0910000000000001E-3</v>
      </c>
    </row>
    <row r="18" spans="1:3" x14ac:dyDescent="0.2">
      <c r="A18" s="41" t="s">
        <v>292</v>
      </c>
      <c r="B18" s="41" t="s">
        <v>293</v>
      </c>
      <c r="C18" s="43">
        <v>1.3140000000000001E-2</v>
      </c>
    </row>
    <row r="19" spans="1:3" x14ac:dyDescent="0.2">
      <c r="A19" s="41" t="s">
        <v>294</v>
      </c>
      <c r="B19" s="41" t="s">
        <v>295</v>
      </c>
      <c r="C19" s="43">
        <v>7.5700000000000003E-2</v>
      </c>
    </row>
    <row r="20" spans="1:3" x14ac:dyDescent="0.2">
      <c r="A20" s="41" t="s">
        <v>296</v>
      </c>
      <c r="B20" s="41" t="s">
        <v>297</v>
      </c>
      <c r="C20" s="43"/>
    </row>
    <row r="21" spans="1:3" x14ac:dyDescent="0.2">
      <c r="A21" s="41" t="s">
        <v>298</v>
      </c>
      <c r="B21" s="41" t="s">
        <v>299</v>
      </c>
      <c r="C21" s="43">
        <v>1.93E-4</v>
      </c>
    </row>
    <row r="22" spans="1:3" x14ac:dyDescent="0.2">
      <c r="A22" s="41" t="s">
        <v>300</v>
      </c>
      <c r="B22" s="41" t="s">
        <v>301</v>
      </c>
      <c r="C22" s="43"/>
    </row>
    <row r="23" spans="1:3" x14ac:dyDescent="0.2">
      <c r="A23" s="41" t="s">
        <v>302</v>
      </c>
      <c r="B23" s="41" t="s">
        <v>303</v>
      </c>
      <c r="C23" s="43"/>
    </row>
    <row r="24" spans="1:3" x14ac:dyDescent="0.2">
      <c r="A24" s="41" t="s">
        <v>304</v>
      </c>
      <c r="B24" s="41" t="s">
        <v>305</v>
      </c>
      <c r="C24" s="43"/>
    </row>
    <row r="25" spans="1:3" x14ac:dyDescent="0.2">
      <c r="A25" s="41" t="s">
        <v>306</v>
      </c>
      <c r="B25" s="41" t="s">
        <v>307</v>
      </c>
      <c r="C25" s="42">
        <v>0</v>
      </c>
    </row>
    <row r="26" spans="1:3" x14ac:dyDescent="0.2">
      <c r="A26" s="41" t="s">
        <v>308</v>
      </c>
      <c r="B26" s="41" t="s">
        <v>309</v>
      </c>
      <c r="C26" s="42">
        <v>0</v>
      </c>
    </row>
    <row r="27" spans="1:3" x14ac:dyDescent="0.2">
      <c r="A27" s="41" t="s">
        <v>310</v>
      </c>
      <c r="B27" s="41" t="s">
        <v>311</v>
      </c>
      <c r="C27" s="42">
        <v>0</v>
      </c>
    </row>
    <row r="28" spans="1:3" x14ac:dyDescent="0.2">
      <c r="A28" s="41" t="s">
        <v>312</v>
      </c>
      <c r="B28" s="41" t="s">
        <v>281</v>
      </c>
      <c r="C28" s="43">
        <v>0.328268</v>
      </c>
    </row>
    <row r="29" spans="1:3" x14ac:dyDescent="0.2">
      <c r="A29" s="41" t="s">
        <v>313</v>
      </c>
      <c r="B29" s="41" t="s">
        <v>314</v>
      </c>
      <c r="C29" s="43">
        <v>0.26005699999999998</v>
      </c>
    </row>
    <row r="30" spans="1:3" x14ac:dyDescent="0.2">
      <c r="A30" s="41" t="s">
        <v>315</v>
      </c>
      <c r="B30" s="41" t="s">
        <v>316</v>
      </c>
      <c r="C30" s="43">
        <v>2.9156999999999999E-2</v>
      </c>
    </row>
    <row r="31" spans="1:3" x14ac:dyDescent="0.2">
      <c r="A31" s="41" t="s">
        <v>317</v>
      </c>
      <c r="B31" s="41" t="s">
        <v>318</v>
      </c>
      <c r="C31" s="43">
        <v>8.7140999999999996E-2</v>
      </c>
    </row>
    <row r="32" spans="1:3" x14ac:dyDescent="0.2">
      <c r="A32" s="41" t="s">
        <v>319</v>
      </c>
      <c r="B32" s="41" t="s">
        <v>320</v>
      </c>
      <c r="C32" s="43">
        <v>0.104115</v>
      </c>
    </row>
    <row r="33" spans="1:3" x14ac:dyDescent="0.2">
      <c r="A33" s="41" t="s">
        <v>321</v>
      </c>
      <c r="B33" s="41" t="s">
        <v>322</v>
      </c>
      <c r="C33" s="43">
        <v>4.1447999999999999E-2</v>
      </c>
    </row>
    <row r="34" spans="1:3" x14ac:dyDescent="0.2">
      <c r="A34" s="41" t="s">
        <v>323</v>
      </c>
      <c r="B34" s="41" t="s">
        <v>324</v>
      </c>
      <c r="C34" s="43">
        <v>5.7041000000000001E-2</v>
      </c>
    </row>
    <row r="35" spans="1:3" x14ac:dyDescent="0.2">
      <c r="A35" s="41" t="s">
        <v>325</v>
      </c>
      <c r="B35" s="41" t="s">
        <v>295</v>
      </c>
      <c r="C35" s="43">
        <v>3.3894000000000001E-2</v>
      </c>
    </row>
    <row r="36" spans="1:3" x14ac:dyDescent="0.2">
      <c r="A36" s="41" t="s">
        <v>326</v>
      </c>
      <c r="B36" s="41" t="s">
        <v>287</v>
      </c>
      <c r="C36" s="43">
        <v>5.1159999999999999E-3</v>
      </c>
    </row>
    <row r="37" spans="1:3" x14ac:dyDescent="0.2">
      <c r="A37" s="41" t="s">
        <v>327</v>
      </c>
      <c r="B37" s="41" t="s">
        <v>293</v>
      </c>
      <c r="C37" s="43">
        <v>1.3025E-2</v>
      </c>
    </row>
    <row r="38" spans="1:3" x14ac:dyDescent="0.2">
      <c r="A38" s="41" t="s">
        <v>328</v>
      </c>
      <c r="B38" s="41" t="s">
        <v>289</v>
      </c>
      <c r="C38" s="43">
        <v>4.1780000000000003E-3</v>
      </c>
    </row>
    <row r="39" spans="1:3" x14ac:dyDescent="0.2">
      <c r="A39" s="41" t="s">
        <v>329</v>
      </c>
      <c r="B39" s="41" t="s">
        <v>291</v>
      </c>
      <c r="C39" s="43">
        <v>3.0040000000000002E-3</v>
      </c>
    </row>
    <row r="40" spans="1:3" x14ac:dyDescent="0.2">
      <c r="A40" s="41" t="s">
        <v>330</v>
      </c>
      <c r="B40" s="41" t="s">
        <v>331</v>
      </c>
      <c r="C40" s="43">
        <v>5.8E-5</v>
      </c>
    </row>
    <row r="41" spans="1:3" x14ac:dyDescent="0.2">
      <c r="A41" s="41" t="s">
        <v>332</v>
      </c>
      <c r="B41" s="41" t="s">
        <v>333</v>
      </c>
      <c r="C41" s="43">
        <v>1.8000000000000001E-4</v>
      </c>
    </row>
    <row r="42" spans="1:3" x14ac:dyDescent="0.2">
      <c r="A42" s="41" t="s">
        <v>334</v>
      </c>
      <c r="B42" s="41" t="s">
        <v>299</v>
      </c>
      <c r="C42" s="43">
        <v>3.77E-4</v>
      </c>
    </row>
    <row r="43" spans="1:3" x14ac:dyDescent="0.2">
      <c r="A43" s="41" t="s">
        <v>335</v>
      </c>
      <c r="B43" s="41" t="s">
        <v>307</v>
      </c>
      <c r="C43" s="42">
        <v>0</v>
      </c>
    </row>
    <row r="44" spans="1:3" x14ac:dyDescent="0.2">
      <c r="A44" s="41" t="s">
        <v>308</v>
      </c>
      <c r="B44" s="41" t="s">
        <v>309</v>
      </c>
      <c r="C44" s="42">
        <v>0</v>
      </c>
    </row>
    <row r="45" spans="1:3" x14ac:dyDescent="0.2">
      <c r="A45" s="41" t="s">
        <v>310</v>
      </c>
      <c r="B45" s="41" t="s">
        <v>311</v>
      </c>
      <c r="C45" s="42">
        <v>0</v>
      </c>
    </row>
    <row r="46" spans="1:3" x14ac:dyDescent="0.2">
      <c r="A46" s="41" t="s">
        <v>312</v>
      </c>
      <c r="B46" s="41" t="s">
        <v>281</v>
      </c>
      <c r="C46" s="43">
        <v>0.328268</v>
      </c>
    </row>
    <row r="47" spans="1:3" x14ac:dyDescent="0.2">
      <c r="A47" s="41" t="s">
        <v>313</v>
      </c>
      <c r="B47" s="41" t="s">
        <v>314</v>
      </c>
      <c r="C47" s="43">
        <v>0.26005699999999998</v>
      </c>
    </row>
    <row r="48" spans="1:3" x14ac:dyDescent="0.2">
      <c r="A48" s="41" t="s">
        <v>315</v>
      </c>
      <c r="B48" s="41" t="s">
        <v>316</v>
      </c>
      <c r="C48" s="43">
        <v>2.9156999999999999E-2</v>
      </c>
    </row>
    <row r="49" spans="1:3" x14ac:dyDescent="0.2">
      <c r="A49" s="41" t="s">
        <v>317</v>
      </c>
      <c r="B49" s="41" t="s">
        <v>318</v>
      </c>
      <c r="C49" s="43">
        <v>8.7140999999999996E-2</v>
      </c>
    </row>
    <row r="50" spans="1:3" x14ac:dyDescent="0.2">
      <c r="A50" s="41" t="s">
        <v>319</v>
      </c>
      <c r="B50" s="41" t="s">
        <v>320</v>
      </c>
      <c r="C50" s="43">
        <v>0.104115</v>
      </c>
    </row>
    <row r="51" spans="1:3" x14ac:dyDescent="0.2">
      <c r="A51" s="41" t="s">
        <v>321</v>
      </c>
      <c r="B51" s="41" t="s">
        <v>322</v>
      </c>
      <c r="C51" s="43">
        <v>4.1447999999999999E-2</v>
      </c>
    </row>
    <row r="52" spans="1:3" x14ac:dyDescent="0.2">
      <c r="A52" s="41" t="s">
        <v>323</v>
      </c>
      <c r="B52" s="41" t="s">
        <v>324</v>
      </c>
      <c r="C52" s="43">
        <v>5.7041000000000001E-2</v>
      </c>
    </row>
    <row r="53" spans="1:3" x14ac:dyDescent="0.2">
      <c r="A53" s="41" t="s">
        <v>325</v>
      </c>
      <c r="B53" s="41" t="s">
        <v>295</v>
      </c>
      <c r="C53" s="43">
        <v>3.3894000000000001E-2</v>
      </c>
    </row>
    <row r="54" spans="1:3" x14ac:dyDescent="0.2">
      <c r="A54" s="41" t="s">
        <v>326</v>
      </c>
      <c r="B54" s="41" t="s">
        <v>287</v>
      </c>
      <c r="C54" s="43">
        <v>5.1159999999999999E-3</v>
      </c>
    </row>
    <row r="55" spans="1:3" x14ac:dyDescent="0.2">
      <c r="A55" s="41" t="s">
        <v>327</v>
      </c>
      <c r="B55" s="41" t="s">
        <v>293</v>
      </c>
      <c r="C55" s="43">
        <v>1.3025E-2</v>
      </c>
    </row>
    <row r="56" spans="1:3" x14ac:dyDescent="0.2">
      <c r="A56" s="41" t="s">
        <v>328</v>
      </c>
      <c r="B56" s="41" t="s">
        <v>289</v>
      </c>
      <c r="C56" s="43">
        <v>4.1780000000000003E-3</v>
      </c>
    </row>
    <row r="57" spans="1:3" x14ac:dyDescent="0.2">
      <c r="A57" s="41" t="s">
        <v>329</v>
      </c>
      <c r="B57" s="41" t="s">
        <v>291</v>
      </c>
      <c r="C57" s="43">
        <v>3.0040000000000002E-3</v>
      </c>
    </row>
    <row r="58" spans="1:3" x14ac:dyDescent="0.2">
      <c r="A58" s="41" t="s">
        <v>330</v>
      </c>
      <c r="B58" s="41" t="s">
        <v>331</v>
      </c>
      <c r="C58" s="43">
        <v>5.8E-5</v>
      </c>
    </row>
    <row r="59" spans="1:3" x14ac:dyDescent="0.2">
      <c r="A59" s="41" t="s">
        <v>332</v>
      </c>
      <c r="B59" s="41" t="s">
        <v>333</v>
      </c>
      <c r="C59" s="43">
        <v>1.8000000000000001E-4</v>
      </c>
    </row>
    <row r="60" spans="1:3" x14ac:dyDescent="0.2">
      <c r="A60" s="41" t="s">
        <v>334</v>
      </c>
      <c r="B60" s="41" t="s">
        <v>299</v>
      </c>
      <c r="C60" s="43">
        <v>3.77E-4</v>
      </c>
    </row>
    <row r="61" spans="1:3" x14ac:dyDescent="0.2">
      <c r="A61" s="41" t="s">
        <v>336</v>
      </c>
      <c r="B61" s="41" t="s">
        <v>337</v>
      </c>
      <c r="C61" s="42">
        <v>0</v>
      </c>
    </row>
    <row r="62" spans="1:3" x14ac:dyDescent="0.2">
      <c r="A62" s="41" t="s">
        <v>338</v>
      </c>
      <c r="B62" s="41" t="s">
        <v>339</v>
      </c>
      <c r="C62" s="42">
        <v>0</v>
      </c>
    </row>
    <row r="63" spans="1:3" x14ac:dyDescent="0.2">
      <c r="A63" s="41" t="s">
        <v>340</v>
      </c>
      <c r="B63" s="41" t="s">
        <v>341</v>
      </c>
      <c r="C63" s="42">
        <v>0</v>
      </c>
    </row>
    <row r="64" spans="1:3" x14ac:dyDescent="0.2">
      <c r="A64" s="41" t="s">
        <v>342</v>
      </c>
      <c r="B64" s="41" t="s">
        <v>343</v>
      </c>
      <c r="C64" s="42">
        <v>0</v>
      </c>
    </row>
    <row r="65" spans="1:3" x14ac:dyDescent="0.2">
      <c r="A65" s="41" t="s">
        <v>344</v>
      </c>
      <c r="B65" s="41" t="s">
        <v>281</v>
      </c>
      <c r="C65" s="43">
        <v>0.547489</v>
      </c>
    </row>
    <row r="66" spans="1:3" x14ac:dyDescent="0.2">
      <c r="A66" s="41" t="s">
        <v>345</v>
      </c>
      <c r="B66" s="41" t="s">
        <v>346</v>
      </c>
      <c r="C66" s="43">
        <v>0.12729099999999999</v>
      </c>
    </row>
    <row r="67" spans="1:3" x14ac:dyDescent="0.2">
      <c r="A67" s="41" t="s">
        <v>347</v>
      </c>
      <c r="B67" s="41" t="s">
        <v>316</v>
      </c>
      <c r="C67" s="43">
        <v>3.1401999999999999E-2</v>
      </c>
    </row>
    <row r="68" spans="1:3" x14ac:dyDescent="0.2">
      <c r="A68" s="41" t="s">
        <v>348</v>
      </c>
      <c r="B68" s="41" t="s">
        <v>320</v>
      </c>
      <c r="C68" s="43">
        <v>8.7110000000000007E-2</v>
      </c>
    </row>
    <row r="69" spans="1:3" x14ac:dyDescent="0.2">
      <c r="A69" s="41" t="s">
        <v>349</v>
      </c>
      <c r="B69" s="41" t="s">
        <v>285</v>
      </c>
      <c r="C69" s="43">
        <v>8.7425000000000003E-2</v>
      </c>
    </row>
    <row r="70" spans="1:3" x14ac:dyDescent="0.2">
      <c r="A70" s="41" t="s">
        <v>350</v>
      </c>
      <c r="B70" s="41" t="s">
        <v>322</v>
      </c>
      <c r="C70" s="43">
        <v>3.0747E-2</v>
      </c>
    </row>
    <row r="71" spans="1:3" x14ac:dyDescent="0.2">
      <c r="A71" s="41" t="s">
        <v>351</v>
      </c>
      <c r="B71" s="41" t="s">
        <v>295</v>
      </c>
      <c r="C71" s="43">
        <v>3.2147000000000002E-2</v>
      </c>
    </row>
    <row r="72" spans="1:3" x14ac:dyDescent="0.2">
      <c r="A72" s="41" t="s">
        <v>352</v>
      </c>
      <c r="B72" s="41" t="s">
        <v>287</v>
      </c>
      <c r="C72" s="43">
        <v>5.6519999999999999E-3</v>
      </c>
    </row>
    <row r="73" spans="1:3" x14ac:dyDescent="0.2">
      <c r="A73" s="41" t="s">
        <v>353</v>
      </c>
      <c r="B73" s="41" t="s">
        <v>293</v>
      </c>
      <c r="C73" s="43">
        <v>1.3527000000000001E-2</v>
      </c>
    </row>
    <row r="74" spans="1:3" x14ac:dyDescent="0.2">
      <c r="A74" s="41" t="s">
        <v>354</v>
      </c>
      <c r="B74" s="41" t="s">
        <v>289</v>
      </c>
      <c r="C74" s="43">
        <v>1.1572000000000001E-2</v>
      </c>
    </row>
    <row r="75" spans="1:3" x14ac:dyDescent="0.2">
      <c r="A75" s="41" t="s">
        <v>355</v>
      </c>
      <c r="B75" s="41" t="s">
        <v>356</v>
      </c>
      <c r="C75" s="43">
        <v>1.4530000000000001E-3</v>
      </c>
    </row>
    <row r="76" spans="1:3" x14ac:dyDescent="0.2">
      <c r="A76" s="41" t="s">
        <v>357</v>
      </c>
      <c r="B76" s="41" t="s">
        <v>291</v>
      </c>
      <c r="C76" s="43">
        <v>4.1180000000000001E-3</v>
      </c>
    </row>
    <row r="77" spans="1:3" x14ac:dyDescent="0.2">
      <c r="A77" s="41" t="s">
        <v>358</v>
      </c>
      <c r="B77" s="41" t="s">
        <v>359</v>
      </c>
      <c r="C77" s="43">
        <v>1.4300000000000001E-4</v>
      </c>
    </row>
    <row r="78" spans="1:3" x14ac:dyDescent="0.2">
      <c r="A78" s="41" t="s">
        <v>334</v>
      </c>
      <c r="B78" s="41" t="s">
        <v>299</v>
      </c>
      <c r="C78" s="43">
        <v>1.18E-4</v>
      </c>
    </row>
    <row r="79" spans="1:3" x14ac:dyDescent="0.2">
      <c r="A79" s="41" t="s">
        <v>360</v>
      </c>
      <c r="B79" s="41" t="s">
        <v>361</v>
      </c>
      <c r="C79" s="42">
        <v>0</v>
      </c>
    </row>
    <row r="80" spans="1:3" x14ac:dyDescent="0.2">
      <c r="A80" s="41" t="s">
        <v>362</v>
      </c>
      <c r="B80" s="41" t="s">
        <v>363</v>
      </c>
      <c r="C80" s="42">
        <v>0</v>
      </c>
    </row>
    <row r="81" spans="1:3" x14ac:dyDescent="0.2">
      <c r="A81" s="41" t="s">
        <v>364</v>
      </c>
      <c r="B81" s="41" t="s">
        <v>365</v>
      </c>
      <c r="C81" s="42">
        <v>0</v>
      </c>
    </row>
    <row r="82" spans="1:3" x14ac:dyDescent="0.2">
      <c r="A82" s="41" t="s">
        <v>366</v>
      </c>
      <c r="B82" s="41" t="s">
        <v>367</v>
      </c>
      <c r="C82" s="42">
        <v>0</v>
      </c>
    </row>
    <row r="83" spans="1:3" x14ac:dyDescent="0.2">
      <c r="A83" s="41" t="s">
        <v>344</v>
      </c>
      <c r="B83" s="41" t="s">
        <v>281</v>
      </c>
      <c r="C83" s="43">
        <v>0.48632300000000001</v>
      </c>
    </row>
    <row r="84" spans="1:3" x14ac:dyDescent="0.2">
      <c r="A84" s="41" t="s">
        <v>345</v>
      </c>
      <c r="B84" s="41" t="s">
        <v>346</v>
      </c>
      <c r="C84" s="43">
        <v>0.173761</v>
      </c>
    </row>
    <row r="85" spans="1:3" x14ac:dyDescent="0.2">
      <c r="A85" s="41" t="s">
        <v>368</v>
      </c>
      <c r="B85" s="41" t="s">
        <v>369</v>
      </c>
      <c r="C85" s="43">
        <v>0.147596</v>
      </c>
    </row>
    <row r="86" spans="1:3" x14ac:dyDescent="0.2">
      <c r="A86" s="41" t="s">
        <v>350</v>
      </c>
      <c r="B86" s="41" t="s">
        <v>322</v>
      </c>
      <c r="C86" s="43">
        <v>9.0419999999999997E-3</v>
      </c>
    </row>
    <row r="87" spans="1:3" x14ac:dyDescent="0.2">
      <c r="A87" s="41" t="s">
        <v>351</v>
      </c>
      <c r="B87" s="41" t="s">
        <v>295</v>
      </c>
      <c r="C87" s="43">
        <v>2.6185E-2</v>
      </c>
    </row>
    <row r="88" spans="1:3" x14ac:dyDescent="0.2">
      <c r="A88" s="41" t="s">
        <v>352</v>
      </c>
      <c r="B88" s="41" t="s">
        <v>287</v>
      </c>
      <c r="C88" s="43">
        <v>4.2900000000000004E-3</v>
      </c>
    </row>
    <row r="89" spans="1:3" x14ac:dyDescent="0.2">
      <c r="A89" s="41" t="s">
        <v>353</v>
      </c>
      <c r="B89" s="41" t="s">
        <v>293</v>
      </c>
      <c r="C89" s="43">
        <v>1.925E-2</v>
      </c>
    </row>
    <row r="90" spans="1:3" x14ac:dyDescent="0.2">
      <c r="A90" s="41" t="s">
        <v>354</v>
      </c>
      <c r="B90" s="41" t="s">
        <v>289</v>
      </c>
      <c r="C90" s="43">
        <v>1.6466999999999999E-2</v>
      </c>
    </row>
    <row r="91" spans="1:3" x14ac:dyDescent="0.2">
      <c r="A91" s="41" t="s">
        <v>355</v>
      </c>
      <c r="B91" s="41" t="s">
        <v>356</v>
      </c>
      <c r="C91" s="43">
        <v>5.5139999999999998E-3</v>
      </c>
    </row>
    <row r="92" spans="1:3" x14ac:dyDescent="0.2">
      <c r="A92" s="41" t="s">
        <v>357</v>
      </c>
      <c r="B92" s="41" t="s">
        <v>291</v>
      </c>
      <c r="C92" s="43">
        <v>1.7759E-2</v>
      </c>
    </row>
    <row r="93" spans="1:3" x14ac:dyDescent="0.2">
      <c r="A93" s="41" t="s">
        <v>370</v>
      </c>
      <c r="B93" s="41" t="s">
        <v>371</v>
      </c>
      <c r="C93" s="43">
        <v>1.7250999999999999E-2</v>
      </c>
    </row>
    <row r="94" spans="1:3" x14ac:dyDescent="0.2">
      <c r="A94" s="41" t="s">
        <v>372</v>
      </c>
      <c r="B94" s="41" t="s">
        <v>373</v>
      </c>
      <c r="C94" s="43">
        <v>5.0299999999999997E-4</v>
      </c>
    </row>
    <row r="95" spans="1:3" x14ac:dyDescent="0.2">
      <c r="A95" s="41" t="s">
        <v>374</v>
      </c>
      <c r="B95" s="41" t="s">
        <v>375</v>
      </c>
      <c r="C95" s="43">
        <v>7.548E-3</v>
      </c>
    </row>
    <row r="96" spans="1:3" x14ac:dyDescent="0.2">
      <c r="A96" s="41" t="s">
        <v>376</v>
      </c>
      <c r="B96" s="41" t="s">
        <v>297</v>
      </c>
      <c r="C96" s="43">
        <v>4.5899999999999999E-4</v>
      </c>
    </row>
    <row r="97" spans="1:3" x14ac:dyDescent="0.2">
      <c r="A97" s="41" t="s">
        <v>377</v>
      </c>
      <c r="B97" s="41" t="s">
        <v>299</v>
      </c>
      <c r="C97" s="43">
        <v>1.542E-3</v>
      </c>
    </row>
    <row r="98" spans="1:3" x14ac:dyDescent="0.2">
      <c r="A98" s="41" t="s">
        <v>378</v>
      </c>
      <c r="B98" s="41" t="s">
        <v>379</v>
      </c>
      <c r="C98" s="43">
        <v>2.4109999999999999E-3</v>
      </c>
    </row>
    <row r="99" spans="1:3" x14ac:dyDescent="0.2">
      <c r="A99" s="41" t="s">
        <v>380</v>
      </c>
      <c r="B99" s="41" t="s">
        <v>381</v>
      </c>
      <c r="C99" s="43"/>
    </row>
    <row r="100" spans="1:3" x14ac:dyDescent="0.2">
      <c r="A100" s="41" t="s">
        <v>382</v>
      </c>
      <c r="B100" s="41" t="s">
        <v>383</v>
      </c>
      <c r="C100" s="42">
        <v>0</v>
      </c>
    </row>
    <row r="101" spans="1:3" x14ac:dyDescent="0.2">
      <c r="A101" s="41" t="s">
        <v>384</v>
      </c>
      <c r="B101" s="41" t="s">
        <v>385</v>
      </c>
      <c r="C101" s="42">
        <v>0</v>
      </c>
    </row>
    <row r="102" spans="1:3" x14ac:dyDescent="0.2">
      <c r="A102" s="41" t="s">
        <v>386</v>
      </c>
      <c r="B102" s="41" t="s">
        <v>387</v>
      </c>
      <c r="C102" s="43"/>
    </row>
    <row r="103" spans="1:3" x14ac:dyDescent="0.2">
      <c r="A103" s="41" t="s">
        <v>364</v>
      </c>
      <c r="B103" s="41" t="s">
        <v>365</v>
      </c>
      <c r="C103" s="42">
        <v>0</v>
      </c>
    </row>
    <row r="104" spans="1:3" x14ac:dyDescent="0.2">
      <c r="A104" s="41" t="s">
        <v>366</v>
      </c>
      <c r="B104" s="41" t="s">
        <v>367</v>
      </c>
      <c r="C104" s="42">
        <v>0</v>
      </c>
    </row>
    <row r="105" spans="1:3" x14ac:dyDescent="0.2">
      <c r="A105" s="41" t="s">
        <v>344</v>
      </c>
      <c r="B105" s="41" t="s">
        <v>281</v>
      </c>
      <c r="C105" s="43">
        <v>0.48632300000000001</v>
      </c>
    </row>
    <row r="106" spans="1:3" x14ac:dyDescent="0.2">
      <c r="A106" s="41" t="s">
        <v>345</v>
      </c>
      <c r="B106" s="41" t="s">
        <v>346</v>
      </c>
      <c r="C106" s="43">
        <v>0.173761</v>
      </c>
    </row>
    <row r="107" spans="1:3" x14ac:dyDescent="0.2">
      <c r="A107" s="41" t="s">
        <v>368</v>
      </c>
      <c r="B107" s="41" t="s">
        <v>369</v>
      </c>
      <c r="C107" s="43">
        <v>0.147596</v>
      </c>
    </row>
    <row r="108" spans="1:3" x14ac:dyDescent="0.2">
      <c r="A108" s="41" t="s">
        <v>350</v>
      </c>
      <c r="B108" s="41" t="s">
        <v>322</v>
      </c>
      <c r="C108" s="43">
        <v>9.0419999999999997E-3</v>
      </c>
    </row>
    <row r="109" spans="1:3" x14ac:dyDescent="0.2">
      <c r="A109" s="41" t="s">
        <v>351</v>
      </c>
      <c r="B109" s="41" t="s">
        <v>295</v>
      </c>
      <c r="C109" s="43">
        <v>2.6185E-2</v>
      </c>
    </row>
    <row r="110" spans="1:3" x14ac:dyDescent="0.2">
      <c r="A110" s="41" t="s">
        <v>352</v>
      </c>
      <c r="B110" s="41" t="s">
        <v>287</v>
      </c>
      <c r="C110" s="43">
        <v>4.2900000000000004E-3</v>
      </c>
    </row>
    <row r="111" spans="1:3" x14ac:dyDescent="0.2">
      <c r="A111" s="41" t="s">
        <v>353</v>
      </c>
      <c r="B111" s="41" t="s">
        <v>293</v>
      </c>
      <c r="C111" s="43">
        <v>1.925E-2</v>
      </c>
    </row>
    <row r="112" spans="1:3" x14ac:dyDescent="0.2">
      <c r="A112" s="41" t="s">
        <v>354</v>
      </c>
      <c r="B112" s="41" t="s">
        <v>289</v>
      </c>
      <c r="C112" s="43">
        <v>1.6466999999999999E-2</v>
      </c>
    </row>
    <row r="113" spans="1:3" x14ac:dyDescent="0.2">
      <c r="A113" s="41" t="s">
        <v>355</v>
      </c>
      <c r="B113" s="41" t="s">
        <v>356</v>
      </c>
      <c r="C113" s="43">
        <v>5.5139999999999998E-3</v>
      </c>
    </row>
    <row r="114" spans="1:3" x14ac:dyDescent="0.2">
      <c r="A114" s="41" t="s">
        <v>357</v>
      </c>
      <c r="B114" s="41" t="s">
        <v>291</v>
      </c>
      <c r="C114" s="43">
        <v>1.7759E-2</v>
      </c>
    </row>
    <row r="115" spans="1:3" x14ac:dyDescent="0.2">
      <c r="A115" s="41" t="s">
        <v>370</v>
      </c>
      <c r="B115" s="41" t="s">
        <v>371</v>
      </c>
      <c r="C115" s="43">
        <v>1.7250999999999999E-2</v>
      </c>
    </row>
    <row r="116" spans="1:3" x14ac:dyDescent="0.2">
      <c r="A116" s="41" t="s">
        <v>372</v>
      </c>
      <c r="B116" s="41" t="s">
        <v>373</v>
      </c>
      <c r="C116" s="43">
        <v>5.0299999999999997E-4</v>
      </c>
    </row>
    <row r="117" spans="1:3" x14ac:dyDescent="0.2">
      <c r="A117" s="41" t="s">
        <v>374</v>
      </c>
      <c r="B117" s="41" t="s">
        <v>375</v>
      </c>
      <c r="C117" s="43">
        <v>7.548E-3</v>
      </c>
    </row>
    <row r="118" spans="1:3" x14ac:dyDescent="0.2">
      <c r="A118" s="41" t="s">
        <v>376</v>
      </c>
      <c r="B118" s="41" t="s">
        <v>297</v>
      </c>
      <c r="C118" s="43">
        <v>2.8299999999999999E-4</v>
      </c>
    </row>
    <row r="119" spans="1:3" x14ac:dyDescent="0.2">
      <c r="A119" s="41" t="s">
        <v>377</v>
      </c>
      <c r="B119" s="41" t="s">
        <v>299</v>
      </c>
      <c r="C119" s="43">
        <v>9.5299999999999996E-4</v>
      </c>
    </row>
    <row r="120" spans="1:3" x14ac:dyDescent="0.2">
      <c r="A120" s="41" t="s">
        <v>378</v>
      </c>
      <c r="B120" s="41" t="s">
        <v>379</v>
      </c>
      <c r="C120" s="43">
        <v>1.49E-3</v>
      </c>
    </row>
    <row r="121" spans="1:3" x14ac:dyDescent="0.2">
      <c r="A121" s="41" t="s">
        <v>388</v>
      </c>
      <c r="B121" s="41" t="s">
        <v>389</v>
      </c>
      <c r="C121" s="43"/>
    </row>
    <row r="122" spans="1:3" x14ac:dyDescent="0.2">
      <c r="A122" s="41" t="s">
        <v>390</v>
      </c>
      <c r="B122" s="41" t="s">
        <v>391</v>
      </c>
      <c r="C122" s="43"/>
    </row>
    <row r="123" spans="1:3" x14ac:dyDescent="0.2">
      <c r="A123" s="41" t="s">
        <v>392</v>
      </c>
      <c r="B123" s="41" t="s">
        <v>383</v>
      </c>
      <c r="C123" s="42">
        <v>0</v>
      </c>
    </row>
    <row r="124" spans="1:3" x14ac:dyDescent="0.2">
      <c r="A124" s="41" t="s">
        <v>384</v>
      </c>
      <c r="B124" s="41" t="s">
        <v>385</v>
      </c>
      <c r="C124" s="42">
        <v>0</v>
      </c>
    </row>
    <row r="125" spans="1:3" x14ac:dyDescent="0.2">
      <c r="A125" s="41" t="s">
        <v>386</v>
      </c>
      <c r="B125" s="41" t="s">
        <v>387</v>
      </c>
      <c r="C125" s="43"/>
    </row>
    <row r="126" spans="1:3" x14ac:dyDescent="0.2">
      <c r="A126" s="41" t="s">
        <v>364</v>
      </c>
      <c r="B126" s="41" t="s">
        <v>365</v>
      </c>
      <c r="C126" s="42">
        <v>0</v>
      </c>
    </row>
    <row r="127" spans="1:3" x14ac:dyDescent="0.2">
      <c r="A127" s="41" t="s">
        <v>366</v>
      </c>
      <c r="B127" s="41" t="s">
        <v>367</v>
      </c>
      <c r="C127" s="42">
        <v>0</v>
      </c>
    </row>
    <row r="128" spans="1:3" x14ac:dyDescent="0.2">
      <c r="A128" s="41" t="s">
        <v>344</v>
      </c>
      <c r="B128" s="41" t="s">
        <v>281</v>
      </c>
      <c r="C128" s="43">
        <v>0.48632300000000001</v>
      </c>
    </row>
    <row r="129" spans="1:3" x14ac:dyDescent="0.2">
      <c r="A129" s="41" t="s">
        <v>345</v>
      </c>
      <c r="B129" s="41" t="s">
        <v>346</v>
      </c>
      <c r="C129" s="43">
        <v>0.173761</v>
      </c>
    </row>
    <row r="130" spans="1:3" x14ac:dyDescent="0.2">
      <c r="A130" s="41" t="s">
        <v>368</v>
      </c>
      <c r="B130" s="41" t="s">
        <v>369</v>
      </c>
      <c r="C130" s="43">
        <v>0.147596</v>
      </c>
    </row>
    <row r="131" spans="1:3" x14ac:dyDescent="0.2">
      <c r="A131" s="41" t="s">
        <v>350</v>
      </c>
      <c r="B131" s="41" t="s">
        <v>322</v>
      </c>
      <c r="C131" s="43">
        <v>9.0419999999999997E-3</v>
      </c>
    </row>
    <row r="132" spans="1:3" x14ac:dyDescent="0.2">
      <c r="A132" s="41" t="s">
        <v>351</v>
      </c>
      <c r="B132" s="41" t="s">
        <v>295</v>
      </c>
      <c r="C132" s="43">
        <v>2.6185E-2</v>
      </c>
    </row>
    <row r="133" spans="1:3" x14ac:dyDescent="0.2">
      <c r="A133" s="41" t="s">
        <v>352</v>
      </c>
      <c r="B133" s="41" t="s">
        <v>287</v>
      </c>
      <c r="C133" s="43">
        <v>4.2900000000000004E-3</v>
      </c>
    </row>
    <row r="134" spans="1:3" x14ac:dyDescent="0.2">
      <c r="A134" s="41" t="s">
        <v>353</v>
      </c>
      <c r="B134" s="41" t="s">
        <v>293</v>
      </c>
      <c r="C134" s="43">
        <v>1.925E-2</v>
      </c>
    </row>
    <row r="135" spans="1:3" x14ac:dyDescent="0.2">
      <c r="A135" s="41" t="s">
        <v>354</v>
      </c>
      <c r="B135" s="41" t="s">
        <v>289</v>
      </c>
      <c r="C135" s="43">
        <v>1.6466999999999999E-2</v>
      </c>
    </row>
    <row r="136" spans="1:3" x14ac:dyDescent="0.2">
      <c r="A136" s="41" t="s">
        <v>355</v>
      </c>
      <c r="B136" s="41" t="s">
        <v>356</v>
      </c>
      <c r="C136" s="43">
        <v>5.5139999999999998E-3</v>
      </c>
    </row>
    <row r="137" spans="1:3" x14ac:dyDescent="0.2">
      <c r="A137" s="41" t="s">
        <v>357</v>
      </c>
      <c r="B137" s="41" t="s">
        <v>291</v>
      </c>
      <c r="C137" s="43">
        <v>1.7759E-2</v>
      </c>
    </row>
    <row r="138" spans="1:3" x14ac:dyDescent="0.2">
      <c r="A138" s="41" t="s">
        <v>370</v>
      </c>
      <c r="B138" s="41" t="s">
        <v>371</v>
      </c>
      <c r="C138" s="43">
        <v>1.7250999999999999E-2</v>
      </c>
    </row>
    <row r="139" spans="1:3" x14ac:dyDescent="0.2">
      <c r="A139" s="41" t="s">
        <v>372</v>
      </c>
      <c r="B139" s="41" t="s">
        <v>373</v>
      </c>
      <c r="C139" s="43">
        <v>5.0299999999999997E-4</v>
      </c>
    </row>
    <row r="140" spans="1:3" x14ac:dyDescent="0.2">
      <c r="A140" s="41" t="s">
        <v>374</v>
      </c>
      <c r="B140" s="41" t="s">
        <v>375</v>
      </c>
      <c r="C140" s="43">
        <v>7.548E-3</v>
      </c>
    </row>
    <row r="141" spans="1:3" x14ac:dyDescent="0.2">
      <c r="A141" s="41" t="s">
        <v>376</v>
      </c>
      <c r="B141" s="41" t="s">
        <v>297</v>
      </c>
      <c r="C141" s="43">
        <v>2.9100000000000003E-4</v>
      </c>
    </row>
    <row r="142" spans="1:3" x14ac:dyDescent="0.2">
      <c r="A142" s="41" t="s">
        <v>377</v>
      </c>
      <c r="B142" s="41" t="s">
        <v>299</v>
      </c>
      <c r="C142" s="43">
        <v>9.7999999999999997E-4</v>
      </c>
    </row>
    <row r="143" spans="1:3" x14ac:dyDescent="0.2">
      <c r="A143" s="41" t="s">
        <v>378</v>
      </c>
      <c r="B143" s="41" t="s">
        <v>379</v>
      </c>
      <c r="C143" s="43">
        <v>1.5319999999999999E-3</v>
      </c>
    </row>
    <row r="144" spans="1:3" x14ac:dyDescent="0.2">
      <c r="A144" s="41" t="s">
        <v>388</v>
      </c>
      <c r="B144" s="41" t="s">
        <v>389</v>
      </c>
      <c r="C144" s="43"/>
    </row>
    <row r="145" spans="1:3" x14ac:dyDescent="0.2">
      <c r="A145" s="41" t="s">
        <v>390</v>
      </c>
      <c r="B145" s="41" t="s">
        <v>391</v>
      </c>
      <c r="C145" s="43"/>
    </row>
    <row r="146" spans="1:3" x14ac:dyDescent="0.2">
      <c r="A146" s="41" t="s">
        <v>393</v>
      </c>
      <c r="B146" s="41" t="s">
        <v>394</v>
      </c>
      <c r="C146" s="42">
        <v>0</v>
      </c>
    </row>
    <row r="147" spans="1:3" x14ac:dyDescent="0.2">
      <c r="A147" s="41" t="s">
        <v>395</v>
      </c>
      <c r="B147" s="41" t="s">
        <v>396</v>
      </c>
      <c r="C147" s="42">
        <v>0</v>
      </c>
    </row>
    <row r="148" spans="1:3" x14ac:dyDescent="0.2">
      <c r="A148" s="41" t="s">
        <v>397</v>
      </c>
      <c r="B148" s="41" t="s">
        <v>398</v>
      </c>
      <c r="C148" s="43"/>
    </row>
    <row r="149" spans="1:3" x14ac:dyDescent="0.2">
      <c r="A149" s="41" t="s">
        <v>399</v>
      </c>
      <c r="B149" s="41" t="s">
        <v>400</v>
      </c>
      <c r="C149" s="42">
        <v>0</v>
      </c>
    </row>
    <row r="150" spans="1:3" x14ac:dyDescent="0.2">
      <c r="A150" s="41" t="s">
        <v>401</v>
      </c>
      <c r="B150" s="41" t="s">
        <v>402</v>
      </c>
      <c r="C150" s="42">
        <v>0</v>
      </c>
    </row>
    <row r="151" spans="1:3" x14ac:dyDescent="0.2">
      <c r="A151" s="41" t="s">
        <v>344</v>
      </c>
      <c r="B151" s="41" t="s">
        <v>281</v>
      </c>
      <c r="C151" s="43">
        <v>6.4939999999999998E-2</v>
      </c>
    </row>
    <row r="152" spans="1:3" x14ac:dyDescent="0.2">
      <c r="A152" s="41" t="s">
        <v>403</v>
      </c>
      <c r="B152" s="41" t="s">
        <v>404</v>
      </c>
      <c r="C152" s="43">
        <v>0.49196499999999999</v>
      </c>
    </row>
    <row r="153" spans="1:3" x14ac:dyDescent="0.2">
      <c r="A153" s="41" t="s">
        <v>349</v>
      </c>
      <c r="B153" s="41" t="s">
        <v>285</v>
      </c>
      <c r="C153" s="43">
        <v>0.270005</v>
      </c>
    </row>
    <row r="154" spans="1:3" x14ac:dyDescent="0.2">
      <c r="A154" s="41" t="s">
        <v>350</v>
      </c>
      <c r="B154" s="41" t="s">
        <v>322</v>
      </c>
      <c r="C154" s="43">
        <v>3.748E-3</v>
      </c>
    </row>
    <row r="155" spans="1:3" x14ac:dyDescent="0.2">
      <c r="A155" s="41" t="s">
        <v>351</v>
      </c>
      <c r="B155" s="41" t="s">
        <v>295</v>
      </c>
      <c r="C155" s="43">
        <v>5.8061000000000001E-2</v>
      </c>
    </row>
    <row r="156" spans="1:3" x14ac:dyDescent="0.2">
      <c r="A156" s="41" t="s">
        <v>352</v>
      </c>
      <c r="B156" s="41" t="s">
        <v>287</v>
      </c>
      <c r="C156" s="43">
        <v>4.594E-3</v>
      </c>
    </row>
    <row r="157" spans="1:3" x14ac:dyDescent="0.2">
      <c r="A157" s="41" t="s">
        <v>353</v>
      </c>
      <c r="B157" s="41" t="s">
        <v>293</v>
      </c>
      <c r="C157" s="43">
        <v>2.7484999999999999E-2</v>
      </c>
    </row>
    <row r="158" spans="1:3" x14ac:dyDescent="0.2">
      <c r="A158" s="41" t="s">
        <v>357</v>
      </c>
      <c r="B158" s="41" t="s">
        <v>291</v>
      </c>
      <c r="C158" s="43">
        <v>1.0142999999999999E-2</v>
      </c>
    </row>
    <row r="159" spans="1:3" x14ac:dyDescent="0.2">
      <c r="A159" s="41" t="s">
        <v>405</v>
      </c>
      <c r="B159" s="41" t="s">
        <v>406</v>
      </c>
      <c r="C159" s="43">
        <v>8.2109999999999995E-3</v>
      </c>
    </row>
    <row r="160" spans="1:3" x14ac:dyDescent="0.2">
      <c r="A160" s="41" t="s">
        <v>407</v>
      </c>
      <c r="B160" s="41" t="s">
        <v>408</v>
      </c>
      <c r="C160" s="43"/>
    </row>
    <row r="161" spans="1:3" x14ac:dyDescent="0.2">
      <c r="A161" s="41" t="s">
        <v>409</v>
      </c>
      <c r="B161" s="41" t="s">
        <v>410</v>
      </c>
      <c r="C161" s="43">
        <v>2.3800000000000001E-4</v>
      </c>
    </row>
    <row r="162" spans="1:3" x14ac:dyDescent="0.2">
      <c r="A162" s="41" t="s">
        <v>411</v>
      </c>
      <c r="B162" s="41" t="s">
        <v>412</v>
      </c>
      <c r="C162" s="43">
        <v>2.0599999999999999E-4</v>
      </c>
    </row>
    <row r="163" spans="1:3" x14ac:dyDescent="0.2">
      <c r="A163" s="41" t="s">
        <v>413</v>
      </c>
      <c r="B163" s="41" t="s">
        <v>359</v>
      </c>
      <c r="C163" s="43"/>
    </row>
    <row r="164" spans="1:3" x14ac:dyDescent="0.2">
      <c r="A164" s="41" t="s">
        <v>414</v>
      </c>
      <c r="B164" s="41" t="s">
        <v>415</v>
      </c>
      <c r="C164" s="42">
        <v>0</v>
      </c>
    </row>
    <row r="165" spans="1:3" x14ac:dyDescent="0.2">
      <c r="A165" s="41" t="s">
        <v>416</v>
      </c>
      <c r="B165" s="41" t="s">
        <v>417</v>
      </c>
      <c r="C165" s="42">
        <v>0</v>
      </c>
    </row>
    <row r="166" spans="1:3" x14ac:dyDescent="0.2">
      <c r="A166" s="41" t="s">
        <v>312</v>
      </c>
      <c r="B166" s="41" t="s">
        <v>281</v>
      </c>
      <c r="C166" s="43">
        <v>0.39038299999999998</v>
      </c>
    </row>
    <row r="167" spans="1:3" x14ac:dyDescent="0.2">
      <c r="A167" s="41" t="s">
        <v>418</v>
      </c>
      <c r="B167" s="41" t="s">
        <v>419</v>
      </c>
      <c r="C167" s="43">
        <v>0.17102500000000001</v>
      </c>
    </row>
    <row r="168" spans="1:3" x14ac:dyDescent="0.2">
      <c r="A168" s="41" t="s">
        <v>319</v>
      </c>
      <c r="B168" s="41" t="s">
        <v>320</v>
      </c>
      <c r="C168" s="43">
        <v>0.15504999999999999</v>
      </c>
    </row>
    <row r="169" spans="1:3" x14ac:dyDescent="0.2">
      <c r="A169" s="41" t="s">
        <v>326</v>
      </c>
      <c r="B169" s="41" t="s">
        <v>287</v>
      </c>
      <c r="C169" s="43">
        <v>4.5570000000000003E-3</v>
      </c>
    </row>
    <row r="170" spans="1:3" x14ac:dyDescent="0.2">
      <c r="A170" s="41" t="s">
        <v>327</v>
      </c>
      <c r="B170" s="41" t="s">
        <v>293</v>
      </c>
      <c r="C170" s="43">
        <v>1.6357E-2</v>
      </c>
    </row>
    <row r="171" spans="1:3" x14ac:dyDescent="0.2">
      <c r="A171" s="41" t="s">
        <v>325</v>
      </c>
      <c r="B171" s="41" t="s">
        <v>295</v>
      </c>
      <c r="C171" s="43">
        <v>3.6648E-2</v>
      </c>
    </row>
    <row r="172" spans="1:3" x14ac:dyDescent="0.2">
      <c r="A172" s="41" t="s">
        <v>420</v>
      </c>
      <c r="B172" s="41" t="s">
        <v>356</v>
      </c>
      <c r="C172" s="43">
        <v>9.3710000000000009E-3</v>
      </c>
    </row>
    <row r="173" spans="1:3" x14ac:dyDescent="0.2">
      <c r="A173" s="41" t="s">
        <v>328</v>
      </c>
      <c r="B173" s="41" t="s">
        <v>289</v>
      </c>
      <c r="C173" s="43">
        <v>4.6639999999999997E-3</v>
      </c>
    </row>
    <row r="174" spans="1:3" x14ac:dyDescent="0.2">
      <c r="A174" s="41" t="s">
        <v>329</v>
      </c>
      <c r="B174" s="41" t="s">
        <v>291</v>
      </c>
      <c r="C174" s="43">
        <v>5.0299999999999997E-3</v>
      </c>
    </row>
    <row r="175" spans="1:3" x14ac:dyDescent="0.2">
      <c r="A175" s="41" t="s">
        <v>421</v>
      </c>
      <c r="B175" s="41" t="s">
        <v>406</v>
      </c>
      <c r="C175" s="43">
        <v>6.1080000000000002E-2</v>
      </c>
    </row>
    <row r="176" spans="1:3" x14ac:dyDescent="0.2">
      <c r="A176" s="41" t="s">
        <v>422</v>
      </c>
      <c r="B176" s="41" t="s">
        <v>423</v>
      </c>
      <c r="C176" s="43">
        <v>1.4944000000000001E-2</v>
      </c>
    </row>
    <row r="177" spans="1:3" x14ac:dyDescent="0.2">
      <c r="A177" s="41" t="s">
        <v>424</v>
      </c>
      <c r="B177" s="41" t="s">
        <v>371</v>
      </c>
      <c r="C177" s="43">
        <v>9.7730000000000004E-3</v>
      </c>
    </row>
    <row r="178" spans="1:3" x14ac:dyDescent="0.2">
      <c r="A178" s="41" t="s">
        <v>425</v>
      </c>
      <c r="B178" s="41" t="s">
        <v>373</v>
      </c>
      <c r="C178" s="43">
        <v>5.6999999999999998E-4</v>
      </c>
    </row>
    <row r="179" spans="1:3" x14ac:dyDescent="0.2">
      <c r="A179" s="41" t="s">
        <v>426</v>
      </c>
      <c r="B179" s="41" t="s">
        <v>375</v>
      </c>
      <c r="C179" s="43">
        <v>9.5010000000000008E-3</v>
      </c>
    </row>
    <row r="180" spans="1:3" x14ac:dyDescent="0.2">
      <c r="A180" s="41" t="s">
        <v>427</v>
      </c>
      <c r="B180" s="41" t="s">
        <v>428</v>
      </c>
      <c r="C180" s="43">
        <v>1.37E-4</v>
      </c>
    </row>
    <row r="181" spans="1:3" x14ac:dyDescent="0.2">
      <c r="A181" s="41" t="s">
        <v>358</v>
      </c>
      <c r="B181" s="41" t="s">
        <v>359</v>
      </c>
      <c r="C181" s="43">
        <v>1.54E-4</v>
      </c>
    </row>
    <row r="182" spans="1:3" x14ac:dyDescent="0.2">
      <c r="A182" s="41" t="s">
        <v>429</v>
      </c>
      <c r="B182" s="41" t="s">
        <v>301</v>
      </c>
      <c r="C182" s="43"/>
    </row>
    <row r="183" spans="1:3" x14ac:dyDescent="0.2">
      <c r="A183" s="41" t="s">
        <v>334</v>
      </c>
      <c r="B183" s="41" t="s">
        <v>299</v>
      </c>
      <c r="C183" s="43">
        <v>5.6599999999999999E-4</v>
      </c>
    </row>
    <row r="184" spans="1:3" x14ac:dyDescent="0.2">
      <c r="A184" s="41" t="s">
        <v>430</v>
      </c>
      <c r="B184" s="41" t="s">
        <v>406</v>
      </c>
      <c r="C184" s="43">
        <v>1.147E-3</v>
      </c>
    </row>
    <row r="185" spans="1:3" x14ac:dyDescent="0.2">
      <c r="A185" s="41" t="s">
        <v>431</v>
      </c>
      <c r="B185" s="41" t="s">
        <v>432</v>
      </c>
      <c r="C185" s="42">
        <v>0</v>
      </c>
    </row>
    <row r="186" spans="1:3" x14ac:dyDescent="0.2">
      <c r="A186" s="41" t="s">
        <v>433</v>
      </c>
      <c r="B186" s="41" t="s">
        <v>434</v>
      </c>
      <c r="C186" s="42">
        <v>0</v>
      </c>
    </row>
    <row r="187" spans="1:3" x14ac:dyDescent="0.2">
      <c r="A187" s="41" t="s">
        <v>435</v>
      </c>
      <c r="B187" s="41" t="s">
        <v>436</v>
      </c>
      <c r="C187" s="42">
        <v>0</v>
      </c>
    </row>
    <row r="188" spans="1:3" x14ac:dyDescent="0.2">
      <c r="A188" s="41" t="s">
        <v>437</v>
      </c>
      <c r="B188" s="41" t="s">
        <v>438</v>
      </c>
      <c r="C188" s="43"/>
    </row>
    <row r="189" spans="1:3" x14ac:dyDescent="0.2">
      <c r="A189" s="41" t="s">
        <v>439</v>
      </c>
      <c r="B189" s="41" t="s">
        <v>277</v>
      </c>
      <c r="C189" s="42">
        <v>0</v>
      </c>
    </row>
    <row r="190" spans="1:3" x14ac:dyDescent="0.2">
      <c r="A190" s="41" t="s">
        <v>440</v>
      </c>
      <c r="B190" s="41" t="s">
        <v>279</v>
      </c>
      <c r="C190" s="42">
        <v>0</v>
      </c>
    </row>
    <row r="191" spans="1:3" x14ac:dyDescent="0.2">
      <c r="A191" s="41" t="s">
        <v>441</v>
      </c>
      <c r="B191" s="41" t="s">
        <v>281</v>
      </c>
      <c r="C191" s="43">
        <v>0.42435200000000001</v>
      </c>
    </row>
    <row r="192" spans="1:3" x14ac:dyDescent="0.2">
      <c r="A192" s="41" t="s">
        <v>442</v>
      </c>
      <c r="B192" s="41" t="s">
        <v>283</v>
      </c>
      <c r="C192" s="43">
        <v>0.24496000000000001</v>
      </c>
    </row>
    <row r="193" spans="1:3" x14ac:dyDescent="0.2">
      <c r="A193" s="41" t="s">
        <v>443</v>
      </c>
      <c r="B193" s="41" t="s">
        <v>285</v>
      </c>
      <c r="C193" s="43">
        <v>0.18342700000000001</v>
      </c>
    </row>
    <row r="194" spans="1:3" x14ac:dyDescent="0.2">
      <c r="A194" s="41" t="s">
        <v>444</v>
      </c>
      <c r="B194" s="41" t="s">
        <v>287</v>
      </c>
      <c r="C194" s="43">
        <v>5.4900000000000001E-3</v>
      </c>
    </row>
    <row r="195" spans="1:3" x14ac:dyDescent="0.2">
      <c r="A195" s="41" t="s">
        <v>445</v>
      </c>
      <c r="B195" s="41" t="s">
        <v>289</v>
      </c>
      <c r="C195" s="43">
        <v>4.215E-3</v>
      </c>
    </row>
    <row r="196" spans="1:3" x14ac:dyDescent="0.2">
      <c r="A196" s="41" t="s">
        <v>446</v>
      </c>
      <c r="B196" s="41" t="s">
        <v>291</v>
      </c>
      <c r="C196" s="43">
        <v>9.0910000000000001E-3</v>
      </c>
    </row>
    <row r="197" spans="1:3" x14ac:dyDescent="0.2">
      <c r="A197" s="41" t="s">
        <v>447</v>
      </c>
      <c r="B197" s="41" t="s">
        <v>293</v>
      </c>
      <c r="C197" s="43">
        <v>1.3140000000000001E-2</v>
      </c>
    </row>
    <row r="198" spans="1:3" x14ac:dyDescent="0.2">
      <c r="A198" s="41" t="s">
        <v>448</v>
      </c>
      <c r="B198" s="41" t="s">
        <v>295</v>
      </c>
      <c r="C198" s="43">
        <v>7.5700000000000003E-2</v>
      </c>
    </row>
    <row r="199" spans="1:3" x14ac:dyDescent="0.2">
      <c r="A199" s="41" t="s">
        <v>449</v>
      </c>
      <c r="B199" s="41" t="s">
        <v>297</v>
      </c>
      <c r="C199" s="43"/>
    </row>
    <row r="200" spans="1:3" x14ac:dyDescent="0.2">
      <c r="A200" s="41" t="s">
        <v>450</v>
      </c>
      <c r="B200" s="41" t="s">
        <v>299</v>
      </c>
      <c r="C200" s="43">
        <v>1.64E-4</v>
      </c>
    </row>
    <row r="201" spans="1:3" x14ac:dyDescent="0.2">
      <c r="A201" s="41" t="s">
        <v>451</v>
      </c>
      <c r="B201" s="41" t="s">
        <v>301</v>
      </c>
      <c r="C201" s="43"/>
    </row>
    <row r="202" spans="1:3" x14ac:dyDescent="0.2">
      <c r="A202" s="41" t="s">
        <v>452</v>
      </c>
      <c r="B202" s="41" t="s">
        <v>453</v>
      </c>
      <c r="C202" s="43"/>
    </row>
    <row r="203" spans="1:3" x14ac:dyDescent="0.2">
      <c r="A203" s="41" t="s">
        <v>452</v>
      </c>
      <c r="B203" s="41" t="s">
        <v>453</v>
      </c>
      <c r="C203" s="43"/>
    </row>
    <row r="204" spans="1:3" x14ac:dyDescent="0.2">
      <c r="A204" s="41" t="s">
        <v>454</v>
      </c>
      <c r="B204" s="41" t="s">
        <v>381</v>
      </c>
      <c r="C204" s="43"/>
    </row>
    <row r="205" spans="1:3" x14ac:dyDescent="0.2">
      <c r="A205" s="41" t="s">
        <v>455</v>
      </c>
      <c r="B205" s="41" t="s">
        <v>383</v>
      </c>
      <c r="C205" s="42">
        <v>0</v>
      </c>
    </row>
    <row r="206" spans="1:3" x14ac:dyDescent="0.2">
      <c r="A206" s="41" t="s">
        <v>384</v>
      </c>
      <c r="B206" s="41" t="s">
        <v>385</v>
      </c>
      <c r="C206" s="42">
        <v>0</v>
      </c>
    </row>
    <row r="207" spans="1:3" x14ac:dyDescent="0.2">
      <c r="A207" s="41" t="s">
        <v>386</v>
      </c>
      <c r="B207" s="41" t="s">
        <v>387</v>
      </c>
      <c r="C207" s="43"/>
    </row>
    <row r="208" spans="1:3" x14ac:dyDescent="0.2">
      <c r="A208" s="41" t="s">
        <v>364</v>
      </c>
      <c r="B208" s="41" t="s">
        <v>365</v>
      </c>
      <c r="C208" s="42">
        <v>0</v>
      </c>
    </row>
    <row r="209" spans="1:3" x14ac:dyDescent="0.2">
      <c r="A209" s="41" t="s">
        <v>366</v>
      </c>
      <c r="B209" s="41" t="s">
        <v>367</v>
      </c>
      <c r="C209" s="42">
        <v>0</v>
      </c>
    </row>
    <row r="210" spans="1:3" x14ac:dyDescent="0.2">
      <c r="A210" s="41" t="s">
        <v>344</v>
      </c>
      <c r="B210" s="41" t="s">
        <v>281</v>
      </c>
      <c r="C210" s="43">
        <v>0.48632300000000001</v>
      </c>
    </row>
    <row r="211" spans="1:3" x14ac:dyDescent="0.2">
      <c r="A211" s="41" t="s">
        <v>345</v>
      </c>
      <c r="B211" s="41" t="s">
        <v>346</v>
      </c>
      <c r="C211" s="43">
        <v>0.173761</v>
      </c>
    </row>
    <row r="212" spans="1:3" x14ac:dyDescent="0.2">
      <c r="A212" s="41" t="s">
        <v>368</v>
      </c>
      <c r="B212" s="41" t="s">
        <v>369</v>
      </c>
      <c r="C212" s="43">
        <v>0.147596</v>
      </c>
    </row>
    <row r="213" spans="1:3" x14ac:dyDescent="0.2">
      <c r="A213" s="41" t="s">
        <v>350</v>
      </c>
      <c r="B213" s="41" t="s">
        <v>322</v>
      </c>
      <c r="C213" s="43">
        <v>9.0419999999999997E-3</v>
      </c>
    </row>
    <row r="214" spans="1:3" x14ac:dyDescent="0.2">
      <c r="A214" s="41" t="s">
        <v>351</v>
      </c>
      <c r="B214" s="41" t="s">
        <v>295</v>
      </c>
      <c r="C214" s="43">
        <v>2.6185E-2</v>
      </c>
    </row>
    <row r="215" spans="1:3" x14ac:dyDescent="0.2">
      <c r="A215" s="41" t="s">
        <v>352</v>
      </c>
      <c r="B215" s="41" t="s">
        <v>287</v>
      </c>
      <c r="C215" s="43">
        <v>4.2900000000000004E-3</v>
      </c>
    </row>
    <row r="216" spans="1:3" x14ac:dyDescent="0.2">
      <c r="A216" s="41" t="s">
        <v>353</v>
      </c>
      <c r="B216" s="41" t="s">
        <v>293</v>
      </c>
      <c r="C216" s="43">
        <v>1.925E-2</v>
      </c>
    </row>
    <row r="217" spans="1:3" x14ac:dyDescent="0.2">
      <c r="A217" s="41" t="s">
        <v>354</v>
      </c>
      <c r="B217" s="41" t="s">
        <v>289</v>
      </c>
      <c r="C217" s="43">
        <v>1.6466999999999999E-2</v>
      </c>
    </row>
    <row r="218" spans="1:3" x14ac:dyDescent="0.2">
      <c r="A218" s="41" t="s">
        <v>355</v>
      </c>
      <c r="B218" s="41" t="s">
        <v>356</v>
      </c>
      <c r="C218" s="43">
        <v>5.5139999999999998E-3</v>
      </c>
    </row>
    <row r="219" spans="1:3" x14ac:dyDescent="0.2">
      <c r="A219" s="41" t="s">
        <v>357</v>
      </c>
      <c r="B219" s="41" t="s">
        <v>291</v>
      </c>
      <c r="C219" s="43">
        <v>1.7759E-2</v>
      </c>
    </row>
    <row r="220" spans="1:3" x14ac:dyDescent="0.2">
      <c r="A220" s="41" t="s">
        <v>370</v>
      </c>
      <c r="B220" s="41" t="s">
        <v>371</v>
      </c>
      <c r="C220" s="43">
        <v>1.7250999999999999E-2</v>
      </c>
    </row>
    <row r="221" spans="1:3" x14ac:dyDescent="0.2">
      <c r="A221" s="41" t="s">
        <v>372</v>
      </c>
      <c r="B221" s="41" t="s">
        <v>373</v>
      </c>
      <c r="C221" s="43">
        <v>5.0299999999999997E-4</v>
      </c>
    </row>
    <row r="222" spans="1:3" x14ac:dyDescent="0.2">
      <c r="A222" s="41" t="s">
        <v>374</v>
      </c>
      <c r="B222" s="41" t="s">
        <v>375</v>
      </c>
      <c r="C222" s="43">
        <v>7.548E-3</v>
      </c>
    </row>
    <row r="223" spans="1:3" x14ac:dyDescent="0.2">
      <c r="A223" s="41" t="s">
        <v>376</v>
      </c>
      <c r="B223" s="41" t="s">
        <v>297</v>
      </c>
      <c r="C223" s="43">
        <v>2.2800000000000001E-4</v>
      </c>
    </row>
    <row r="224" spans="1:3" x14ac:dyDescent="0.2">
      <c r="A224" s="41" t="s">
        <v>377</v>
      </c>
      <c r="B224" s="41" t="s">
        <v>299</v>
      </c>
      <c r="C224" s="43">
        <v>7.67E-4</v>
      </c>
    </row>
    <row r="225" spans="1:3" x14ac:dyDescent="0.2">
      <c r="A225" s="41" t="s">
        <v>378</v>
      </c>
      <c r="B225" s="41" t="s">
        <v>379</v>
      </c>
      <c r="C225" s="43">
        <v>1.1999999999999999E-3</v>
      </c>
    </row>
    <row r="226" spans="1:3" x14ac:dyDescent="0.2">
      <c r="A226" s="41" t="s">
        <v>388</v>
      </c>
      <c r="B226" s="41" t="s">
        <v>389</v>
      </c>
      <c r="C226" s="43"/>
    </row>
    <row r="227" spans="1:3" x14ac:dyDescent="0.2">
      <c r="A227" s="41" t="s">
        <v>390</v>
      </c>
      <c r="B227" s="41" t="s">
        <v>391</v>
      </c>
      <c r="C227" s="43"/>
    </row>
    <row r="228" spans="1:3" x14ac:dyDescent="0.2">
      <c r="A228" s="41" t="s">
        <v>456</v>
      </c>
      <c r="B228" s="41" t="s">
        <v>457</v>
      </c>
      <c r="C228" s="42">
        <v>0</v>
      </c>
    </row>
    <row r="229" spans="1:3" x14ac:dyDescent="0.2">
      <c r="A229" s="41" t="s">
        <v>458</v>
      </c>
      <c r="B229" s="41" t="s">
        <v>459</v>
      </c>
      <c r="C229" s="42">
        <v>0</v>
      </c>
    </row>
    <row r="230" spans="1:3" x14ac:dyDescent="0.2">
      <c r="A230" s="41" t="s">
        <v>460</v>
      </c>
      <c r="B230" s="41" t="s">
        <v>461</v>
      </c>
      <c r="C230" s="42">
        <v>0</v>
      </c>
    </row>
    <row r="231" spans="1:3" x14ac:dyDescent="0.2">
      <c r="A231" s="41" t="s">
        <v>462</v>
      </c>
      <c r="B231" s="41" t="s">
        <v>463</v>
      </c>
      <c r="C231" s="42">
        <v>0</v>
      </c>
    </row>
    <row r="232" spans="1:3" x14ac:dyDescent="0.2">
      <c r="A232" s="41" t="s">
        <v>344</v>
      </c>
      <c r="B232" s="41" t="s">
        <v>281</v>
      </c>
      <c r="C232" s="43">
        <v>0.29025600000000001</v>
      </c>
    </row>
    <row r="233" spans="1:3" x14ac:dyDescent="0.2">
      <c r="A233" s="41" t="s">
        <v>345</v>
      </c>
      <c r="B233" s="41" t="s">
        <v>346</v>
      </c>
      <c r="C233" s="43">
        <v>0.30270000000000002</v>
      </c>
    </row>
    <row r="234" spans="1:3" x14ac:dyDescent="0.2">
      <c r="A234" s="41" t="s">
        <v>348</v>
      </c>
      <c r="B234" s="41" t="s">
        <v>320</v>
      </c>
      <c r="C234" s="43">
        <v>0.222307</v>
      </c>
    </row>
    <row r="235" spans="1:3" x14ac:dyDescent="0.2">
      <c r="A235" s="41" t="s">
        <v>351</v>
      </c>
      <c r="B235" s="41" t="s">
        <v>295</v>
      </c>
      <c r="C235" s="43">
        <v>6.6057000000000005E-2</v>
      </c>
    </row>
    <row r="236" spans="1:3" x14ac:dyDescent="0.2">
      <c r="A236" s="41" t="s">
        <v>352</v>
      </c>
      <c r="B236" s="41" t="s">
        <v>287</v>
      </c>
      <c r="C236" s="43">
        <v>4.7910000000000001E-3</v>
      </c>
    </row>
    <row r="237" spans="1:3" x14ac:dyDescent="0.2">
      <c r="A237" s="41" t="s">
        <v>353</v>
      </c>
      <c r="B237" s="41" t="s">
        <v>293</v>
      </c>
      <c r="C237" s="43">
        <v>1.7198999999999999E-2</v>
      </c>
    </row>
    <row r="238" spans="1:3" x14ac:dyDescent="0.2">
      <c r="A238" s="41" t="s">
        <v>355</v>
      </c>
      <c r="B238" s="41" t="s">
        <v>356</v>
      </c>
      <c r="C238" s="43">
        <v>9.8530000000000006E-3</v>
      </c>
    </row>
    <row r="239" spans="1:3" x14ac:dyDescent="0.2">
      <c r="A239" s="41" t="s">
        <v>354</v>
      </c>
      <c r="B239" s="41" t="s">
        <v>289</v>
      </c>
      <c r="C239" s="43">
        <v>4.9040000000000004E-3</v>
      </c>
    </row>
    <row r="240" spans="1:3" x14ac:dyDescent="0.2">
      <c r="A240" s="41" t="s">
        <v>357</v>
      </c>
      <c r="B240" s="41" t="s">
        <v>291</v>
      </c>
      <c r="C240" s="43">
        <v>1.5866999999999999E-2</v>
      </c>
    </row>
    <row r="241" spans="1:3" x14ac:dyDescent="0.2">
      <c r="A241" s="41" t="s">
        <v>374</v>
      </c>
      <c r="B241" s="41" t="s">
        <v>375</v>
      </c>
      <c r="C241" s="43">
        <v>9.2409999999999992E-3</v>
      </c>
    </row>
    <row r="242" spans="1:3" x14ac:dyDescent="0.2">
      <c r="A242" s="41" t="s">
        <v>370</v>
      </c>
      <c r="B242" s="41" t="s">
        <v>371</v>
      </c>
      <c r="C242" s="43">
        <v>1.0635E-2</v>
      </c>
    </row>
    <row r="243" spans="1:3" x14ac:dyDescent="0.2">
      <c r="A243" s="41" t="s">
        <v>372</v>
      </c>
      <c r="B243" s="41" t="s">
        <v>373</v>
      </c>
      <c r="C243" s="43">
        <v>4.4999999999999999E-4</v>
      </c>
    </row>
    <row r="244" spans="1:3" x14ac:dyDescent="0.2">
      <c r="A244" s="41" t="s">
        <v>358</v>
      </c>
      <c r="B244" s="41" t="s">
        <v>359</v>
      </c>
      <c r="C244" s="43">
        <v>4.5399999999999998E-4</v>
      </c>
    </row>
    <row r="245" spans="1:3" x14ac:dyDescent="0.2">
      <c r="A245" s="41" t="s">
        <v>334</v>
      </c>
      <c r="B245" s="41" t="s">
        <v>299</v>
      </c>
      <c r="C245" s="43">
        <v>1.059E-3</v>
      </c>
    </row>
    <row r="246" spans="1:3" x14ac:dyDescent="0.2">
      <c r="A246" s="41" t="s">
        <v>464</v>
      </c>
      <c r="B246" s="41" t="s">
        <v>465</v>
      </c>
      <c r="C246" s="42">
        <v>0</v>
      </c>
    </row>
    <row r="247" spans="1:3" x14ac:dyDescent="0.2">
      <c r="A247" s="41" t="s">
        <v>466</v>
      </c>
      <c r="B247" s="41" t="s">
        <v>467</v>
      </c>
      <c r="C247" s="42">
        <v>0</v>
      </c>
    </row>
    <row r="248" spans="1:3" x14ac:dyDescent="0.2">
      <c r="A248" s="41" t="s">
        <v>468</v>
      </c>
      <c r="B248" s="41" t="s">
        <v>469</v>
      </c>
      <c r="C248" s="42">
        <v>0</v>
      </c>
    </row>
    <row r="249" spans="1:3" x14ac:dyDescent="0.2">
      <c r="A249" s="41" t="s">
        <v>470</v>
      </c>
      <c r="B249" s="41" t="s">
        <v>283</v>
      </c>
      <c r="C249" s="43">
        <v>0.121007</v>
      </c>
    </row>
    <row r="250" spans="1:3" x14ac:dyDescent="0.2">
      <c r="A250" s="41" t="s">
        <v>471</v>
      </c>
      <c r="B250" s="41" t="s">
        <v>346</v>
      </c>
      <c r="C250" s="43">
        <v>0.32197999999999999</v>
      </c>
    </row>
    <row r="251" spans="1:3" x14ac:dyDescent="0.2">
      <c r="A251" s="41" t="s">
        <v>312</v>
      </c>
      <c r="B251" s="41" t="s">
        <v>281</v>
      </c>
      <c r="C251" s="43">
        <v>0.17430899999999999</v>
      </c>
    </row>
    <row r="252" spans="1:3" x14ac:dyDescent="0.2">
      <c r="A252" s="41" t="s">
        <v>319</v>
      </c>
      <c r="B252" s="41" t="s">
        <v>320</v>
      </c>
      <c r="C252" s="43">
        <v>0.1855</v>
      </c>
    </row>
    <row r="253" spans="1:3" x14ac:dyDescent="0.2">
      <c r="A253" s="41" t="s">
        <v>325</v>
      </c>
      <c r="B253" s="41" t="s">
        <v>295</v>
      </c>
      <c r="C253" s="43">
        <v>9.7608E-2</v>
      </c>
    </row>
    <row r="254" spans="1:3" x14ac:dyDescent="0.2">
      <c r="A254" s="41" t="s">
        <v>326</v>
      </c>
      <c r="B254" s="41" t="s">
        <v>287</v>
      </c>
      <c r="C254" s="43">
        <v>4.9969999999999997E-3</v>
      </c>
    </row>
    <row r="255" spans="1:3" x14ac:dyDescent="0.2">
      <c r="A255" s="41" t="s">
        <v>327</v>
      </c>
      <c r="B255" s="41" t="s">
        <v>293</v>
      </c>
      <c r="C255" s="43">
        <v>1.1958999999999999E-2</v>
      </c>
    </row>
    <row r="256" spans="1:3" x14ac:dyDescent="0.2">
      <c r="A256" s="41" t="s">
        <v>420</v>
      </c>
      <c r="B256" s="41" t="s">
        <v>356</v>
      </c>
      <c r="C256" s="43">
        <v>7.7079999999999996E-3</v>
      </c>
    </row>
    <row r="257" spans="1:3" x14ac:dyDescent="0.2">
      <c r="A257" s="41" t="s">
        <v>328</v>
      </c>
      <c r="B257" s="41" t="s">
        <v>289</v>
      </c>
      <c r="C257" s="43">
        <v>2.0461E-2</v>
      </c>
    </row>
    <row r="258" spans="1:3" x14ac:dyDescent="0.2">
      <c r="A258" s="41" t="s">
        <v>472</v>
      </c>
      <c r="B258" s="41" t="s">
        <v>473</v>
      </c>
      <c r="C258" s="43">
        <v>1.2503999999999999E-2</v>
      </c>
    </row>
    <row r="259" spans="1:3" x14ac:dyDescent="0.2">
      <c r="A259" s="41" t="s">
        <v>422</v>
      </c>
      <c r="B259" s="41" t="s">
        <v>423</v>
      </c>
      <c r="C259" s="43">
        <v>1.0926E-2</v>
      </c>
    </row>
    <row r="260" spans="1:3" x14ac:dyDescent="0.2">
      <c r="A260" s="41" t="s">
        <v>332</v>
      </c>
      <c r="B260" s="41" t="s">
        <v>333</v>
      </c>
      <c r="C260" s="43">
        <v>3.6700000000000001E-3</v>
      </c>
    </row>
    <row r="261" spans="1:3" x14ac:dyDescent="0.2">
      <c r="A261" s="41" t="s">
        <v>334</v>
      </c>
      <c r="B261" s="41" t="s">
        <v>299</v>
      </c>
      <c r="C261" s="43">
        <v>2.0920000000000001E-3</v>
      </c>
    </row>
    <row r="262" spans="1:3" x14ac:dyDescent="0.2">
      <c r="A262" s="41" t="s">
        <v>429</v>
      </c>
      <c r="B262" s="41" t="s">
        <v>301</v>
      </c>
      <c r="C262" s="43"/>
    </row>
    <row r="263" spans="1:3" x14ac:dyDescent="0.2">
      <c r="A263" s="41" t="s">
        <v>474</v>
      </c>
      <c r="B263" s="41" t="s">
        <v>475</v>
      </c>
      <c r="C263" s="42">
        <v>0</v>
      </c>
    </row>
    <row r="264" spans="1:3" x14ac:dyDescent="0.2">
      <c r="A264" s="41" t="s">
        <v>476</v>
      </c>
      <c r="B264" s="41" t="s">
        <v>477</v>
      </c>
      <c r="C264" s="42">
        <v>0</v>
      </c>
    </row>
    <row r="265" spans="1:3" x14ac:dyDescent="0.2">
      <c r="A265" s="41" t="s">
        <v>478</v>
      </c>
      <c r="B265" s="41" t="s">
        <v>479</v>
      </c>
      <c r="C265" s="43"/>
    </row>
    <row r="266" spans="1:3" x14ac:dyDescent="0.2">
      <c r="A266" s="41" t="s">
        <v>480</v>
      </c>
      <c r="B266" s="41" t="s">
        <v>481</v>
      </c>
      <c r="C266" s="42">
        <v>0</v>
      </c>
    </row>
    <row r="267" spans="1:3" x14ac:dyDescent="0.2">
      <c r="A267" s="41" t="s">
        <v>482</v>
      </c>
      <c r="B267" s="41" t="s">
        <v>483</v>
      </c>
      <c r="C267" s="42">
        <v>0</v>
      </c>
    </row>
    <row r="268" spans="1:3" x14ac:dyDescent="0.2">
      <c r="A268" s="41" t="s">
        <v>312</v>
      </c>
      <c r="B268" s="41" t="s">
        <v>281</v>
      </c>
      <c r="C268" s="43">
        <v>0.30083900000000002</v>
      </c>
    </row>
    <row r="269" spans="1:3" x14ac:dyDescent="0.2">
      <c r="A269" s="41" t="s">
        <v>484</v>
      </c>
      <c r="B269" s="41" t="s">
        <v>485</v>
      </c>
      <c r="C269" s="43">
        <v>0.24035500000000001</v>
      </c>
    </row>
    <row r="270" spans="1:3" x14ac:dyDescent="0.2">
      <c r="A270" s="41" t="s">
        <v>471</v>
      </c>
      <c r="B270" s="41" t="s">
        <v>346</v>
      </c>
      <c r="C270" s="43">
        <v>0.12300999999999999</v>
      </c>
    </row>
    <row r="271" spans="1:3" x14ac:dyDescent="0.2">
      <c r="A271" s="41" t="s">
        <v>486</v>
      </c>
      <c r="B271" s="41" t="s">
        <v>285</v>
      </c>
      <c r="C271" s="43">
        <v>0.19769400000000001</v>
      </c>
    </row>
    <row r="272" spans="1:3" x14ac:dyDescent="0.2">
      <c r="A272" s="41" t="s">
        <v>325</v>
      </c>
      <c r="B272" s="41" t="s">
        <v>295</v>
      </c>
      <c r="C272" s="43">
        <v>6.7780999999999994E-2</v>
      </c>
    </row>
    <row r="273" spans="1:3" x14ac:dyDescent="0.2">
      <c r="A273" s="41" t="s">
        <v>326</v>
      </c>
      <c r="B273" s="41" t="s">
        <v>287</v>
      </c>
      <c r="C273" s="43">
        <v>2.9499999999999999E-3</v>
      </c>
    </row>
    <row r="274" spans="1:3" x14ac:dyDescent="0.2">
      <c r="A274" s="41" t="s">
        <v>327</v>
      </c>
      <c r="B274" s="41" t="s">
        <v>293</v>
      </c>
      <c r="C274" s="43">
        <v>5.8820000000000001E-3</v>
      </c>
    </row>
    <row r="275" spans="1:3" x14ac:dyDescent="0.2">
      <c r="A275" s="41" t="s">
        <v>328</v>
      </c>
      <c r="B275" s="41" t="s">
        <v>289</v>
      </c>
      <c r="C275" s="43">
        <v>5.032E-3</v>
      </c>
    </row>
    <row r="276" spans="1:3" x14ac:dyDescent="0.2">
      <c r="A276" s="41" t="s">
        <v>487</v>
      </c>
      <c r="B276" s="41" t="s">
        <v>488</v>
      </c>
      <c r="C276" s="43">
        <v>5.1279999999999997E-3</v>
      </c>
    </row>
    <row r="277" spans="1:3" x14ac:dyDescent="0.2">
      <c r="A277" s="41" t="s">
        <v>421</v>
      </c>
      <c r="B277" s="41" t="s">
        <v>406</v>
      </c>
      <c r="C277" s="43">
        <v>2.1970000000000002E-3</v>
      </c>
    </row>
    <row r="278" spans="1:3" x14ac:dyDescent="0.2">
      <c r="A278" s="41" t="s">
        <v>425</v>
      </c>
      <c r="B278" s="41" t="s">
        <v>373</v>
      </c>
      <c r="C278" s="43">
        <v>1.54E-4</v>
      </c>
    </row>
    <row r="279" spans="1:3" x14ac:dyDescent="0.2">
      <c r="A279" s="41" t="s">
        <v>489</v>
      </c>
      <c r="B279" s="41" t="s">
        <v>410</v>
      </c>
      <c r="C279" s="43">
        <v>3.0600000000000001E-4</v>
      </c>
    </row>
    <row r="280" spans="1:3" x14ac:dyDescent="0.2">
      <c r="A280" s="41" t="s">
        <v>334</v>
      </c>
      <c r="B280" s="41" t="s">
        <v>299</v>
      </c>
      <c r="C280" s="43">
        <v>3.3199999999999999E-4</v>
      </c>
    </row>
    <row r="281" spans="1:3" x14ac:dyDescent="0.2">
      <c r="A281" s="41" t="s">
        <v>358</v>
      </c>
      <c r="B281" s="41" t="s">
        <v>359</v>
      </c>
      <c r="C281" s="43">
        <v>1.17E-4</v>
      </c>
    </row>
    <row r="282" spans="1:3" x14ac:dyDescent="0.2">
      <c r="A282" s="41" t="s">
        <v>490</v>
      </c>
      <c r="B282" s="41" t="s">
        <v>297</v>
      </c>
      <c r="C282" s="43"/>
    </row>
    <row r="283" spans="1:3" x14ac:dyDescent="0.2">
      <c r="A283" s="41" t="s">
        <v>491</v>
      </c>
      <c r="B283" s="41" t="s">
        <v>412</v>
      </c>
      <c r="C283" s="43">
        <v>7.18E-4</v>
      </c>
    </row>
    <row r="284" spans="1:3" x14ac:dyDescent="0.2">
      <c r="A284" s="41" t="s">
        <v>429</v>
      </c>
      <c r="B284" s="41" t="s">
        <v>301</v>
      </c>
      <c r="C284" s="43"/>
    </row>
    <row r="285" spans="1:3" x14ac:dyDescent="0.2">
      <c r="A285" s="41" t="s">
        <v>492</v>
      </c>
      <c r="B285" s="41" t="s">
        <v>391</v>
      </c>
      <c r="C285" s="43"/>
    </row>
    <row r="286" spans="1:3" x14ac:dyDescent="0.2">
      <c r="A286" s="41" t="s">
        <v>493</v>
      </c>
      <c r="B286" s="41" t="s">
        <v>453</v>
      </c>
      <c r="C286" s="43"/>
    </row>
    <row r="287" spans="1:3" x14ac:dyDescent="0.2">
      <c r="A287" s="41" t="s">
        <v>493</v>
      </c>
      <c r="B287" s="41" t="s">
        <v>453</v>
      </c>
      <c r="C287" s="43"/>
    </row>
    <row r="288" spans="1:3" x14ac:dyDescent="0.2">
      <c r="A288" s="41" t="s">
        <v>494</v>
      </c>
      <c r="B288" s="41" t="s">
        <v>495</v>
      </c>
      <c r="C288" s="42">
        <v>0</v>
      </c>
    </row>
    <row r="289" spans="1:3" x14ac:dyDescent="0.2">
      <c r="A289" s="41" t="s">
        <v>476</v>
      </c>
      <c r="B289" s="41" t="s">
        <v>477</v>
      </c>
      <c r="C289" s="42">
        <v>0</v>
      </c>
    </row>
    <row r="290" spans="1:3" x14ac:dyDescent="0.2">
      <c r="A290" s="41" t="s">
        <v>478</v>
      </c>
      <c r="B290" s="41" t="s">
        <v>479</v>
      </c>
      <c r="C290" s="43"/>
    </row>
    <row r="291" spans="1:3" x14ac:dyDescent="0.2">
      <c r="A291" s="41" t="s">
        <v>480</v>
      </c>
      <c r="B291" s="41" t="s">
        <v>481</v>
      </c>
      <c r="C291" s="42">
        <v>0</v>
      </c>
    </row>
    <row r="292" spans="1:3" x14ac:dyDescent="0.2">
      <c r="A292" s="41" t="s">
        <v>482</v>
      </c>
      <c r="B292" s="41" t="s">
        <v>483</v>
      </c>
      <c r="C292" s="42">
        <v>0</v>
      </c>
    </row>
    <row r="293" spans="1:3" x14ac:dyDescent="0.2">
      <c r="A293" s="41" t="s">
        <v>312</v>
      </c>
      <c r="B293" s="41" t="s">
        <v>281</v>
      </c>
      <c r="C293" s="43">
        <v>0.30083900000000002</v>
      </c>
    </row>
    <row r="294" spans="1:3" x14ac:dyDescent="0.2">
      <c r="A294" s="41" t="s">
        <v>484</v>
      </c>
      <c r="B294" s="41" t="s">
        <v>485</v>
      </c>
      <c r="C294" s="43">
        <v>0.24035500000000001</v>
      </c>
    </row>
    <row r="295" spans="1:3" x14ac:dyDescent="0.2">
      <c r="A295" s="41" t="s">
        <v>471</v>
      </c>
      <c r="B295" s="41" t="s">
        <v>346</v>
      </c>
      <c r="C295" s="43">
        <v>0.12300999999999999</v>
      </c>
    </row>
    <row r="296" spans="1:3" x14ac:dyDescent="0.2">
      <c r="A296" s="41" t="s">
        <v>486</v>
      </c>
      <c r="B296" s="41" t="s">
        <v>285</v>
      </c>
      <c r="C296" s="43">
        <v>0.19769400000000001</v>
      </c>
    </row>
    <row r="297" spans="1:3" x14ac:dyDescent="0.2">
      <c r="A297" s="41" t="s">
        <v>325</v>
      </c>
      <c r="B297" s="41" t="s">
        <v>295</v>
      </c>
      <c r="C297" s="43">
        <v>6.7780999999999994E-2</v>
      </c>
    </row>
    <row r="298" spans="1:3" x14ac:dyDescent="0.2">
      <c r="A298" s="41" t="s">
        <v>326</v>
      </c>
      <c r="B298" s="41" t="s">
        <v>287</v>
      </c>
      <c r="C298" s="43">
        <v>2.9499999999999999E-3</v>
      </c>
    </row>
    <row r="299" spans="1:3" x14ac:dyDescent="0.2">
      <c r="A299" s="41" t="s">
        <v>327</v>
      </c>
      <c r="B299" s="41" t="s">
        <v>293</v>
      </c>
      <c r="C299" s="43">
        <v>5.8820000000000001E-3</v>
      </c>
    </row>
    <row r="300" spans="1:3" x14ac:dyDescent="0.2">
      <c r="A300" s="41" t="s">
        <v>328</v>
      </c>
      <c r="B300" s="41" t="s">
        <v>289</v>
      </c>
      <c r="C300" s="43">
        <v>5.032E-3</v>
      </c>
    </row>
    <row r="301" spans="1:3" x14ac:dyDescent="0.2">
      <c r="A301" s="41" t="s">
        <v>487</v>
      </c>
      <c r="B301" s="41" t="s">
        <v>488</v>
      </c>
      <c r="C301" s="43">
        <v>5.1279999999999997E-3</v>
      </c>
    </row>
    <row r="302" spans="1:3" x14ac:dyDescent="0.2">
      <c r="A302" s="41" t="s">
        <v>421</v>
      </c>
      <c r="B302" s="41" t="s">
        <v>406</v>
      </c>
      <c r="C302" s="43">
        <v>2.1970000000000002E-3</v>
      </c>
    </row>
    <row r="303" spans="1:3" x14ac:dyDescent="0.2">
      <c r="A303" s="41" t="s">
        <v>425</v>
      </c>
      <c r="B303" s="41" t="s">
        <v>373</v>
      </c>
      <c r="C303" s="43">
        <v>1.54E-4</v>
      </c>
    </row>
    <row r="304" spans="1:3" x14ac:dyDescent="0.2">
      <c r="A304" s="41" t="s">
        <v>489</v>
      </c>
      <c r="B304" s="41" t="s">
        <v>410</v>
      </c>
      <c r="C304" s="43">
        <v>3.0600000000000001E-4</v>
      </c>
    </row>
    <row r="305" spans="1:3" x14ac:dyDescent="0.2">
      <c r="A305" s="41" t="s">
        <v>334</v>
      </c>
      <c r="B305" s="41" t="s">
        <v>299</v>
      </c>
      <c r="C305" s="43">
        <v>3.3199999999999999E-4</v>
      </c>
    </row>
    <row r="306" spans="1:3" x14ac:dyDescent="0.2">
      <c r="A306" s="41" t="s">
        <v>358</v>
      </c>
      <c r="B306" s="41" t="s">
        <v>359</v>
      </c>
      <c r="C306" s="43">
        <v>1.17E-4</v>
      </c>
    </row>
    <row r="307" spans="1:3" x14ac:dyDescent="0.2">
      <c r="A307" s="41" t="s">
        <v>490</v>
      </c>
      <c r="B307" s="41" t="s">
        <v>297</v>
      </c>
      <c r="C307" s="43"/>
    </row>
    <row r="308" spans="1:3" x14ac:dyDescent="0.2">
      <c r="A308" s="41" t="s">
        <v>491</v>
      </c>
      <c r="B308" s="41" t="s">
        <v>412</v>
      </c>
      <c r="C308" s="43">
        <v>7.18E-4</v>
      </c>
    </row>
    <row r="309" spans="1:3" x14ac:dyDescent="0.2">
      <c r="A309" s="41" t="s">
        <v>429</v>
      </c>
      <c r="B309" s="41" t="s">
        <v>301</v>
      </c>
      <c r="C309" s="43"/>
    </row>
    <row r="310" spans="1:3" x14ac:dyDescent="0.2">
      <c r="A310" s="41" t="s">
        <v>492</v>
      </c>
      <c r="B310" s="41" t="s">
        <v>391</v>
      </c>
      <c r="C310" s="43"/>
    </row>
    <row r="311" spans="1:3" x14ac:dyDescent="0.2">
      <c r="A311" s="41" t="s">
        <v>493</v>
      </c>
      <c r="B311" s="41" t="s">
        <v>453</v>
      </c>
      <c r="C311" s="43"/>
    </row>
    <row r="312" spans="1:3" x14ac:dyDescent="0.2">
      <c r="A312" s="41" t="s">
        <v>493</v>
      </c>
      <c r="B312" s="41" t="s">
        <v>453</v>
      </c>
      <c r="C312" s="43"/>
    </row>
    <row r="313" spans="1:3" x14ac:dyDescent="0.2">
      <c r="A313" s="41" t="s">
        <v>496</v>
      </c>
      <c r="B313" s="41" t="s">
        <v>497</v>
      </c>
      <c r="C313" s="42">
        <v>0</v>
      </c>
    </row>
    <row r="314" spans="1:3" x14ac:dyDescent="0.2">
      <c r="A314" s="41" t="s">
        <v>498</v>
      </c>
      <c r="B314" s="41" t="s">
        <v>499</v>
      </c>
      <c r="C314" s="42">
        <v>0</v>
      </c>
    </row>
    <row r="315" spans="1:3" x14ac:dyDescent="0.2">
      <c r="A315" s="41" t="s">
        <v>500</v>
      </c>
      <c r="B315" s="41" t="s">
        <v>404</v>
      </c>
      <c r="C315" s="43">
        <v>0.51338399999999995</v>
      </c>
    </row>
    <row r="316" spans="1:3" x14ac:dyDescent="0.2">
      <c r="A316" s="41" t="s">
        <v>501</v>
      </c>
      <c r="B316" s="41" t="s">
        <v>346</v>
      </c>
      <c r="C316" s="43">
        <v>9.3617000000000006E-2</v>
      </c>
    </row>
    <row r="317" spans="1:3" x14ac:dyDescent="0.2">
      <c r="A317" s="41" t="s">
        <v>502</v>
      </c>
      <c r="B317" s="41" t="s">
        <v>503</v>
      </c>
      <c r="C317" s="43">
        <v>6.2411000000000001E-2</v>
      </c>
    </row>
    <row r="318" spans="1:3" x14ac:dyDescent="0.2">
      <c r="A318" s="41" t="s">
        <v>504</v>
      </c>
      <c r="B318" s="41" t="s">
        <v>505</v>
      </c>
      <c r="C318" s="43">
        <v>0.14196900000000001</v>
      </c>
    </row>
    <row r="319" spans="1:3" x14ac:dyDescent="0.2">
      <c r="A319" s="41" t="s">
        <v>506</v>
      </c>
      <c r="B319" s="41" t="s">
        <v>295</v>
      </c>
      <c r="C319" s="43">
        <v>8.5974999999999996E-2</v>
      </c>
    </row>
    <row r="320" spans="1:3" x14ac:dyDescent="0.2">
      <c r="A320" s="41" t="s">
        <v>507</v>
      </c>
      <c r="B320" s="41" t="s">
        <v>287</v>
      </c>
      <c r="C320" s="43">
        <v>2.993E-3</v>
      </c>
    </row>
    <row r="321" spans="1:3" x14ac:dyDescent="0.2">
      <c r="A321" s="41" t="s">
        <v>508</v>
      </c>
      <c r="B321" s="41" t="s">
        <v>293</v>
      </c>
      <c r="C321" s="43">
        <v>1.1938000000000001E-2</v>
      </c>
    </row>
    <row r="322" spans="1:3" x14ac:dyDescent="0.2">
      <c r="A322" s="41" t="s">
        <v>509</v>
      </c>
      <c r="B322" s="41" t="s">
        <v>356</v>
      </c>
      <c r="C322" s="43">
        <v>1.2824E-2</v>
      </c>
    </row>
    <row r="323" spans="1:3" x14ac:dyDescent="0.2">
      <c r="A323" s="41" t="s">
        <v>510</v>
      </c>
      <c r="B323" s="41" t="s">
        <v>289</v>
      </c>
      <c r="C323" s="43">
        <v>1.0213E-2</v>
      </c>
    </row>
    <row r="324" spans="1:3" x14ac:dyDescent="0.2">
      <c r="A324" s="41" t="s">
        <v>511</v>
      </c>
      <c r="B324" s="41" t="s">
        <v>473</v>
      </c>
      <c r="C324" s="43">
        <v>1.2482E-2</v>
      </c>
    </row>
    <row r="325" spans="1:3" x14ac:dyDescent="0.2">
      <c r="A325" s="41" t="s">
        <v>512</v>
      </c>
      <c r="B325" s="41" t="s">
        <v>513</v>
      </c>
      <c r="C325" s="43">
        <v>2.0804E-2</v>
      </c>
    </row>
    <row r="326" spans="1:3" x14ac:dyDescent="0.2">
      <c r="A326" s="41" t="s">
        <v>514</v>
      </c>
      <c r="B326" s="41" t="s">
        <v>333</v>
      </c>
      <c r="C326" s="43">
        <v>5.6639999999999998E-3</v>
      </c>
    </row>
    <row r="327" spans="1:3" x14ac:dyDescent="0.2">
      <c r="A327" s="41" t="s">
        <v>515</v>
      </c>
      <c r="B327" s="41" t="s">
        <v>410</v>
      </c>
      <c r="C327" s="43">
        <v>4.7580000000000001E-3</v>
      </c>
    </row>
    <row r="328" spans="1:3" x14ac:dyDescent="0.2">
      <c r="A328" s="41" t="s">
        <v>516</v>
      </c>
      <c r="B328" s="41" t="s">
        <v>408</v>
      </c>
      <c r="C328" s="43">
        <v>4.9299999999999995E-4</v>
      </c>
    </row>
    <row r="329" spans="1:3" x14ac:dyDescent="0.2">
      <c r="A329" s="41" t="s">
        <v>517</v>
      </c>
      <c r="B329" s="41" t="s">
        <v>301</v>
      </c>
      <c r="C329" s="43">
        <v>1.1400000000000001E-4</v>
      </c>
    </row>
    <row r="330" spans="1:3" ht="28.15" customHeight="1" x14ac:dyDescent="0.2">
      <c r="A330" s="48" t="s">
        <v>518</v>
      </c>
      <c r="B330" s="45"/>
      <c r="C330" s="45"/>
    </row>
  </sheetData>
  <mergeCells count="3">
    <mergeCell ref="A2:C2"/>
    <mergeCell ref="A3:C3"/>
    <mergeCell ref="A330:C33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G189"/>
  <sheetViews>
    <sheetView workbookViewId="0">
      <selection activeCell="I29" sqref="I29"/>
    </sheetView>
  </sheetViews>
  <sheetFormatPr defaultColWidth="12.5703125" defaultRowHeight="12.75" x14ac:dyDescent="0.2"/>
  <cols>
    <col min="1" max="1" width="12.42578125" style="1" bestFit="1" customWidth="1"/>
    <col min="2" max="2" width="16.85546875" style="1" bestFit="1" customWidth="1"/>
    <col min="3" max="16384" width="12.5703125" style="1"/>
  </cols>
  <sheetData>
    <row r="1" spans="1:3" ht="13.5" thickBot="1" x14ac:dyDescent="0.25">
      <c r="C1" s="13" t="s">
        <v>60</v>
      </c>
    </row>
    <row r="2" spans="1:3" ht="15" x14ac:dyDescent="0.25">
      <c r="A2" s="4" t="str">
        <f>Dispersion!$A$1</f>
        <v>Compound</v>
      </c>
      <c r="B2" s="5" t="str">
        <f>Dispersion!A2</f>
        <v>EF_650/65R42TRO174</v>
      </c>
    </row>
    <row r="3" spans="1:3" ht="15" x14ac:dyDescent="0.25">
      <c r="A3" s="6" t="str">
        <f>Dispersion!$B$1</f>
        <v>Import ID</v>
      </c>
      <c r="B3" s="7" t="str">
        <f>Dispersion!B2</f>
        <v>24120081</v>
      </c>
    </row>
    <row r="4" spans="1:3" ht="15" x14ac:dyDescent="0.25">
      <c r="A4" s="6" t="str">
        <f>Dispersion!$D$1</f>
        <v>Fi</v>
      </c>
      <c r="B4" s="33">
        <f>Dispersion!D2</f>
        <v>2.9261949999999999</v>
      </c>
      <c r="C4" s="19">
        <f>Berekening!$C$24</f>
        <v>0.1634961815392787</v>
      </c>
    </row>
    <row r="5" spans="1:3" ht="15.75" thickBot="1" x14ac:dyDescent="0.3">
      <c r="A5" s="9" t="s">
        <v>43</v>
      </c>
      <c r="B5" s="14">
        <f ca="1">NOW()</f>
        <v>45386.627354050928</v>
      </c>
    </row>
    <row r="6" spans="1:3" ht="13.5" thickBot="1" x14ac:dyDescent="0.25"/>
    <row r="7" spans="1:3" ht="16.5" thickTop="1" thickBot="1" x14ac:dyDescent="0.3">
      <c r="A7" s="6" t="s">
        <v>44</v>
      </c>
      <c r="B7" s="8">
        <f>invoer!G58</f>
        <v>0.42126234537659513</v>
      </c>
      <c r="C7" s="8">
        <f>invoer!G58</f>
        <v>0.42126234537659513</v>
      </c>
    </row>
    <row r="8" spans="1:3" ht="16.5" thickTop="1" thickBot="1" x14ac:dyDescent="0.3">
      <c r="A8" s="9" t="s">
        <v>45</v>
      </c>
      <c r="B8" s="10">
        <f>(1-B13*B14)*100</f>
        <v>99.642746734549249</v>
      </c>
      <c r="C8" s="10">
        <f>(1-C13*C14)*100</f>
        <v>93.824292583438805</v>
      </c>
    </row>
    <row r="9" spans="1:3" x14ac:dyDescent="0.2">
      <c r="B9" s="11"/>
    </row>
    <row r="12" spans="1:3" x14ac:dyDescent="0.2">
      <c r="A12" s="6" t="s">
        <v>46</v>
      </c>
      <c r="B12" s="17">
        <f>(B4/100+0.78)*0.5</f>
        <v>0.404630975</v>
      </c>
      <c r="C12" s="18">
        <f>Berekening!$C$26</f>
        <v>0.39081748090769641</v>
      </c>
    </row>
    <row r="13" spans="1:3" x14ac:dyDescent="0.2">
      <c r="A13" s="6" t="s">
        <v>47</v>
      </c>
      <c r="B13" s="17">
        <f>B12/(4222802.7*B4)</f>
        <v>3.2745759740213867E-8</v>
      </c>
      <c r="C13" s="18">
        <f>Berekening!$C$28</f>
        <v>5.6606405272018183E-7</v>
      </c>
    </row>
    <row r="14" spans="1:3" x14ac:dyDescent="0.2">
      <c r="B14" s="12">
        <f>blad1!$H$12</f>
        <v>109099.092</v>
      </c>
      <c r="C14" s="12">
        <f>blad1!$H$12</f>
        <v>109099.092</v>
      </c>
    </row>
    <row r="31" spans="2:3" x14ac:dyDescent="0.2">
      <c r="B31" s="15"/>
      <c r="C31" s="15"/>
    </row>
    <row r="32" spans="2:3" x14ac:dyDescent="0.2">
      <c r="B32" s="13"/>
      <c r="C32" s="13"/>
    </row>
    <row r="33" spans="2:3" x14ac:dyDescent="0.2">
      <c r="B33" s="13"/>
      <c r="C33" s="13"/>
    </row>
    <row r="34" spans="2:3" x14ac:dyDescent="0.2">
      <c r="B34" s="13"/>
      <c r="C34" s="13"/>
    </row>
    <row r="35" spans="2:3" x14ac:dyDescent="0.2">
      <c r="B35" s="13"/>
      <c r="C35" s="13"/>
    </row>
    <row r="36" spans="2:3" x14ac:dyDescent="0.2">
      <c r="B36" s="13"/>
      <c r="C36" s="13"/>
    </row>
    <row r="37" spans="2:3" x14ac:dyDescent="0.2">
      <c r="B37" s="13"/>
      <c r="C37" s="13"/>
    </row>
    <row r="38" spans="2:3" x14ac:dyDescent="0.2">
      <c r="B38" s="13"/>
      <c r="C38" s="13"/>
    </row>
    <row r="39" spans="2:3" x14ac:dyDescent="0.2">
      <c r="B39" s="13"/>
      <c r="C39" s="13"/>
    </row>
    <row r="40" spans="2:3" x14ac:dyDescent="0.2">
      <c r="B40" s="13"/>
      <c r="C40" s="13"/>
    </row>
    <row r="41" spans="2:3" x14ac:dyDescent="0.2">
      <c r="B41" s="13"/>
      <c r="C41" s="13"/>
    </row>
    <row r="42" spans="2:3" x14ac:dyDescent="0.2">
      <c r="B42" s="13"/>
      <c r="C42" s="13"/>
    </row>
    <row r="43" spans="2:3" x14ac:dyDescent="0.2">
      <c r="B43" s="13"/>
      <c r="C43" s="13"/>
    </row>
    <row r="44" spans="2:3" x14ac:dyDescent="0.2">
      <c r="B44" s="13"/>
      <c r="C44" s="13"/>
    </row>
    <row r="45" spans="2:3" x14ac:dyDescent="0.2">
      <c r="B45" s="13"/>
      <c r="C45" s="13"/>
    </row>
    <row r="46" spans="2:3" x14ac:dyDescent="0.2">
      <c r="B46" s="13"/>
      <c r="C46" s="13"/>
    </row>
    <row r="47" spans="2:3" x14ac:dyDescent="0.2">
      <c r="B47" s="13"/>
      <c r="C47" s="13"/>
    </row>
    <row r="48" spans="2:3" x14ac:dyDescent="0.2">
      <c r="B48" s="13"/>
      <c r="C48" s="13"/>
    </row>
    <row r="49" spans="2:3" x14ac:dyDescent="0.2">
      <c r="B49" s="13"/>
      <c r="C49" s="13"/>
    </row>
    <row r="50" spans="2:3" x14ac:dyDescent="0.2">
      <c r="B50" s="13"/>
      <c r="C50" s="13"/>
    </row>
    <row r="51" spans="2:3" x14ac:dyDescent="0.2">
      <c r="B51" s="13"/>
      <c r="C51" s="13"/>
    </row>
    <row r="52" spans="2:3" x14ac:dyDescent="0.2">
      <c r="B52" s="13"/>
      <c r="C52" s="13"/>
    </row>
    <row r="53" spans="2:3" x14ac:dyDescent="0.2">
      <c r="B53" s="13"/>
      <c r="C53" s="13"/>
    </row>
    <row r="54" spans="2:3" x14ac:dyDescent="0.2">
      <c r="B54" s="13"/>
      <c r="C54" s="13"/>
    </row>
    <row r="55" spans="2:3" x14ac:dyDescent="0.2">
      <c r="B55" s="13"/>
      <c r="C55" s="13"/>
    </row>
    <row r="56" spans="2:3" x14ac:dyDescent="0.2">
      <c r="B56" s="13"/>
      <c r="C56" s="13"/>
    </row>
    <row r="57" spans="2:3" x14ac:dyDescent="0.2">
      <c r="B57" s="13"/>
      <c r="C57" s="13"/>
    </row>
    <row r="58" spans="2:3" x14ac:dyDescent="0.2">
      <c r="B58" s="13"/>
      <c r="C58" s="13"/>
    </row>
    <row r="59" spans="2:3" x14ac:dyDescent="0.2">
      <c r="B59" s="13"/>
      <c r="C59" s="13"/>
    </row>
    <row r="60" spans="2:3" x14ac:dyDescent="0.2">
      <c r="B60" s="13"/>
      <c r="C60" s="13"/>
    </row>
    <row r="61" spans="2:3" x14ac:dyDescent="0.2">
      <c r="B61" s="13"/>
      <c r="C61" s="13"/>
    </row>
    <row r="62" spans="2:3" x14ac:dyDescent="0.2">
      <c r="B62" s="13"/>
      <c r="C62" s="13"/>
    </row>
    <row r="63" spans="2:3" x14ac:dyDescent="0.2">
      <c r="B63" s="13"/>
      <c r="C63" s="13"/>
    </row>
    <row r="64" spans="2:3" x14ac:dyDescent="0.2">
      <c r="B64" s="13"/>
      <c r="C64" s="13"/>
    </row>
    <row r="65" spans="2:3" x14ac:dyDescent="0.2">
      <c r="B65" s="13"/>
      <c r="C65" s="13"/>
    </row>
    <row r="66" spans="2:3" x14ac:dyDescent="0.2">
      <c r="B66" s="13"/>
      <c r="C66" s="13"/>
    </row>
    <row r="67" spans="2:3" x14ac:dyDescent="0.2">
      <c r="B67" s="13"/>
      <c r="C67" s="13"/>
    </row>
    <row r="68" spans="2:3" x14ac:dyDescent="0.2">
      <c r="B68" s="13"/>
      <c r="C68" s="13"/>
    </row>
    <row r="69" spans="2:3" x14ac:dyDescent="0.2">
      <c r="B69" s="13"/>
      <c r="C69" s="13"/>
    </row>
    <row r="70" spans="2:3" x14ac:dyDescent="0.2">
      <c r="B70" s="13"/>
      <c r="C70" s="13"/>
    </row>
    <row r="71" spans="2:3" x14ac:dyDescent="0.2">
      <c r="B71" s="13"/>
      <c r="C71" s="13"/>
    </row>
    <row r="72" spans="2:3" x14ac:dyDescent="0.2">
      <c r="B72" s="13"/>
      <c r="C72" s="13"/>
    </row>
    <row r="73" spans="2:3" x14ac:dyDescent="0.2">
      <c r="B73" s="13"/>
      <c r="C73" s="13"/>
    </row>
    <row r="74" spans="2:3" x14ac:dyDescent="0.2">
      <c r="B74" s="13"/>
      <c r="C74" s="13"/>
    </row>
    <row r="75" spans="2:3" x14ac:dyDescent="0.2">
      <c r="B75" s="13"/>
      <c r="C75" s="13"/>
    </row>
    <row r="76" spans="2:3" x14ac:dyDescent="0.2">
      <c r="B76" s="13"/>
      <c r="C76" s="13"/>
    </row>
    <row r="77" spans="2:3" x14ac:dyDescent="0.2">
      <c r="B77" s="13"/>
      <c r="C77" s="13"/>
    </row>
    <row r="78" spans="2:3" x14ac:dyDescent="0.2">
      <c r="B78" s="13"/>
      <c r="C78" s="13"/>
    </row>
    <row r="79" spans="2:3" x14ac:dyDescent="0.2">
      <c r="B79" s="13"/>
      <c r="C79" s="13"/>
    </row>
    <row r="80" spans="2:3" x14ac:dyDescent="0.2">
      <c r="B80" s="13"/>
      <c r="C80" s="13"/>
    </row>
    <row r="81" spans="2:3" x14ac:dyDescent="0.2">
      <c r="B81" s="13"/>
      <c r="C81" s="13"/>
    </row>
    <row r="108" spans="1:7" x14ac:dyDescent="0.2">
      <c r="A108" s="1" t="s">
        <v>61</v>
      </c>
      <c r="G108" s="20" t="s">
        <v>62</v>
      </c>
    </row>
    <row r="109" spans="1:7" x14ac:dyDescent="0.2">
      <c r="A109" s="1" t="e">
        <f>CONCATENATE("importId=",G109)</f>
        <v>#REF!</v>
      </c>
      <c r="G109" s="21" t="e">
        <f>Dispersion!#REF!</f>
        <v>#REF!</v>
      </c>
    </row>
    <row r="110" spans="1:7" x14ac:dyDescent="0.2">
      <c r="A110" s="1" t="s">
        <v>63</v>
      </c>
      <c r="C110" s="20" t="s">
        <v>64</v>
      </c>
    </row>
    <row r="111" spans="1:7" x14ac:dyDescent="0.2">
      <c r="A111" s="1" t="s">
        <v>65</v>
      </c>
    </row>
    <row r="112" spans="1:7" x14ac:dyDescent="0.2">
      <c r="A112" s="1" t="s">
        <v>66</v>
      </c>
    </row>
    <row r="113" spans="1:1" x14ac:dyDescent="0.2">
      <c r="A113" s="1" t="s">
        <v>67</v>
      </c>
    </row>
    <row r="114" spans="1:1" x14ac:dyDescent="0.2">
      <c r="A114" s="1" t="s">
        <v>68</v>
      </c>
    </row>
    <row r="115" spans="1:1" x14ac:dyDescent="0.2">
      <c r="A115" s="1" t="s">
        <v>69</v>
      </c>
    </row>
    <row r="116" spans="1:1" x14ac:dyDescent="0.2">
      <c r="A116" s="1" t="s">
        <v>70</v>
      </c>
    </row>
    <row r="117" spans="1:1" x14ac:dyDescent="0.2">
      <c r="A117" s="1" t="s">
        <v>71</v>
      </c>
    </row>
    <row r="118" spans="1:1" x14ac:dyDescent="0.2">
      <c r="A118" s="1" t="s">
        <v>72</v>
      </c>
    </row>
    <row r="119" spans="1:1" x14ac:dyDescent="0.2">
      <c r="A119" s="1" t="s">
        <v>73</v>
      </c>
    </row>
    <row r="120" spans="1:1" x14ac:dyDescent="0.2">
      <c r="A120" s="1" t="s">
        <v>74</v>
      </c>
    </row>
    <row r="121" spans="1:1" x14ac:dyDescent="0.2">
      <c r="A121" s="1" t="s">
        <v>75</v>
      </c>
    </row>
    <row r="122" spans="1:1" x14ac:dyDescent="0.2">
      <c r="A122" s="1" t="s">
        <v>76</v>
      </c>
    </row>
    <row r="123" spans="1:1" x14ac:dyDescent="0.2">
      <c r="A123" s="1" t="s">
        <v>77</v>
      </c>
    </row>
    <row r="124" spans="1:1" x14ac:dyDescent="0.2">
      <c r="A124" s="1" t="s">
        <v>78</v>
      </c>
    </row>
    <row r="125" spans="1:1" x14ac:dyDescent="0.2">
      <c r="A125" s="1" t="s">
        <v>79</v>
      </c>
    </row>
    <row r="126" spans="1:1" x14ac:dyDescent="0.2">
      <c r="A126" s="1" t="s">
        <v>80</v>
      </c>
    </row>
    <row r="127" spans="1:1" x14ac:dyDescent="0.2">
      <c r="A127" s="1" t="s">
        <v>81</v>
      </c>
    </row>
    <row r="128" spans="1:1" x14ac:dyDescent="0.2">
      <c r="A128" s="1" t="s">
        <v>82</v>
      </c>
    </row>
    <row r="129" spans="1:7" x14ac:dyDescent="0.2">
      <c r="A129" s="1" t="s">
        <v>80</v>
      </c>
    </row>
    <row r="130" spans="1:7" x14ac:dyDescent="0.2">
      <c r="A130" s="1" t="s">
        <v>83</v>
      </c>
    </row>
    <row r="131" spans="1:7" x14ac:dyDescent="0.2">
      <c r="A131" s="1" t="str">
        <f t="shared" ref="A131:A162" si="0">CONCATENATE(F131,"=",G131)</f>
        <v>Value_s[0,1]=0</v>
      </c>
      <c r="F131" s="1" t="s">
        <v>84</v>
      </c>
      <c r="G131" s="22">
        <f>invoer!C5</f>
        <v>0</v>
      </c>
    </row>
    <row r="132" spans="1:7" x14ac:dyDescent="0.2">
      <c r="A132" s="1" t="str">
        <f t="shared" si="0"/>
        <v>Value_s[0,3]=0</v>
      </c>
      <c r="F132" s="1" t="s">
        <v>85</v>
      </c>
      <c r="G132" s="22">
        <f>invoer!C6</f>
        <v>0</v>
      </c>
    </row>
    <row r="133" spans="1:7" x14ac:dyDescent="0.2">
      <c r="A133" s="1" t="str">
        <f t="shared" si="0"/>
        <v>Value_s[0,5]=50.8484848484849</v>
      </c>
      <c r="F133" s="1" t="s">
        <v>86</v>
      </c>
      <c r="G133" s="22">
        <f>invoer!C7</f>
        <v>50.848484848484851</v>
      </c>
    </row>
    <row r="134" spans="1:7" x14ac:dyDescent="0.2">
      <c r="A134" s="1" t="str">
        <f t="shared" si="0"/>
        <v>Value_s[0,7]=22.969696969697</v>
      </c>
      <c r="F134" s="1" t="s">
        <v>87</v>
      </c>
      <c r="G134" s="22">
        <f>invoer!C8</f>
        <v>22.969696969696969</v>
      </c>
    </row>
    <row r="135" spans="1:7" x14ac:dyDescent="0.2">
      <c r="A135" s="1" t="str">
        <f t="shared" si="0"/>
        <v>Value_s[0,9]=10.6060606060606</v>
      </c>
      <c r="F135" s="1" t="s">
        <v>88</v>
      </c>
      <c r="G135" s="22">
        <f>invoer!C9</f>
        <v>10.606060606060606</v>
      </c>
    </row>
    <row r="136" spans="1:7" x14ac:dyDescent="0.2">
      <c r="A136" s="1" t="str">
        <f t="shared" si="0"/>
        <v>Value_s[0,11]=4.18181818181818</v>
      </c>
      <c r="F136" s="1" t="s">
        <v>89</v>
      </c>
      <c r="G136" s="22">
        <f>invoer!C10</f>
        <v>4.1818181818181817</v>
      </c>
    </row>
    <row r="137" spans="1:7" x14ac:dyDescent="0.2">
      <c r="A137" s="1" t="str">
        <f t="shared" si="0"/>
        <v>Value_s[0,13]=2.48484848484848</v>
      </c>
      <c r="F137" s="1" t="s">
        <v>90</v>
      </c>
      <c r="G137" s="22">
        <f>invoer!C11</f>
        <v>2.4848484848484849</v>
      </c>
    </row>
    <row r="138" spans="1:7" x14ac:dyDescent="0.2">
      <c r="A138" s="1" t="str">
        <f t="shared" si="0"/>
        <v>Value_s[0,15]=2.42424242424242</v>
      </c>
      <c r="F138" s="1" t="s">
        <v>91</v>
      </c>
      <c r="G138" s="22">
        <f>invoer!C12</f>
        <v>2.4242424242424243</v>
      </c>
    </row>
    <row r="139" spans="1:7" x14ac:dyDescent="0.2">
      <c r="A139" s="1" t="str">
        <f t="shared" si="0"/>
        <v>Value_s[0,17]=1.33333333333333</v>
      </c>
      <c r="F139" s="1" t="s">
        <v>92</v>
      </c>
      <c r="G139" s="22">
        <f>invoer!C13</f>
        <v>1.3333333333333335</v>
      </c>
    </row>
    <row r="140" spans="1:7" x14ac:dyDescent="0.2">
      <c r="A140" s="1" t="str">
        <f t="shared" si="0"/>
        <v>Value_s[0,19]=1.21212121212121</v>
      </c>
      <c r="F140" s="1" t="s">
        <v>93</v>
      </c>
      <c r="G140" s="22">
        <f>invoer!C14</f>
        <v>1.2121212121212122</v>
      </c>
    </row>
    <row r="141" spans="1:7" x14ac:dyDescent="0.2">
      <c r="A141" s="1" t="str">
        <f t="shared" si="0"/>
        <v>Value_s[0,21]=0.606060606060606</v>
      </c>
      <c r="F141" s="1" t="s">
        <v>94</v>
      </c>
      <c r="G141" s="22">
        <f>invoer!C15</f>
        <v>0.60606060606060608</v>
      </c>
    </row>
    <row r="142" spans="1:7" x14ac:dyDescent="0.2">
      <c r="A142" s="1" t="str">
        <f t="shared" si="0"/>
        <v>Value_s[0,23]=1.03030303030303</v>
      </c>
      <c r="F142" s="1" t="s">
        <v>95</v>
      </c>
      <c r="G142" s="22">
        <f>invoer!C16</f>
        <v>1.0303030303030303</v>
      </c>
    </row>
    <row r="143" spans="1:7" x14ac:dyDescent="0.2">
      <c r="A143" s="1" t="str">
        <f t="shared" si="0"/>
        <v>Value_s[0,25]=0.606060606060606</v>
      </c>
      <c r="F143" s="1" t="s">
        <v>96</v>
      </c>
      <c r="G143" s="22">
        <f>invoer!C17</f>
        <v>0.60606060606060608</v>
      </c>
    </row>
    <row r="144" spans="1:7" x14ac:dyDescent="0.2">
      <c r="A144" s="1" t="str">
        <f t="shared" si="0"/>
        <v>Value_s[0,27]=0.242424242424242</v>
      </c>
      <c r="F144" s="1" t="s">
        <v>97</v>
      </c>
      <c r="G144" s="22">
        <f>invoer!C18</f>
        <v>0.24242424242424243</v>
      </c>
    </row>
    <row r="145" spans="1:7" x14ac:dyDescent="0.2">
      <c r="A145" s="1" t="str">
        <f t="shared" si="0"/>
        <v>Value_s[0,29]=0.424242424242424</v>
      </c>
      <c r="F145" s="1" t="s">
        <v>98</v>
      </c>
      <c r="G145" s="22">
        <f>invoer!C19</f>
        <v>0.42424242424242431</v>
      </c>
    </row>
    <row r="146" spans="1:7" x14ac:dyDescent="0.2">
      <c r="A146" s="1" t="str">
        <f t="shared" si="0"/>
        <v>Value_s[0,31]=0.303030303030303</v>
      </c>
      <c r="F146" s="1" t="s">
        <v>99</v>
      </c>
      <c r="G146" s="22">
        <f>invoer!C20</f>
        <v>0.30303030303030304</v>
      </c>
    </row>
    <row r="147" spans="1:7" x14ac:dyDescent="0.2">
      <c r="A147" s="1" t="str">
        <f t="shared" si="0"/>
        <v>Value_s[0,33]=0.181818181818182</v>
      </c>
      <c r="F147" s="1" t="s">
        <v>100</v>
      </c>
      <c r="G147" s="22">
        <f>invoer!C21</f>
        <v>0.18181818181818182</v>
      </c>
    </row>
    <row r="148" spans="1:7" x14ac:dyDescent="0.2">
      <c r="A148" s="1" t="str">
        <f t="shared" si="0"/>
        <v>Value_s[0,35]=0.121212121212121</v>
      </c>
      <c r="F148" s="1" t="s">
        <v>101</v>
      </c>
      <c r="G148" s="22">
        <f>invoer!C22</f>
        <v>0.12121212121212122</v>
      </c>
    </row>
    <row r="149" spans="1:7" x14ac:dyDescent="0.2">
      <c r="A149" s="1" t="str">
        <f t="shared" si="0"/>
        <v>Value_s[0,37]=0.181818181818182</v>
      </c>
      <c r="F149" s="1" t="s">
        <v>102</v>
      </c>
      <c r="G149" s="22">
        <f>invoer!C23</f>
        <v>0.18181818181818182</v>
      </c>
    </row>
    <row r="150" spans="1:7" x14ac:dyDescent="0.2">
      <c r="A150" s="1" t="str">
        <f t="shared" si="0"/>
        <v>Value_s[0,39]=0.0606060606060606</v>
      </c>
      <c r="F150" s="1" t="s">
        <v>103</v>
      </c>
      <c r="G150" s="22">
        <f>invoer!C24</f>
        <v>6.0606060606060608E-2</v>
      </c>
    </row>
    <row r="151" spans="1:7" x14ac:dyDescent="0.2">
      <c r="A151" s="1" t="str">
        <f t="shared" si="0"/>
        <v>Value_s[0,41]=0.0606060606060606</v>
      </c>
      <c r="F151" s="1" t="s">
        <v>104</v>
      </c>
      <c r="G151" s="22">
        <f>invoer!C25</f>
        <v>6.0606060606060608E-2</v>
      </c>
    </row>
    <row r="152" spans="1:7" x14ac:dyDescent="0.2">
      <c r="A152" s="1" t="str">
        <f t="shared" si="0"/>
        <v>Value_s[0,43]=0.0606060606060606</v>
      </c>
      <c r="F152" s="1" t="s">
        <v>105</v>
      </c>
      <c r="G152" s="22">
        <f>invoer!C26</f>
        <v>6.0606060606060608E-2</v>
      </c>
    </row>
    <row r="153" spans="1:7" x14ac:dyDescent="0.2">
      <c r="A153" s="1" t="str">
        <f t="shared" si="0"/>
        <v>Value_s[0,45]=0</v>
      </c>
      <c r="F153" s="1" t="s">
        <v>106</v>
      </c>
      <c r="G153" s="22">
        <f>invoer!C27</f>
        <v>0</v>
      </c>
    </row>
    <row r="154" spans="1:7" x14ac:dyDescent="0.2">
      <c r="A154" s="1" t="str">
        <f t="shared" si="0"/>
        <v>Value_s[0,47]=0.0606060606060606</v>
      </c>
      <c r="F154" s="1" t="s">
        <v>107</v>
      </c>
      <c r="G154" s="22">
        <f>invoer!C28</f>
        <v>6.0606060606060608E-2</v>
      </c>
    </row>
    <row r="155" spans="1:7" x14ac:dyDescent="0.2">
      <c r="A155" s="1" t="str">
        <f t="shared" si="0"/>
        <v>Value_s[0,49]=0</v>
      </c>
      <c r="F155" s="1" t="s">
        <v>108</v>
      </c>
      <c r="G155" s="22">
        <f>invoer!C29</f>
        <v>0</v>
      </c>
    </row>
    <row r="156" spans="1:7" x14ac:dyDescent="0.2">
      <c r="A156" s="1" t="str">
        <f t="shared" si="0"/>
        <v>Value_s[0,51]=0</v>
      </c>
      <c r="F156" s="1" t="s">
        <v>109</v>
      </c>
      <c r="G156" s="22">
        <f>invoer!C30</f>
        <v>0</v>
      </c>
    </row>
    <row r="157" spans="1:7" x14ac:dyDescent="0.2">
      <c r="A157" s="1" t="str">
        <f t="shared" si="0"/>
        <v>Value_s[0,53]=0</v>
      </c>
      <c r="F157" s="1" t="s">
        <v>110</v>
      </c>
      <c r="G157" s="22">
        <f>invoer!C31</f>
        <v>0</v>
      </c>
    </row>
    <row r="158" spans="1:7" x14ac:dyDescent="0.2">
      <c r="A158" s="1" t="str">
        <f t="shared" si="0"/>
        <v>Value_s[0,55]=0</v>
      </c>
      <c r="F158" s="1" t="s">
        <v>111</v>
      </c>
      <c r="G158" s="22">
        <f>invoer!C32</f>
        <v>0</v>
      </c>
    </row>
    <row r="159" spans="1:7" x14ac:dyDescent="0.2">
      <c r="A159" s="1" t="str">
        <f t="shared" si="0"/>
        <v>Value_s[0,57]=0</v>
      </c>
      <c r="F159" s="1" t="s">
        <v>112</v>
      </c>
      <c r="G159" s="22">
        <f>invoer!C33</f>
        <v>0</v>
      </c>
    </row>
    <row r="160" spans="1:7" x14ac:dyDescent="0.2">
      <c r="A160" s="1" t="str">
        <f t="shared" si="0"/>
        <v>Value_s[0,59]=0</v>
      </c>
      <c r="F160" s="1" t="s">
        <v>113</v>
      </c>
      <c r="G160" s="22">
        <f>invoer!C34</f>
        <v>0</v>
      </c>
    </row>
    <row r="161" spans="1:7" x14ac:dyDescent="0.2">
      <c r="A161" s="1" t="str">
        <f t="shared" si="0"/>
        <v>Value_s[0,61]=0</v>
      </c>
      <c r="F161" s="1" t="s">
        <v>114</v>
      </c>
      <c r="G161" s="22">
        <f>invoer!C35</f>
        <v>0</v>
      </c>
    </row>
    <row r="162" spans="1:7" x14ac:dyDescent="0.2">
      <c r="A162" s="1" t="str">
        <f t="shared" si="0"/>
        <v>Value_s[0,63]=0</v>
      </c>
      <c r="F162" s="1" t="s">
        <v>115</v>
      </c>
      <c r="G162" s="22">
        <f>invoer!C36</f>
        <v>0</v>
      </c>
    </row>
    <row r="163" spans="1:7" x14ac:dyDescent="0.2">
      <c r="A163" s="1" t="str">
        <f t="shared" ref="A163:A180" si="1">CONCATENATE(F163,"=",G163)</f>
        <v>Value_s[0,65]=0</v>
      </c>
      <c r="F163" s="1" t="s">
        <v>116</v>
      </c>
      <c r="G163" s="22">
        <f>invoer!C37</f>
        <v>0</v>
      </c>
    </row>
    <row r="164" spans="1:7" x14ac:dyDescent="0.2">
      <c r="A164" s="1" t="str">
        <f t="shared" si="1"/>
        <v>Value_s[0,67]=0</v>
      </c>
      <c r="F164" s="1" t="s">
        <v>117</v>
      </c>
      <c r="G164" s="22">
        <f>invoer!C38</f>
        <v>0</v>
      </c>
    </row>
    <row r="165" spans="1:7" x14ac:dyDescent="0.2">
      <c r="A165" s="1" t="str">
        <f t="shared" si="1"/>
        <v>Value_s[0,69]=0</v>
      </c>
      <c r="F165" s="1" t="s">
        <v>118</v>
      </c>
      <c r="G165" s="22">
        <f>invoer!C39</f>
        <v>0</v>
      </c>
    </row>
    <row r="166" spans="1:7" x14ac:dyDescent="0.2">
      <c r="A166" s="1" t="str">
        <f t="shared" si="1"/>
        <v>Value_s[0,71]=0</v>
      </c>
      <c r="F166" s="1" t="s">
        <v>119</v>
      </c>
      <c r="G166" s="22">
        <f>invoer!C40</f>
        <v>0</v>
      </c>
    </row>
    <row r="167" spans="1:7" x14ac:dyDescent="0.2">
      <c r="A167" s="1" t="str">
        <f t="shared" si="1"/>
        <v>Value_s[0,73]=0</v>
      </c>
      <c r="F167" s="1" t="s">
        <v>120</v>
      </c>
      <c r="G167" s="22">
        <f>invoer!C41</f>
        <v>0</v>
      </c>
    </row>
    <row r="168" spans="1:7" x14ac:dyDescent="0.2">
      <c r="A168" s="1" t="str">
        <f t="shared" si="1"/>
        <v>Value_s[0,75]=0</v>
      </c>
      <c r="F168" s="1" t="s">
        <v>121</v>
      </c>
      <c r="G168" s="22">
        <f>invoer!C42</f>
        <v>0</v>
      </c>
    </row>
    <row r="169" spans="1:7" x14ac:dyDescent="0.2">
      <c r="A169" s="1" t="str">
        <f t="shared" si="1"/>
        <v>Value_s[0,77]=0</v>
      </c>
      <c r="F169" s="1" t="s">
        <v>122</v>
      </c>
      <c r="G169" s="22">
        <f>invoer!C43</f>
        <v>0</v>
      </c>
    </row>
    <row r="170" spans="1:7" x14ac:dyDescent="0.2">
      <c r="A170" s="1" t="str">
        <f t="shared" si="1"/>
        <v>Value_s[0,79]=0</v>
      </c>
      <c r="F170" s="1" t="s">
        <v>123</v>
      </c>
      <c r="G170" s="22">
        <f>invoer!C44</f>
        <v>0</v>
      </c>
    </row>
    <row r="171" spans="1:7" x14ac:dyDescent="0.2">
      <c r="A171" s="1" t="str">
        <f t="shared" si="1"/>
        <v>Value_s[0,81]=0</v>
      </c>
      <c r="F171" s="1" t="s">
        <v>124</v>
      </c>
      <c r="G171" s="22">
        <f>invoer!C45</f>
        <v>0</v>
      </c>
    </row>
    <row r="172" spans="1:7" x14ac:dyDescent="0.2">
      <c r="A172" s="1" t="str">
        <f t="shared" si="1"/>
        <v>Value_s[0,83]=0</v>
      </c>
      <c r="F172" s="1" t="s">
        <v>125</v>
      </c>
      <c r="G172" s="22">
        <f>invoer!C46</f>
        <v>0</v>
      </c>
    </row>
    <row r="173" spans="1:7" x14ac:dyDescent="0.2">
      <c r="A173" s="1" t="str">
        <f t="shared" si="1"/>
        <v>Value_s[0,85]=0</v>
      </c>
      <c r="F173" s="1" t="s">
        <v>126</v>
      </c>
      <c r="G173" s="22">
        <f>invoer!C47</f>
        <v>0</v>
      </c>
    </row>
    <row r="174" spans="1:7" x14ac:dyDescent="0.2">
      <c r="A174" s="1" t="str">
        <f t="shared" si="1"/>
        <v>Value_s[0,87]=0</v>
      </c>
      <c r="F174" s="1" t="s">
        <v>127</v>
      </c>
      <c r="G174" s="22">
        <f>invoer!C48</f>
        <v>0</v>
      </c>
    </row>
    <row r="175" spans="1:7" x14ac:dyDescent="0.2">
      <c r="A175" s="1" t="str">
        <f t="shared" si="1"/>
        <v>Value_s[0,89]=0</v>
      </c>
      <c r="F175" s="1" t="s">
        <v>128</v>
      </c>
      <c r="G175" s="22">
        <f>invoer!C49</f>
        <v>0</v>
      </c>
    </row>
    <row r="176" spans="1:7" x14ac:dyDescent="0.2">
      <c r="A176" s="1" t="str">
        <f t="shared" si="1"/>
        <v>Value_s[0,91]=0</v>
      </c>
      <c r="F176" s="1" t="s">
        <v>129</v>
      </c>
      <c r="G176" s="22">
        <f>invoer!C50</f>
        <v>0</v>
      </c>
    </row>
    <row r="177" spans="1:7" x14ac:dyDescent="0.2">
      <c r="A177" s="1" t="str">
        <f t="shared" si="1"/>
        <v>Value_s[0,93]=0</v>
      </c>
      <c r="F177" s="1" t="s">
        <v>130</v>
      </c>
      <c r="G177" s="22">
        <f>invoer!C51</f>
        <v>0</v>
      </c>
    </row>
    <row r="178" spans="1:7" x14ac:dyDescent="0.2">
      <c r="A178" s="1" t="str">
        <f t="shared" si="1"/>
        <v>Value_s[0,95]=0</v>
      </c>
      <c r="F178" s="1" t="s">
        <v>131</v>
      </c>
      <c r="G178" s="22">
        <f>invoer!C52</f>
        <v>0</v>
      </c>
    </row>
    <row r="179" spans="1:7" x14ac:dyDescent="0.2">
      <c r="A179" s="1" t="str">
        <f t="shared" si="1"/>
        <v>Value_s[0,97]=0</v>
      </c>
      <c r="F179" s="1" t="s">
        <v>132</v>
      </c>
      <c r="G179" s="22">
        <f>invoer!C53</f>
        <v>0</v>
      </c>
    </row>
    <row r="180" spans="1:7" x14ac:dyDescent="0.2">
      <c r="A180" s="1" t="str">
        <f t="shared" si="1"/>
        <v>Value_s[0,99]=0</v>
      </c>
      <c r="F180" s="1" t="s">
        <v>133</v>
      </c>
      <c r="G180" s="22">
        <f>invoer!C54</f>
        <v>0</v>
      </c>
    </row>
    <row r="181" spans="1:7" x14ac:dyDescent="0.2">
      <c r="A181" s="23" t="s">
        <v>134</v>
      </c>
      <c r="G181" s="24"/>
    </row>
    <row r="182" spans="1:7" x14ac:dyDescent="0.2">
      <c r="A182" s="23" t="s">
        <v>80</v>
      </c>
      <c r="G182" s="24"/>
    </row>
    <row r="183" spans="1:7" x14ac:dyDescent="0.2">
      <c r="A183" t="s">
        <v>135</v>
      </c>
      <c r="G183" s="22" t="s">
        <v>140</v>
      </c>
    </row>
    <row r="184" spans="1:7" x14ac:dyDescent="0.2">
      <c r="A184" s="23" t="str">
        <f>CONCATENATE(F184,"=",G184)</f>
        <v>value_s=99.6427467345492</v>
      </c>
      <c r="F184" s="1" t="s">
        <v>136</v>
      </c>
      <c r="G184" s="25">
        <f>grafiek!B8</f>
        <v>99.642746734549249</v>
      </c>
    </row>
    <row r="185" spans="1:7" x14ac:dyDescent="0.2">
      <c r="A185" t="s">
        <v>137</v>
      </c>
      <c r="G185" s="26" t="s">
        <v>7</v>
      </c>
    </row>
    <row r="186" spans="1:7" x14ac:dyDescent="0.2">
      <c r="A186" s="23" t="str">
        <f>CONCATENATE(F186,"=",G186)</f>
        <v>value_s=0.421262345376595</v>
      </c>
      <c r="F186" s="1" t="s">
        <v>136</v>
      </c>
      <c r="G186" s="27">
        <f>grafiek!B7</f>
        <v>0.42126234537659513</v>
      </c>
    </row>
    <row r="187" spans="1:7" x14ac:dyDescent="0.2">
      <c r="A187" t="s">
        <v>138</v>
      </c>
      <c r="F187" s="23"/>
      <c r="G187" s="22"/>
    </row>
    <row r="188" spans="1:7" x14ac:dyDescent="0.2">
      <c r="A188" s="23" t="str">
        <f>CONCATENATE(F188,"=",G188)</f>
        <v>value_s=</v>
      </c>
      <c r="F188" s="23" t="s">
        <v>136</v>
      </c>
      <c r="G188" s="22"/>
    </row>
    <row r="189" spans="1:7" x14ac:dyDescent="0.2">
      <c r="A189" s="1" t="s">
        <v>139</v>
      </c>
    </row>
  </sheetData>
  <phoneticPr fontId="0" type="noConversion"/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G28"/>
  <sheetViews>
    <sheetView workbookViewId="0">
      <selection activeCell="H17" sqref="H17"/>
    </sheetView>
  </sheetViews>
  <sheetFormatPr defaultColWidth="12.5703125" defaultRowHeight="12.75" x14ac:dyDescent="0.2"/>
  <cols>
    <col min="1" max="1" width="12.5703125" style="1"/>
    <col min="2" max="2" width="18.85546875" style="1" customWidth="1"/>
    <col min="3" max="3" width="12.42578125" style="1" customWidth="1"/>
    <col min="4" max="5" width="12.5703125" style="1"/>
    <col min="6" max="7" width="12" style="1" bestFit="1" customWidth="1"/>
    <col min="8" max="16384" width="12.5703125" style="1"/>
  </cols>
  <sheetData>
    <row r="2" spans="1:7" x14ac:dyDescent="0.2">
      <c r="A2" s="1" t="s">
        <v>48</v>
      </c>
      <c r="B2" s="1" t="str">
        <f>Dispersion!A2</f>
        <v>EF_650/65R42TRO174</v>
      </c>
    </row>
    <row r="4" spans="1:7" x14ac:dyDescent="0.2">
      <c r="A4" s="1" t="s">
        <v>141</v>
      </c>
      <c r="C4" s="1">
        <v>33.5</v>
      </c>
      <c r="D4" s="1" t="s">
        <v>49</v>
      </c>
    </row>
    <row r="5" spans="1:7" x14ac:dyDescent="0.2">
      <c r="A5" s="1" t="s">
        <v>141</v>
      </c>
      <c r="C5" s="1">
        <v>57.44</v>
      </c>
      <c r="D5" s="1" t="s">
        <v>147</v>
      </c>
    </row>
    <row r="6" spans="1:7" x14ac:dyDescent="0.2">
      <c r="A6" s="1" t="s">
        <v>142</v>
      </c>
      <c r="C6" s="1">
        <v>307.47000000000003</v>
      </c>
      <c r="D6" s="1" t="s">
        <v>50</v>
      </c>
    </row>
    <row r="8" spans="1:7" x14ac:dyDescent="0.2">
      <c r="A8" s="1" t="s">
        <v>143</v>
      </c>
      <c r="C8" s="1">
        <v>290</v>
      </c>
      <c r="D8" s="1" t="s">
        <v>52</v>
      </c>
    </row>
    <row r="10" spans="1:7" x14ac:dyDescent="0.2">
      <c r="A10" s="1" t="s">
        <v>144</v>
      </c>
      <c r="C10" s="1">
        <v>0</v>
      </c>
      <c r="D10" s="1" t="s">
        <v>49</v>
      </c>
      <c r="F10" s="1">
        <f>C10+G10</f>
        <v>31.59657852798647</v>
      </c>
      <c r="G10" s="1">
        <f>(C8/C6)*C4</f>
        <v>31.59657852798647</v>
      </c>
    </row>
    <row r="11" spans="1:7" x14ac:dyDescent="0.2">
      <c r="A11" s="1" t="s">
        <v>144</v>
      </c>
      <c r="C11" s="1">
        <v>0</v>
      </c>
      <c r="D11" s="1" t="s">
        <v>147</v>
      </c>
      <c r="F11" s="1">
        <f>C11+G11</f>
        <v>54.176342407389335</v>
      </c>
      <c r="G11" s="1">
        <f>(C8/C6)*C5</f>
        <v>54.176342407389335</v>
      </c>
    </row>
    <row r="12" spans="1:7" x14ac:dyDescent="0.2">
      <c r="A12" s="1" t="s">
        <v>145</v>
      </c>
      <c r="C12" s="1">
        <v>290</v>
      </c>
      <c r="D12" s="1" t="s">
        <v>50</v>
      </c>
    </row>
    <row r="14" spans="1:7" x14ac:dyDescent="0.2">
      <c r="A14" s="1" t="s">
        <v>51</v>
      </c>
      <c r="C14" s="1">
        <v>180</v>
      </c>
      <c r="D14" s="1" t="s">
        <v>52</v>
      </c>
    </row>
    <row r="16" spans="1:7" x14ac:dyDescent="0.2">
      <c r="A16" s="1" t="s">
        <v>53</v>
      </c>
      <c r="C16" s="2">
        <v>199.46</v>
      </c>
      <c r="D16" s="1" t="s">
        <v>50</v>
      </c>
    </row>
    <row r="18" spans="1:4" x14ac:dyDescent="0.2">
      <c r="A18" s="1" t="s">
        <v>54</v>
      </c>
      <c r="C18" s="16">
        <v>1.2069000000000001</v>
      </c>
      <c r="D18" s="1" t="s">
        <v>55</v>
      </c>
    </row>
    <row r="20" spans="1:4" x14ac:dyDescent="0.2">
      <c r="A20" s="1" t="s">
        <v>56</v>
      </c>
      <c r="C20" s="1">
        <v>1.82</v>
      </c>
      <c r="D20" s="1" t="s">
        <v>55</v>
      </c>
    </row>
    <row r="21" spans="1:4" x14ac:dyDescent="0.2">
      <c r="A21" s="1" t="s">
        <v>146</v>
      </c>
      <c r="C21" s="1">
        <v>2.0699999999999998</v>
      </c>
      <c r="D21" s="1" t="s">
        <v>55</v>
      </c>
    </row>
    <row r="24" spans="1:4" x14ac:dyDescent="0.2">
      <c r="B24" s="1" t="s">
        <v>57</v>
      </c>
      <c r="C24" s="1">
        <f>(((C14/C12*F10)/C20)+((C14/C12*F11)/C21))/(C16/C18)</f>
        <v>0.1634961815392787</v>
      </c>
    </row>
    <row r="26" spans="1:4" x14ac:dyDescent="0.2">
      <c r="B26" s="1" t="s">
        <v>58</v>
      </c>
      <c r="C26" s="1">
        <f>(C24/100+0.78)*0.5</f>
        <v>0.39081748090769641</v>
      </c>
    </row>
    <row r="28" spans="1:4" x14ac:dyDescent="0.2">
      <c r="A28" s="1" t="s">
        <v>59</v>
      </c>
      <c r="C28" s="1">
        <f>C26/(4222802.7*C24)</f>
        <v>5.6606405272018183E-7</v>
      </c>
    </row>
  </sheetData>
  <phoneticPr fontId="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D130"/>
  <sheetViews>
    <sheetView workbookViewId="0">
      <selection activeCell="G129" sqref="G129"/>
    </sheetView>
  </sheetViews>
  <sheetFormatPr defaultColWidth="8.85546875" defaultRowHeight="12.75" x14ac:dyDescent="0.2"/>
  <cols>
    <col min="1" max="1" width="13" style="1" customWidth="1"/>
    <col min="2" max="5" width="8.85546875" style="1"/>
    <col min="6" max="6" width="11.28515625" style="1" bestFit="1" customWidth="1"/>
    <col min="7" max="8" width="10.28515625" style="1" bestFit="1" customWidth="1"/>
    <col min="9" max="10" width="11.28515625" style="1" bestFit="1" customWidth="1"/>
    <col min="11" max="11" width="10.85546875" style="1" bestFit="1" customWidth="1"/>
    <col min="12" max="15" width="10.28515625" style="1" bestFit="1" customWidth="1"/>
    <col min="16" max="23" width="11.28515625" style="1" bestFit="1" customWidth="1"/>
    <col min="24" max="24" width="3" style="1" bestFit="1" customWidth="1"/>
    <col min="25" max="16384" width="8.85546875" style="1"/>
  </cols>
  <sheetData>
    <row r="1" spans="1:7" x14ac:dyDescent="0.2">
      <c r="A1" s="1" t="s">
        <v>61</v>
      </c>
      <c r="G1" s="20" t="s">
        <v>62</v>
      </c>
    </row>
    <row r="2" spans="1:7" x14ac:dyDescent="0.2">
      <c r="A2" s="1" t="str">
        <f>CONCATENATE("importId=",G2)</f>
        <v>importId=24120081</v>
      </c>
      <c r="G2" s="28" t="str">
        <f>grafiek!B3</f>
        <v>24120081</v>
      </c>
    </row>
    <row r="3" spans="1:7" x14ac:dyDescent="0.2">
      <c r="A3" s="1" t="s">
        <v>63</v>
      </c>
      <c r="C3" s="20" t="s">
        <v>64</v>
      </c>
    </row>
    <row r="4" spans="1:7" x14ac:dyDescent="0.2">
      <c r="A4" s="1" t="s">
        <v>65</v>
      </c>
    </row>
    <row r="5" spans="1:7" x14ac:dyDescent="0.2">
      <c r="A5" s="1" t="s">
        <v>66</v>
      </c>
    </row>
    <row r="6" spans="1:7" x14ac:dyDescent="0.2">
      <c r="A6" s="1" t="s">
        <v>67</v>
      </c>
    </row>
    <row r="7" spans="1:7" x14ac:dyDescent="0.2">
      <c r="A7" s="1" t="s">
        <v>68</v>
      </c>
    </row>
    <row r="8" spans="1:7" x14ac:dyDescent="0.2">
      <c r="A8" s="1" t="s">
        <v>69</v>
      </c>
    </row>
    <row r="9" spans="1:7" x14ac:dyDescent="0.2">
      <c r="A9" s="1" t="s">
        <v>70</v>
      </c>
    </row>
    <row r="10" spans="1:7" x14ac:dyDescent="0.2">
      <c r="A10" s="1" t="s">
        <v>71</v>
      </c>
    </row>
    <row r="11" spans="1:7" x14ac:dyDescent="0.2">
      <c r="A11" s="1" t="s">
        <v>72</v>
      </c>
    </row>
    <row r="12" spans="1:7" x14ac:dyDescent="0.2">
      <c r="A12" s="1" t="s">
        <v>73</v>
      </c>
    </row>
    <row r="13" spans="1:7" x14ac:dyDescent="0.2">
      <c r="A13" s="1" t="s">
        <v>74</v>
      </c>
    </row>
    <row r="14" spans="1:7" x14ac:dyDescent="0.2">
      <c r="A14" s="1" t="s">
        <v>75</v>
      </c>
    </row>
    <row r="15" spans="1:7" x14ac:dyDescent="0.2">
      <c r="A15" s="1" t="s">
        <v>76</v>
      </c>
    </row>
    <row r="16" spans="1:7" x14ac:dyDescent="0.2">
      <c r="A16" s="1" t="s">
        <v>77</v>
      </c>
    </row>
    <row r="17" spans="1:7" x14ac:dyDescent="0.2">
      <c r="A17" s="1" t="s">
        <v>78</v>
      </c>
    </row>
    <row r="18" spans="1:7" x14ac:dyDescent="0.2">
      <c r="A18" s="1" t="s">
        <v>79</v>
      </c>
    </row>
    <row r="19" spans="1:7" x14ac:dyDescent="0.2">
      <c r="A19" s="1" t="s">
        <v>80</v>
      </c>
    </row>
    <row r="20" spans="1:7" x14ac:dyDescent="0.2">
      <c r="A20" s="1" t="s">
        <v>81</v>
      </c>
    </row>
    <row r="21" spans="1:7" x14ac:dyDescent="0.2">
      <c r="A21" s="1" t="s">
        <v>82</v>
      </c>
    </row>
    <row r="22" spans="1:7" x14ac:dyDescent="0.2">
      <c r="A22" s="1" t="s">
        <v>80</v>
      </c>
    </row>
    <row r="23" spans="1:7" x14ac:dyDescent="0.2">
      <c r="A23" t="s">
        <v>151</v>
      </c>
    </row>
    <row r="24" spans="1:7" x14ac:dyDescent="0.2">
      <c r="A24" s="1" t="str">
        <f t="shared" ref="A24:A73" si="0">CONCATENATE(F24,"=",G24)</f>
        <v>value_s[0,0]=1</v>
      </c>
      <c r="F24" s="1" t="s">
        <v>152</v>
      </c>
      <c r="G24" s="27">
        <v>1</v>
      </c>
    </row>
    <row r="25" spans="1:7" x14ac:dyDescent="0.2">
      <c r="A25" s="1" t="str">
        <f t="shared" si="0"/>
        <v>value_s[0,1]=3</v>
      </c>
      <c r="F25" s="1" t="s">
        <v>153</v>
      </c>
      <c r="G25" s="27">
        <v>3</v>
      </c>
    </row>
    <row r="26" spans="1:7" x14ac:dyDescent="0.2">
      <c r="A26" s="1" t="str">
        <f t="shared" si="0"/>
        <v>value_s[0,2]=5</v>
      </c>
      <c r="F26" s="1" t="s">
        <v>156</v>
      </c>
      <c r="G26" s="27">
        <v>5</v>
      </c>
    </row>
    <row r="27" spans="1:7" x14ac:dyDescent="0.2">
      <c r="A27" s="1" t="str">
        <f t="shared" si="0"/>
        <v>value_s[0,3]=7</v>
      </c>
      <c r="F27" s="1" t="s">
        <v>157</v>
      </c>
      <c r="G27" s="27">
        <v>7</v>
      </c>
    </row>
    <row r="28" spans="1:7" x14ac:dyDescent="0.2">
      <c r="A28" s="1" t="str">
        <f t="shared" si="0"/>
        <v>value_s[0,4]=9</v>
      </c>
      <c r="F28" s="1" t="s">
        <v>158</v>
      </c>
      <c r="G28" s="27">
        <v>9</v>
      </c>
    </row>
    <row r="29" spans="1:7" x14ac:dyDescent="0.2">
      <c r="A29" s="1" t="str">
        <f t="shared" si="0"/>
        <v>value_s[0,5]=11</v>
      </c>
      <c r="F29" s="1" t="s">
        <v>159</v>
      </c>
      <c r="G29" s="27">
        <v>11</v>
      </c>
    </row>
    <row r="30" spans="1:7" x14ac:dyDescent="0.2">
      <c r="A30" s="1" t="str">
        <f t="shared" si="0"/>
        <v>value_s[0,6]=13</v>
      </c>
      <c r="F30" s="1" t="s">
        <v>160</v>
      </c>
      <c r="G30" s="27">
        <v>13</v>
      </c>
    </row>
    <row r="31" spans="1:7" x14ac:dyDescent="0.2">
      <c r="A31" s="1" t="str">
        <f t="shared" si="0"/>
        <v>value_s[0,7]=15</v>
      </c>
      <c r="F31" s="1" t="s">
        <v>161</v>
      </c>
      <c r="G31" s="27">
        <v>15</v>
      </c>
    </row>
    <row r="32" spans="1:7" x14ac:dyDescent="0.2">
      <c r="A32" s="1" t="str">
        <f t="shared" si="0"/>
        <v>value_s[0,8]=17</v>
      </c>
      <c r="F32" s="1" t="s">
        <v>162</v>
      </c>
      <c r="G32" s="27">
        <v>17</v>
      </c>
    </row>
    <row r="33" spans="1:30" x14ac:dyDescent="0.2">
      <c r="A33" s="1" t="str">
        <f t="shared" si="0"/>
        <v>value_s[0,9]=19</v>
      </c>
      <c r="F33" s="1" t="s">
        <v>163</v>
      </c>
      <c r="G33" s="27">
        <v>19</v>
      </c>
    </row>
    <row r="34" spans="1:30" x14ac:dyDescent="0.2">
      <c r="A34" s="1" t="str">
        <f t="shared" si="0"/>
        <v>value_s[0,10]=21</v>
      </c>
      <c r="F34" s="1" t="s">
        <v>164</v>
      </c>
      <c r="G34" s="27">
        <v>21</v>
      </c>
    </row>
    <row r="35" spans="1:30" x14ac:dyDescent="0.2">
      <c r="A35" s="1" t="str">
        <f t="shared" si="0"/>
        <v>value_s[0,11]=23</v>
      </c>
      <c r="F35" s="1" t="s">
        <v>165</v>
      </c>
      <c r="G35" s="27">
        <v>23</v>
      </c>
    </row>
    <row r="36" spans="1:30" x14ac:dyDescent="0.2">
      <c r="A36" s="1" t="str">
        <f t="shared" si="0"/>
        <v>value_s[0,12]=25</v>
      </c>
      <c r="F36" s="1" t="s">
        <v>166</v>
      </c>
      <c r="G36" s="27">
        <v>25</v>
      </c>
    </row>
    <row r="37" spans="1:30" x14ac:dyDescent="0.2">
      <c r="A37" s="1" t="str">
        <f t="shared" si="0"/>
        <v>value_s[0,13]=27</v>
      </c>
      <c r="F37" s="1" t="s">
        <v>167</v>
      </c>
      <c r="G37" s="27">
        <v>27</v>
      </c>
    </row>
    <row r="38" spans="1:30" x14ac:dyDescent="0.2">
      <c r="A38" s="1" t="str">
        <f t="shared" si="0"/>
        <v>value_s[0,14]=29</v>
      </c>
      <c r="F38" s="1" t="s">
        <v>168</v>
      </c>
      <c r="G38" s="27">
        <v>29</v>
      </c>
    </row>
    <row r="39" spans="1:30" x14ac:dyDescent="0.2">
      <c r="A39" s="1" t="str">
        <f t="shared" si="0"/>
        <v>value_s[0,15]=31</v>
      </c>
      <c r="F39" s="1" t="s">
        <v>169</v>
      </c>
      <c r="G39" s="27">
        <v>31</v>
      </c>
    </row>
    <row r="40" spans="1:30" x14ac:dyDescent="0.2">
      <c r="A40" s="1" t="str">
        <f t="shared" si="0"/>
        <v>value_s[0,16]=33</v>
      </c>
      <c r="F40" s="1" t="s">
        <v>170</v>
      </c>
      <c r="G40" s="27">
        <v>33</v>
      </c>
    </row>
    <row r="41" spans="1:30" x14ac:dyDescent="0.2">
      <c r="A41" s="1" t="str">
        <f t="shared" si="0"/>
        <v>value_s[0,17]=35</v>
      </c>
      <c r="F41" s="1" t="s">
        <v>171</v>
      </c>
      <c r="G41" s="27">
        <v>35</v>
      </c>
    </row>
    <row r="42" spans="1:30" x14ac:dyDescent="0.2">
      <c r="A42" s="1" t="str">
        <f t="shared" si="0"/>
        <v>value_s[0,18]=37</v>
      </c>
      <c r="F42" s="1" t="s">
        <v>172</v>
      </c>
      <c r="G42" s="27">
        <v>37</v>
      </c>
    </row>
    <row r="43" spans="1:30" x14ac:dyDescent="0.2">
      <c r="A43" s="1" t="str">
        <f t="shared" si="0"/>
        <v>value_s[0,19]=39</v>
      </c>
      <c r="F43" s="1" t="s">
        <v>173</v>
      </c>
      <c r="G43" s="27">
        <v>39</v>
      </c>
      <c r="H43" s="24"/>
      <c r="I43" s="24"/>
      <c r="J43" s="24"/>
      <c r="K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</row>
    <row r="44" spans="1:30" x14ac:dyDescent="0.2">
      <c r="A44" s="1" t="str">
        <f t="shared" si="0"/>
        <v>value_s[0,20]=41</v>
      </c>
      <c r="F44" s="1" t="s">
        <v>174</v>
      </c>
      <c r="G44" s="27">
        <v>41</v>
      </c>
    </row>
    <row r="45" spans="1:30" x14ac:dyDescent="0.2">
      <c r="A45" s="1" t="str">
        <f t="shared" si="0"/>
        <v>value_s[0,21]=43</v>
      </c>
      <c r="F45" s="1" t="s">
        <v>175</v>
      </c>
      <c r="G45" s="27">
        <v>43</v>
      </c>
    </row>
    <row r="46" spans="1:30" x14ac:dyDescent="0.2">
      <c r="A46" s="1" t="str">
        <f t="shared" si="0"/>
        <v>value_s[0,22]=45</v>
      </c>
      <c r="F46" s="1" t="s">
        <v>176</v>
      </c>
      <c r="G46" s="27">
        <v>45</v>
      </c>
    </row>
    <row r="47" spans="1:30" x14ac:dyDescent="0.2">
      <c r="A47" s="1" t="str">
        <f t="shared" si="0"/>
        <v>value_s[0,23]=47</v>
      </c>
      <c r="F47" s="1" t="s">
        <v>177</v>
      </c>
      <c r="G47" s="27">
        <v>47</v>
      </c>
    </row>
    <row r="48" spans="1:30" x14ac:dyDescent="0.2">
      <c r="A48" s="1" t="str">
        <f t="shared" si="0"/>
        <v>value_s[0,24]=49</v>
      </c>
      <c r="F48" s="1" t="s">
        <v>178</v>
      </c>
      <c r="G48" s="27">
        <v>49</v>
      </c>
    </row>
    <row r="49" spans="1:7" x14ac:dyDescent="0.2">
      <c r="A49" s="1" t="str">
        <f t="shared" si="0"/>
        <v>value_s[0,25]=51</v>
      </c>
      <c r="F49" s="1" t="s">
        <v>179</v>
      </c>
      <c r="G49" s="27">
        <v>51</v>
      </c>
    </row>
    <row r="50" spans="1:7" x14ac:dyDescent="0.2">
      <c r="A50" s="1" t="str">
        <f t="shared" si="0"/>
        <v>value_s[0,26]=53</v>
      </c>
      <c r="F50" s="1" t="s">
        <v>180</v>
      </c>
      <c r="G50" s="27">
        <v>53</v>
      </c>
    </row>
    <row r="51" spans="1:7" x14ac:dyDescent="0.2">
      <c r="A51" s="1" t="str">
        <f t="shared" si="0"/>
        <v>value_s[0,27]=55</v>
      </c>
      <c r="F51" s="1" t="s">
        <v>181</v>
      </c>
      <c r="G51" s="27">
        <v>55</v>
      </c>
    </row>
    <row r="52" spans="1:7" x14ac:dyDescent="0.2">
      <c r="A52" s="1" t="str">
        <f t="shared" si="0"/>
        <v>value_s[0,28]=57</v>
      </c>
      <c r="F52" s="1" t="s">
        <v>182</v>
      </c>
      <c r="G52" s="27">
        <v>57</v>
      </c>
    </row>
    <row r="53" spans="1:7" x14ac:dyDescent="0.2">
      <c r="A53" s="1" t="str">
        <f t="shared" si="0"/>
        <v>value_s[0,29]=59</v>
      </c>
      <c r="F53" s="1" t="s">
        <v>183</v>
      </c>
      <c r="G53" s="27">
        <v>59</v>
      </c>
    </row>
    <row r="54" spans="1:7" x14ac:dyDescent="0.2">
      <c r="A54" s="1" t="str">
        <f t="shared" si="0"/>
        <v>value_s[0,30]=61</v>
      </c>
      <c r="F54" s="1" t="s">
        <v>184</v>
      </c>
      <c r="G54" s="27">
        <v>61</v>
      </c>
    </row>
    <row r="55" spans="1:7" x14ac:dyDescent="0.2">
      <c r="A55" s="1" t="str">
        <f t="shared" si="0"/>
        <v>value_s[0,31]=63</v>
      </c>
      <c r="F55" s="1" t="s">
        <v>185</v>
      </c>
      <c r="G55" s="27">
        <v>63</v>
      </c>
    </row>
    <row r="56" spans="1:7" x14ac:dyDescent="0.2">
      <c r="A56" s="1" t="str">
        <f t="shared" si="0"/>
        <v>value_s[0,32]=65</v>
      </c>
      <c r="F56" s="1" t="s">
        <v>186</v>
      </c>
      <c r="G56" s="27">
        <v>65</v>
      </c>
    </row>
    <row r="57" spans="1:7" x14ac:dyDescent="0.2">
      <c r="A57" s="1" t="str">
        <f t="shared" si="0"/>
        <v>value_s[0,33]=67</v>
      </c>
      <c r="F57" s="1" t="s">
        <v>187</v>
      </c>
      <c r="G57" s="27">
        <v>67</v>
      </c>
    </row>
    <row r="58" spans="1:7" x14ac:dyDescent="0.2">
      <c r="A58" s="1" t="str">
        <f t="shared" si="0"/>
        <v>value_s[0,34]=69</v>
      </c>
      <c r="F58" s="1" t="s">
        <v>188</v>
      </c>
      <c r="G58" s="27">
        <v>69</v>
      </c>
    </row>
    <row r="59" spans="1:7" x14ac:dyDescent="0.2">
      <c r="A59" s="1" t="str">
        <f t="shared" si="0"/>
        <v>value_s[0,35]=71</v>
      </c>
      <c r="F59" s="1" t="s">
        <v>189</v>
      </c>
      <c r="G59" s="27">
        <v>71</v>
      </c>
    </row>
    <row r="60" spans="1:7" x14ac:dyDescent="0.2">
      <c r="A60" s="1" t="str">
        <f t="shared" si="0"/>
        <v>value_s[0,36]=73</v>
      </c>
      <c r="F60" s="1" t="s">
        <v>190</v>
      </c>
      <c r="G60" s="27">
        <v>73</v>
      </c>
    </row>
    <row r="61" spans="1:7" x14ac:dyDescent="0.2">
      <c r="A61" s="1" t="str">
        <f t="shared" si="0"/>
        <v>value_s[0,37]=75</v>
      </c>
      <c r="F61" s="1" t="s">
        <v>191</v>
      </c>
      <c r="G61" s="27">
        <v>75</v>
      </c>
    </row>
    <row r="62" spans="1:7" x14ac:dyDescent="0.2">
      <c r="A62" s="1" t="str">
        <f t="shared" si="0"/>
        <v>value_s[0,38]=77</v>
      </c>
      <c r="F62" s="1" t="s">
        <v>192</v>
      </c>
      <c r="G62" s="27">
        <v>77</v>
      </c>
    </row>
    <row r="63" spans="1:7" x14ac:dyDescent="0.2">
      <c r="A63" s="1" t="str">
        <f t="shared" si="0"/>
        <v>value_s[0,39]=79</v>
      </c>
      <c r="F63" s="1" t="s">
        <v>193</v>
      </c>
      <c r="G63" s="27">
        <v>79</v>
      </c>
    </row>
    <row r="64" spans="1:7" x14ac:dyDescent="0.2">
      <c r="A64" s="1" t="str">
        <f t="shared" si="0"/>
        <v>value_s[0,40]=81</v>
      </c>
      <c r="F64" s="1" t="s">
        <v>194</v>
      </c>
      <c r="G64" s="27">
        <v>81</v>
      </c>
    </row>
    <row r="65" spans="1:7" x14ac:dyDescent="0.2">
      <c r="A65" s="1" t="str">
        <f t="shared" si="0"/>
        <v>value_s[0,41]=83</v>
      </c>
      <c r="F65" s="1" t="s">
        <v>195</v>
      </c>
      <c r="G65" s="27">
        <v>83</v>
      </c>
    </row>
    <row r="66" spans="1:7" x14ac:dyDescent="0.2">
      <c r="A66" s="1" t="str">
        <f t="shared" si="0"/>
        <v>value_s[0,42]=85</v>
      </c>
      <c r="F66" s="1" t="s">
        <v>196</v>
      </c>
      <c r="G66" s="27">
        <v>85</v>
      </c>
    </row>
    <row r="67" spans="1:7" x14ac:dyDescent="0.2">
      <c r="A67" s="1" t="str">
        <f t="shared" si="0"/>
        <v>value_s[0,43]=87</v>
      </c>
      <c r="F67" s="1" t="s">
        <v>197</v>
      </c>
      <c r="G67" s="27">
        <v>87</v>
      </c>
    </row>
    <row r="68" spans="1:7" x14ac:dyDescent="0.2">
      <c r="A68" s="1" t="str">
        <f t="shared" si="0"/>
        <v>value_s[0,44]=89</v>
      </c>
      <c r="F68" s="1" t="s">
        <v>198</v>
      </c>
      <c r="G68" s="27">
        <v>89</v>
      </c>
    </row>
    <row r="69" spans="1:7" x14ac:dyDescent="0.2">
      <c r="A69" s="1" t="str">
        <f t="shared" si="0"/>
        <v>value_s[0,45]=91</v>
      </c>
      <c r="F69" s="1" t="s">
        <v>199</v>
      </c>
      <c r="G69" s="27">
        <v>91</v>
      </c>
    </row>
    <row r="70" spans="1:7" x14ac:dyDescent="0.2">
      <c r="A70" s="1" t="str">
        <f t="shared" si="0"/>
        <v>value_s[0,46]=93</v>
      </c>
      <c r="F70" s="1" t="s">
        <v>200</v>
      </c>
      <c r="G70" s="27">
        <v>93</v>
      </c>
    </row>
    <row r="71" spans="1:7" x14ac:dyDescent="0.2">
      <c r="A71" s="1" t="str">
        <f t="shared" si="0"/>
        <v>value_s[0,47]=95</v>
      </c>
      <c r="F71" s="1" t="s">
        <v>201</v>
      </c>
      <c r="G71" s="27">
        <v>95</v>
      </c>
    </row>
    <row r="72" spans="1:7" x14ac:dyDescent="0.2">
      <c r="A72" s="1" t="str">
        <f t="shared" si="0"/>
        <v>value_s[0,48]=97</v>
      </c>
      <c r="F72" s="1" t="s">
        <v>202</v>
      </c>
      <c r="G72" s="27">
        <v>97</v>
      </c>
    </row>
    <row r="73" spans="1:7" x14ac:dyDescent="0.2">
      <c r="A73" s="1" t="str">
        <f t="shared" si="0"/>
        <v>value_s[0,49]=99</v>
      </c>
      <c r="F73" s="1" t="s">
        <v>203</v>
      </c>
      <c r="G73" s="27">
        <v>99</v>
      </c>
    </row>
    <row r="74" spans="1:7" x14ac:dyDescent="0.2">
      <c r="A74" s="1" t="str">
        <f t="shared" ref="A74:A123" si="1">CONCATENATE(F74,"=",G74)</f>
        <v>value_s[1,0]=0</v>
      </c>
      <c r="F74" s="1" t="s">
        <v>154</v>
      </c>
      <c r="G74" s="27">
        <f>invoer!C5</f>
        <v>0</v>
      </c>
    </row>
    <row r="75" spans="1:7" x14ac:dyDescent="0.2">
      <c r="A75" s="1" t="str">
        <f t="shared" si="1"/>
        <v>value_s[1,1]=0</v>
      </c>
      <c r="F75" s="1" t="s">
        <v>155</v>
      </c>
      <c r="G75" s="27">
        <f>invoer!C6</f>
        <v>0</v>
      </c>
    </row>
    <row r="76" spans="1:7" x14ac:dyDescent="0.2">
      <c r="A76" s="1" t="str">
        <f t="shared" si="1"/>
        <v>value_s[1,2]=50.8484848484849</v>
      </c>
      <c r="F76" s="1" t="s">
        <v>204</v>
      </c>
      <c r="G76" s="27">
        <f>invoer!C7</f>
        <v>50.848484848484851</v>
      </c>
    </row>
    <row r="77" spans="1:7" x14ac:dyDescent="0.2">
      <c r="A77" s="1" t="str">
        <f t="shared" si="1"/>
        <v>value_s[1,3]=22.969696969697</v>
      </c>
      <c r="F77" s="1" t="s">
        <v>205</v>
      </c>
      <c r="G77" s="27">
        <f>invoer!C8</f>
        <v>22.969696969696969</v>
      </c>
    </row>
    <row r="78" spans="1:7" x14ac:dyDescent="0.2">
      <c r="A78" s="1" t="str">
        <f t="shared" si="1"/>
        <v>value_s[1,4]=10.6060606060606</v>
      </c>
      <c r="F78" s="1" t="s">
        <v>206</v>
      </c>
      <c r="G78" s="27">
        <f>invoer!C9</f>
        <v>10.606060606060606</v>
      </c>
    </row>
    <row r="79" spans="1:7" x14ac:dyDescent="0.2">
      <c r="A79" s="1" t="str">
        <f t="shared" si="1"/>
        <v>value_s[1,5]=4.18181818181818</v>
      </c>
      <c r="F79" s="1" t="s">
        <v>207</v>
      </c>
      <c r="G79" s="27">
        <f>invoer!C10</f>
        <v>4.1818181818181817</v>
      </c>
    </row>
    <row r="80" spans="1:7" x14ac:dyDescent="0.2">
      <c r="A80" s="1" t="str">
        <f t="shared" si="1"/>
        <v>value_s[1,6]=2.48484848484848</v>
      </c>
      <c r="F80" s="1" t="s">
        <v>208</v>
      </c>
      <c r="G80" s="27">
        <f>invoer!C11</f>
        <v>2.4848484848484849</v>
      </c>
    </row>
    <row r="81" spans="1:7" x14ac:dyDescent="0.2">
      <c r="A81" s="1" t="str">
        <f t="shared" si="1"/>
        <v>value_s[1,7]=2.42424242424242</v>
      </c>
      <c r="F81" s="1" t="s">
        <v>209</v>
      </c>
      <c r="G81" s="27">
        <f>invoer!C12</f>
        <v>2.4242424242424243</v>
      </c>
    </row>
    <row r="82" spans="1:7" x14ac:dyDescent="0.2">
      <c r="A82" s="1" t="str">
        <f t="shared" si="1"/>
        <v>value_s[1,8]=1.33333333333333</v>
      </c>
      <c r="F82" s="1" t="s">
        <v>210</v>
      </c>
      <c r="G82" s="27">
        <f>invoer!C13</f>
        <v>1.3333333333333335</v>
      </c>
    </row>
    <row r="83" spans="1:7" x14ac:dyDescent="0.2">
      <c r="A83" s="1" t="str">
        <f t="shared" si="1"/>
        <v>value_s[1,9]=1.21212121212121</v>
      </c>
      <c r="F83" s="1" t="s">
        <v>211</v>
      </c>
      <c r="G83" s="27">
        <f>invoer!C14</f>
        <v>1.2121212121212122</v>
      </c>
    </row>
    <row r="84" spans="1:7" x14ac:dyDescent="0.2">
      <c r="A84" s="1" t="str">
        <f t="shared" si="1"/>
        <v>value_s[1,10]=0.606060606060606</v>
      </c>
      <c r="F84" s="1" t="s">
        <v>248</v>
      </c>
      <c r="G84" s="27">
        <f>invoer!C15</f>
        <v>0.60606060606060608</v>
      </c>
    </row>
    <row r="85" spans="1:7" x14ac:dyDescent="0.2">
      <c r="A85" s="1" t="str">
        <f t="shared" si="1"/>
        <v>value_s[1,11]=1.03030303030303</v>
      </c>
      <c r="F85" s="1" t="s">
        <v>212</v>
      </c>
      <c r="G85" s="27">
        <f>invoer!C16</f>
        <v>1.0303030303030303</v>
      </c>
    </row>
    <row r="86" spans="1:7" x14ac:dyDescent="0.2">
      <c r="A86" s="1" t="str">
        <f t="shared" si="1"/>
        <v>value_s[1,12]=0.606060606060606</v>
      </c>
      <c r="F86" s="1" t="s">
        <v>213</v>
      </c>
      <c r="G86" s="27">
        <f>invoer!C17</f>
        <v>0.60606060606060608</v>
      </c>
    </row>
    <row r="87" spans="1:7" x14ac:dyDescent="0.2">
      <c r="A87" s="1" t="str">
        <f t="shared" si="1"/>
        <v>value_s[1,13]=0.242424242424242</v>
      </c>
      <c r="F87" s="1" t="s">
        <v>214</v>
      </c>
      <c r="G87" s="27">
        <f>invoer!C18</f>
        <v>0.24242424242424243</v>
      </c>
    </row>
    <row r="88" spans="1:7" x14ac:dyDescent="0.2">
      <c r="A88" s="1" t="str">
        <f t="shared" si="1"/>
        <v>value_s[1,14]=0.424242424242424</v>
      </c>
      <c r="F88" s="1" t="s">
        <v>215</v>
      </c>
      <c r="G88" s="27">
        <f>invoer!C19</f>
        <v>0.42424242424242431</v>
      </c>
    </row>
    <row r="89" spans="1:7" x14ac:dyDescent="0.2">
      <c r="A89" s="1" t="str">
        <f t="shared" si="1"/>
        <v>value_s[1,15]=0.303030303030303</v>
      </c>
      <c r="F89" s="1" t="s">
        <v>216</v>
      </c>
      <c r="G89" s="27">
        <f>invoer!C20</f>
        <v>0.30303030303030304</v>
      </c>
    </row>
    <row r="90" spans="1:7" x14ac:dyDescent="0.2">
      <c r="A90" s="1" t="str">
        <f t="shared" si="1"/>
        <v>value_s[1,16]=0.181818181818182</v>
      </c>
      <c r="F90" s="1" t="s">
        <v>217</v>
      </c>
      <c r="G90" s="27">
        <f>invoer!C21</f>
        <v>0.18181818181818182</v>
      </c>
    </row>
    <row r="91" spans="1:7" x14ac:dyDescent="0.2">
      <c r="A91" s="1" t="str">
        <f t="shared" si="1"/>
        <v>value_s[1,17]=0.121212121212121</v>
      </c>
      <c r="F91" s="1" t="s">
        <v>218</v>
      </c>
      <c r="G91" s="27">
        <f>invoer!C22</f>
        <v>0.12121212121212122</v>
      </c>
    </row>
    <row r="92" spans="1:7" x14ac:dyDescent="0.2">
      <c r="A92" s="1" t="str">
        <f t="shared" si="1"/>
        <v>value_s[1,18]=0.181818181818182</v>
      </c>
      <c r="F92" s="1" t="s">
        <v>219</v>
      </c>
      <c r="G92" s="27">
        <f>invoer!C23</f>
        <v>0.18181818181818182</v>
      </c>
    </row>
    <row r="93" spans="1:7" x14ac:dyDescent="0.2">
      <c r="A93" s="1" t="str">
        <f t="shared" si="1"/>
        <v>value_s[1,19]=0.0606060606060606</v>
      </c>
      <c r="F93" s="1" t="s">
        <v>220</v>
      </c>
      <c r="G93" s="27">
        <f>invoer!C24</f>
        <v>6.0606060606060608E-2</v>
      </c>
    </row>
    <row r="94" spans="1:7" x14ac:dyDescent="0.2">
      <c r="A94" s="1" t="str">
        <f t="shared" si="1"/>
        <v>value_s[1,20]=0.0606060606060606</v>
      </c>
      <c r="F94" s="1" t="s">
        <v>249</v>
      </c>
      <c r="G94" s="27">
        <f>invoer!C25</f>
        <v>6.0606060606060608E-2</v>
      </c>
    </row>
    <row r="95" spans="1:7" x14ac:dyDescent="0.2">
      <c r="A95" s="1" t="str">
        <f t="shared" si="1"/>
        <v>value_s[1,21]=0.0606060606060606</v>
      </c>
      <c r="F95" s="1" t="s">
        <v>221</v>
      </c>
      <c r="G95" s="27">
        <f>invoer!C26</f>
        <v>6.0606060606060608E-2</v>
      </c>
    </row>
    <row r="96" spans="1:7" x14ac:dyDescent="0.2">
      <c r="A96" s="1" t="str">
        <f t="shared" si="1"/>
        <v>value_s[1,22]=0</v>
      </c>
      <c r="F96" s="1" t="s">
        <v>222</v>
      </c>
      <c r="G96" s="27">
        <f>invoer!C27</f>
        <v>0</v>
      </c>
    </row>
    <row r="97" spans="1:7" x14ac:dyDescent="0.2">
      <c r="A97" s="1" t="str">
        <f t="shared" si="1"/>
        <v>value_s[1,23]=0.0606060606060606</v>
      </c>
      <c r="F97" s="1" t="s">
        <v>223</v>
      </c>
      <c r="G97" s="27">
        <f>invoer!C28</f>
        <v>6.0606060606060608E-2</v>
      </c>
    </row>
    <row r="98" spans="1:7" x14ac:dyDescent="0.2">
      <c r="A98" s="1" t="str">
        <f t="shared" si="1"/>
        <v>value_s[1,24]=0</v>
      </c>
      <c r="F98" s="1" t="s">
        <v>224</v>
      </c>
      <c r="G98" s="27">
        <f>invoer!C29</f>
        <v>0</v>
      </c>
    </row>
    <row r="99" spans="1:7" x14ac:dyDescent="0.2">
      <c r="A99" s="1" t="str">
        <f t="shared" si="1"/>
        <v>value_s[1,25]=0</v>
      </c>
      <c r="F99" s="1" t="s">
        <v>225</v>
      </c>
      <c r="G99" s="27">
        <f>invoer!C30</f>
        <v>0</v>
      </c>
    </row>
    <row r="100" spans="1:7" x14ac:dyDescent="0.2">
      <c r="A100" s="1" t="str">
        <f t="shared" si="1"/>
        <v>value_s[1,26]=0</v>
      </c>
      <c r="F100" s="1" t="s">
        <v>226</v>
      </c>
      <c r="G100" s="27">
        <f>invoer!C31</f>
        <v>0</v>
      </c>
    </row>
    <row r="101" spans="1:7" x14ac:dyDescent="0.2">
      <c r="A101" s="1" t="str">
        <f t="shared" si="1"/>
        <v>value_s[1,27]=0</v>
      </c>
      <c r="F101" s="1" t="s">
        <v>227</v>
      </c>
      <c r="G101" s="27">
        <f>invoer!C32</f>
        <v>0</v>
      </c>
    </row>
    <row r="102" spans="1:7" x14ac:dyDescent="0.2">
      <c r="A102" s="1" t="str">
        <f t="shared" si="1"/>
        <v>value_s[1,28]=0</v>
      </c>
      <c r="F102" s="1" t="s">
        <v>228</v>
      </c>
      <c r="G102" s="27">
        <f>invoer!C33</f>
        <v>0</v>
      </c>
    </row>
    <row r="103" spans="1:7" x14ac:dyDescent="0.2">
      <c r="A103" s="1" t="str">
        <f t="shared" si="1"/>
        <v>value_s[1,29]=0</v>
      </c>
      <c r="F103" s="1" t="s">
        <v>229</v>
      </c>
      <c r="G103" s="27">
        <f>invoer!C34</f>
        <v>0</v>
      </c>
    </row>
    <row r="104" spans="1:7" x14ac:dyDescent="0.2">
      <c r="A104" s="1" t="str">
        <f t="shared" si="1"/>
        <v>value_s[1,30]=0</v>
      </c>
      <c r="F104" s="1" t="s">
        <v>250</v>
      </c>
      <c r="G104" s="27">
        <f>invoer!C35</f>
        <v>0</v>
      </c>
    </row>
    <row r="105" spans="1:7" x14ac:dyDescent="0.2">
      <c r="A105" s="1" t="str">
        <f t="shared" si="1"/>
        <v>value_s[1,31]=0</v>
      </c>
      <c r="F105" s="1" t="s">
        <v>230</v>
      </c>
      <c r="G105" s="27">
        <f>invoer!C36</f>
        <v>0</v>
      </c>
    </row>
    <row r="106" spans="1:7" x14ac:dyDescent="0.2">
      <c r="A106" s="1" t="str">
        <f t="shared" si="1"/>
        <v>value_s[1,32]=0</v>
      </c>
      <c r="F106" s="1" t="s">
        <v>231</v>
      </c>
      <c r="G106" s="27">
        <f>invoer!C37</f>
        <v>0</v>
      </c>
    </row>
    <row r="107" spans="1:7" x14ac:dyDescent="0.2">
      <c r="A107" s="1" t="str">
        <f t="shared" si="1"/>
        <v>value_s[1,33]=0</v>
      </c>
      <c r="F107" s="1" t="s">
        <v>232</v>
      </c>
      <c r="G107" s="27">
        <f>invoer!C38</f>
        <v>0</v>
      </c>
    </row>
    <row r="108" spans="1:7" x14ac:dyDescent="0.2">
      <c r="A108" s="1" t="str">
        <f t="shared" si="1"/>
        <v>value_s[1,34]=0</v>
      </c>
      <c r="F108" s="1" t="s">
        <v>233</v>
      </c>
      <c r="G108" s="27">
        <f>invoer!C39</f>
        <v>0</v>
      </c>
    </row>
    <row r="109" spans="1:7" x14ac:dyDescent="0.2">
      <c r="A109" s="1" t="str">
        <f t="shared" si="1"/>
        <v>value_s[1,35]=0</v>
      </c>
      <c r="F109" s="1" t="s">
        <v>234</v>
      </c>
      <c r="G109" s="27">
        <f>invoer!C40</f>
        <v>0</v>
      </c>
    </row>
    <row r="110" spans="1:7" x14ac:dyDescent="0.2">
      <c r="A110" s="1" t="str">
        <f t="shared" si="1"/>
        <v>value_s[1,36]=0</v>
      </c>
      <c r="F110" s="1" t="s">
        <v>235</v>
      </c>
      <c r="G110" s="27">
        <f>invoer!C41</f>
        <v>0</v>
      </c>
    </row>
    <row r="111" spans="1:7" x14ac:dyDescent="0.2">
      <c r="A111" s="1" t="str">
        <f t="shared" si="1"/>
        <v>value_s[1,37]=0</v>
      </c>
      <c r="F111" s="1" t="s">
        <v>236</v>
      </c>
      <c r="G111" s="27">
        <f>invoer!C42</f>
        <v>0</v>
      </c>
    </row>
    <row r="112" spans="1:7" x14ac:dyDescent="0.2">
      <c r="A112" s="1" t="str">
        <f t="shared" si="1"/>
        <v>value_s[1,38]=0</v>
      </c>
      <c r="F112" s="1" t="s">
        <v>237</v>
      </c>
      <c r="G112" s="27">
        <f>invoer!C43</f>
        <v>0</v>
      </c>
    </row>
    <row r="113" spans="1:7" x14ac:dyDescent="0.2">
      <c r="A113" s="1" t="str">
        <f t="shared" si="1"/>
        <v>value_s[1,39]=0</v>
      </c>
      <c r="F113" s="1" t="s">
        <v>238</v>
      </c>
      <c r="G113" s="27">
        <f>invoer!C44</f>
        <v>0</v>
      </c>
    </row>
    <row r="114" spans="1:7" x14ac:dyDescent="0.2">
      <c r="A114" s="1" t="str">
        <f t="shared" si="1"/>
        <v>value_s[1,40]=0</v>
      </c>
      <c r="F114" s="1" t="s">
        <v>251</v>
      </c>
      <c r="G114" s="27">
        <f>invoer!C45</f>
        <v>0</v>
      </c>
    </row>
    <row r="115" spans="1:7" x14ac:dyDescent="0.2">
      <c r="A115" s="1" t="str">
        <f t="shared" si="1"/>
        <v>value_s[1,41]=0</v>
      </c>
      <c r="F115" s="1" t="s">
        <v>239</v>
      </c>
      <c r="G115" s="27">
        <f>invoer!C46</f>
        <v>0</v>
      </c>
    </row>
    <row r="116" spans="1:7" x14ac:dyDescent="0.2">
      <c r="A116" s="1" t="str">
        <f t="shared" si="1"/>
        <v>value_s[1,42]=0</v>
      </c>
      <c r="F116" s="1" t="s">
        <v>240</v>
      </c>
      <c r="G116" s="27">
        <f>invoer!C47</f>
        <v>0</v>
      </c>
    </row>
    <row r="117" spans="1:7" x14ac:dyDescent="0.2">
      <c r="A117" s="1" t="str">
        <f t="shared" si="1"/>
        <v>value_s[1,43]=0</v>
      </c>
      <c r="F117" s="1" t="s">
        <v>241</v>
      </c>
      <c r="G117" s="27">
        <f>invoer!C48</f>
        <v>0</v>
      </c>
    </row>
    <row r="118" spans="1:7" x14ac:dyDescent="0.2">
      <c r="A118" s="1" t="str">
        <f t="shared" si="1"/>
        <v>value_s[1,44]=0</v>
      </c>
      <c r="F118" s="1" t="s">
        <v>242</v>
      </c>
      <c r="G118" s="27">
        <f>invoer!C49</f>
        <v>0</v>
      </c>
    </row>
    <row r="119" spans="1:7" x14ac:dyDescent="0.2">
      <c r="A119" s="1" t="str">
        <f t="shared" si="1"/>
        <v>value_s[1,45]=0</v>
      </c>
      <c r="F119" s="1" t="s">
        <v>243</v>
      </c>
      <c r="G119" s="27">
        <f>invoer!C50</f>
        <v>0</v>
      </c>
    </row>
    <row r="120" spans="1:7" x14ac:dyDescent="0.2">
      <c r="A120" s="1" t="str">
        <f t="shared" si="1"/>
        <v>value_s[1,46]=0</v>
      </c>
      <c r="F120" s="1" t="s">
        <v>244</v>
      </c>
      <c r="G120" s="27">
        <f>invoer!C51</f>
        <v>0</v>
      </c>
    </row>
    <row r="121" spans="1:7" x14ac:dyDescent="0.2">
      <c r="A121" s="1" t="str">
        <f t="shared" si="1"/>
        <v>value_s[1,47]=0</v>
      </c>
      <c r="F121" s="1" t="s">
        <v>245</v>
      </c>
      <c r="G121" s="27">
        <f>invoer!C52</f>
        <v>0</v>
      </c>
    </row>
    <row r="122" spans="1:7" x14ac:dyDescent="0.2">
      <c r="A122" s="1" t="str">
        <f t="shared" si="1"/>
        <v>value_s[1,48]=0</v>
      </c>
      <c r="F122" s="1" t="s">
        <v>246</v>
      </c>
      <c r="G122" s="27">
        <f>invoer!C53</f>
        <v>0</v>
      </c>
    </row>
    <row r="123" spans="1:7" x14ac:dyDescent="0.2">
      <c r="A123" s="1" t="str">
        <f t="shared" si="1"/>
        <v>value_s[1,49]=0</v>
      </c>
      <c r="F123" s="1" t="s">
        <v>247</v>
      </c>
      <c r="G123" s="27">
        <f>invoer!C54</f>
        <v>0</v>
      </c>
    </row>
    <row r="124" spans="1:7" x14ac:dyDescent="0.2">
      <c r="A124" s="23" t="s">
        <v>134</v>
      </c>
      <c r="G124" s="24"/>
    </row>
    <row r="125" spans="1:7" x14ac:dyDescent="0.2">
      <c r="A125" s="23" t="s">
        <v>80</v>
      </c>
      <c r="G125" s="24"/>
    </row>
    <row r="126" spans="1:7" x14ac:dyDescent="0.2">
      <c r="A126" t="s">
        <v>150</v>
      </c>
      <c r="G126" s="32" t="s">
        <v>149</v>
      </c>
    </row>
    <row r="127" spans="1:7" x14ac:dyDescent="0.2">
      <c r="A127" s="23" t="str">
        <f>CONCATENATE(F127,"=",G127)</f>
        <v>value_s=99.6427467345492</v>
      </c>
      <c r="F127" s="1" t="s">
        <v>136</v>
      </c>
      <c r="G127" s="30">
        <f>grafiek!B8</f>
        <v>99.642746734549249</v>
      </c>
    </row>
    <row r="128" spans="1:7" x14ac:dyDescent="0.2">
      <c r="A128" t="s">
        <v>148</v>
      </c>
      <c r="G128" s="29"/>
    </row>
    <row r="129" spans="1:7" x14ac:dyDescent="0.2">
      <c r="A129" s="23" t="str">
        <f>CONCATENATE(F129,"=",G129)</f>
        <v>value_s=0.421262345376595</v>
      </c>
      <c r="F129" s="1" t="s">
        <v>136</v>
      </c>
      <c r="G129" s="29">
        <f>grafiek!B7</f>
        <v>0.42126234537659513</v>
      </c>
    </row>
    <row r="130" spans="1:7" x14ac:dyDescent="0.2">
      <c r="A130" s="1" t="s">
        <v>139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blad1</vt:lpstr>
      <vt:lpstr>invoer</vt:lpstr>
      <vt:lpstr>Dispersion</vt:lpstr>
      <vt:lpstr>BoM</vt:lpstr>
      <vt:lpstr>grafiek</vt:lpstr>
      <vt:lpstr>Berekening</vt:lpstr>
      <vt:lpstr>Unilab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Graaf, Maurits van de</dc:creator>
  <cp:lastModifiedBy>Peter Schepens</cp:lastModifiedBy>
  <dcterms:created xsi:type="dcterms:W3CDTF">2015-02-23T07:35:03Z</dcterms:created>
  <dcterms:modified xsi:type="dcterms:W3CDTF">2024-04-04T13:08:46Z</dcterms:modified>
</cp:coreProperties>
</file>