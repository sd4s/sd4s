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apollotyres-my.sharepoint.com/personal/peter_schepens_apollotyres_com/Documents/AWS-ONTW/ATHENA/report-17-UNI00036R_Dispersion/"/>
    </mc:Choice>
  </mc:AlternateContent>
  <xr:revisionPtr revIDLastSave="188" documentId="11_C5437D6D66F5CDAF71DB69BA9523114AB4BFCF42" xr6:coauthVersionLast="47" xr6:coauthVersionMax="47" xr10:uidLastSave="{9E29480C-6CF8-4E80-9E93-E94622E54AAA}"/>
  <bookViews>
    <workbookView minimized="1" xWindow="29955" yWindow="10710" windowWidth="41700" windowHeight="10845" tabRatio="251" activeTab="3" xr2:uid="{00000000-000D-0000-FFFF-FFFF00000000}"/>
  </bookViews>
  <sheets>
    <sheet name="blad1" sheetId="2" r:id="rId1"/>
    <sheet name="invoer" sheetId="3" r:id="rId2"/>
    <sheet name="Dispersion" sheetId="1" r:id="rId3"/>
    <sheet name="BoM" sheetId="8" r:id="rId4"/>
    <sheet name="grafiek" sheetId="4" r:id="rId5"/>
    <sheet name="Berekening" sheetId="6" r:id="rId6"/>
    <sheet name="Unilab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6" i="8" l="1"/>
  <c r="U15" i="8"/>
  <c r="U14" i="8"/>
  <c r="U13" i="8"/>
  <c r="U12" i="8"/>
  <c r="U11" i="8"/>
  <c r="U10" i="8"/>
  <c r="U9" i="8"/>
  <c r="U8" i="8"/>
  <c r="T16" i="8"/>
  <c r="T15" i="8"/>
  <c r="T14" i="8"/>
  <c r="T13" i="8"/>
  <c r="T12" i="8"/>
  <c r="T11" i="8"/>
  <c r="T10" i="8"/>
  <c r="T9" i="8"/>
  <c r="T8" i="8"/>
  <c r="T7" i="8"/>
  <c r="T6" i="8"/>
  <c r="U6" i="8" s="1"/>
  <c r="U7" i="8" s="1"/>
  <c r="U5" i="8"/>
  <c r="T5" i="8"/>
  <c r="U4" i="8"/>
  <c r="S20" i="8"/>
  <c r="S19" i="8"/>
  <c r="S18" i="8"/>
  <c r="S17" i="8"/>
  <c r="S4" i="8"/>
  <c r="S5" i="8"/>
  <c r="S16" i="8"/>
  <c r="S15" i="8"/>
  <c r="S14" i="8"/>
  <c r="S13" i="8"/>
  <c r="S12" i="8"/>
  <c r="S11" i="8"/>
  <c r="S10" i="8"/>
  <c r="S9" i="8"/>
  <c r="S8" i="8"/>
  <c r="S7" i="8"/>
  <c r="S6" i="8"/>
  <c r="C24" i="6"/>
  <c r="B2" i="6"/>
  <c r="B4" i="4" l="1"/>
  <c r="B3" i="4" l="1"/>
  <c r="G2" i="7" s="1"/>
  <c r="A4" i="4"/>
  <c r="A3" i="4"/>
  <c r="B2" i="4"/>
  <c r="A2" i="4"/>
  <c r="A73" i="7" l="1"/>
  <c r="A66" i="7"/>
  <c r="A64" i="7"/>
  <c r="A58" i="7"/>
  <c r="A56" i="7"/>
  <c r="A50" i="7"/>
  <c r="A48" i="7"/>
  <c r="A42" i="7"/>
  <c r="A40" i="7"/>
  <c r="A34" i="7"/>
  <c r="A32" i="7"/>
  <c r="A30" i="7"/>
  <c r="A25" i="7"/>
  <c r="A26" i="7"/>
  <c r="A29" i="7"/>
  <c r="A33" i="7"/>
  <c r="A37" i="7"/>
  <c r="A38" i="7"/>
  <c r="A41" i="7"/>
  <c r="A45" i="7"/>
  <c r="A46" i="7"/>
  <c r="A49" i="7"/>
  <c r="A53" i="7"/>
  <c r="A54" i="7"/>
  <c r="A57" i="7"/>
  <c r="A61" i="7"/>
  <c r="A62" i="7"/>
  <c r="A65" i="7"/>
  <c r="A69" i="7"/>
  <c r="A71" i="7"/>
  <c r="A72" i="7"/>
  <c r="A70" i="7"/>
  <c r="A68" i="7"/>
  <c r="A67" i="7"/>
  <c r="A63" i="7"/>
  <c r="A60" i="7"/>
  <c r="A59" i="7"/>
  <c r="A55" i="7"/>
  <c r="A52" i="7"/>
  <c r="A51" i="7"/>
  <c r="A47" i="7"/>
  <c r="A44" i="7"/>
  <c r="A43" i="7"/>
  <c r="A39" i="7"/>
  <c r="A36" i="7"/>
  <c r="A35" i="7"/>
  <c r="A31" i="7"/>
  <c r="A28" i="7"/>
  <c r="A27" i="7"/>
  <c r="A2" i="7"/>
  <c r="G10" i="6"/>
  <c r="F10" i="6" s="1"/>
  <c r="G11" i="6"/>
  <c r="F11" i="6" s="1"/>
  <c r="B12" i="4"/>
  <c r="B13" i="4" s="1"/>
  <c r="B5" i="4"/>
  <c r="B14" i="4"/>
  <c r="C14" i="4"/>
  <c r="G109" i="4"/>
  <c r="A109" i="4"/>
  <c r="A188" i="4"/>
  <c r="B5" i="3"/>
  <c r="E5" i="3" s="1"/>
  <c r="B6" i="3"/>
  <c r="E6" i="3"/>
  <c r="B7" i="3"/>
  <c r="E7" i="3"/>
  <c r="F7" i="3"/>
  <c r="B8" i="3"/>
  <c r="E8" i="3" s="1"/>
  <c r="B9" i="3"/>
  <c r="E9" i="3"/>
  <c r="F9" i="3"/>
  <c r="B10" i="3"/>
  <c r="E10" i="3"/>
  <c r="B11" i="3"/>
  <c r="F11" i="3" s="1"/>
  <c r="B12" i="3"/>
  <c r="B13" i="3"/>
  <c r="F13" i="3" s="1"/>
  <c r="B14" i="3"/>
  <c r="E14" i="3" s="1"/>
  <c r="B15" i="3"/>
  <c r="F15" i="3" s="1"/>
  <c r="E15" i="3"/>
  <c r="B16" i="3"/>
  <c r="B17" i="3"/>
  <c r="F17" i="3" s="1"/>
  <c r="E17" i="3"/>
  <c r="B18" i="3"/>
  <c r="E18" i="3" s="1"/>
  <c r="B19" i="3"/>
  <c r="F19" i="3" s="1"/>
  <c r="B20" i="3"/>
  <c r="B21" i="3"/>
  <c r="F21" i="3" s="1"/>
  <c r="E21" i="3"/>
  <c r="B22" i="3"/>
  <c r="E22" i="3" s="1"/>
  <c r="B23" i="3"/>
  <c r="F23" i="3" s="1"/>
  <c r="E23" i="3"/>
  <c r="B24" i="3"/>
  <c r="B25" i="3"/>
  <c r="F25" i="3" s="1"/>
  <c r="E25" i="3"/>
  <c r="B26" i="3"/>
  <c r="E26" i="3"/>
  <c r="B27" i="3"/>
  <c r="E27" i="3" s="1"/>
  <c r="B28" i="3"/>
  <c r="B29" i="3"/>
  <c r="E29" i="3" s="1"/>
  <c r="B30" i="3"/>
  <c r="B31" i="3"/>
  <c r="E31" i="3" s="1"/>
  <c r="B32" i="3"/>
  <c r="B33" i="3"/>
  <c r="E33" i="3" s="1"/>
  <c r="B34" i="3"/>
  <c r="B35" i="3"/>
  <c r="E35" i="3" s="1"/>
  <c r="B36" i="3"/>
  <c r="B37" i="3"/>
  <c r="E37" i="3" s="1"/>
  <c r="B38" i="3"/>
  <c r="B39" i="3"/>
  <c r="E39" i="3" s="1"/>
  <c r="B40" i="3"/>
  <c r="B41" i="3"/>
  <c r="E41" i="3" s="1"/>
  <c r="B42" i="3"/>
  <c r="B43" i="3"/>
  <c r="E43" i="3" s="1"/>
  <c r="B44" i="3"/>
  <c r="F44" i="3" s="1"/>
  <c r="E44" i="3"/>
  <c r="B45" i="3"/>
  <c r="E45" i="3" s="1"/>
  <c r="B46" i="3"/>
  <c r="E46" i="3"/>
  <c r="B47" i="3"/>
  <c r="B48" i="3"/>
  <c r="B49" i="3"/>
  <c r="E49" i="3"/>
  <c r="B50" i="3"/>
  <c r="B51" i="3"/>
  <c r="B52" i="3"/>
  <c r="E52" i="3"/>
  <c r="B53" i="3"/>
  <c r="E53" i="3"/>
  <c r="B54" i="3"/>
  <c r="E54" i="3"/>
  <c r="A61" i="3"/>
  <c r="A24" i="7"/>
  <c r="E13" i="3" l="1"/>
  <c r="F45" i="3"/>
  <c r="E19" i="3"/>
  <c r="E11" i="3"/>
  <c r="F35" i="3"/>
  <c r="C4" i="4"/>
  <c r="F43" i="3"/>
  <c r="F41" i="3"/>
  <c r="F39" i="3"/>
  <c r="F37" i="3"/>
  <c r="F33" i="3"/>
  <c r="F31" i="3"/>
  <c r="F29" i="3"/>
  <c r="F27" i="3"/>
  <c r="F5" i="3"/>
  <c r="B55" i="3"/>
  <c r="C25" i="3" s="1"/>
  <c r="G94" i="7" s="1"/>
  <c r="A94" i="7" s="1"/>
  <c r="E50" i="3"/>
  <c r="E48" i="3"/>
  <c r="F54" i="3"/>
  <c r="F52" i="3"/>
  <c r="F50" i="3"/>
  <c r="F48" i="3"/>
  <c r="F46" i="3"/>
  <c r="F42" i="3"/>
  <c r="C40" i="3"/>
  <c r="F40" i="3"/>
  <c r="F38" i="3"/>
  <c r="F36" i="3"/>
  <c r="C35" i="3"/>
  <c r="F34" i="3"/>
  <c r="C32" i="3"/>
  <c r="F32" i="3"/>
  <c r="F30" i="3"/>
  <c r="F28" i="3"/>
  <c r="C27" i="3"/>
  <c r="F26" i="3"/>
  <c r="C7" i="3"/>
  <c r="C15" i="3"/>
  <c r="C23" i="3"/>
  <c r="E51" i="3"/>
  <c r="E47" i="3"/>
  <c r="F20" i="3"/>
  <c r="F12" i="3"/>
  <c r="C22" i="3"/>
  <c r="F22" i="3"/>
  <c r="F18" i="3"/>
  <c r="C14" i="3"/>
  <c r="F14" i="3"/>
  <c r="F24" i="3"/>
  <c r="F16" i="3"/>
  <c r="F53" i="3"/>
  <c r="F51" i="3"/>
  <c r="F49" i="3"/>
  <c r="F47" i="3"/>
  <c r="E42" i="3"/>
  <c r="E40" i="3"/>
  <c r="E38" i="3"/>
  <c r="E36" i="3"/>
  <c r="E34" i="3"/>
  <c r="E32" i="3"/>
  <c r="E30" i="3"/>
  <c r="E28" i="3"/>
  <c r="E24" i="3"/>
  <c r="E20" i="3"/>
  <c r="E16" i="3"/>
  <c r="E12" i="3"/>
  <c r="C8" i="3"/>
  <c r="F10" i="3"/>
  <c r="F8" i="3"/>
  <c r="F6" i="3"/>
  <c r="A63" i="3"/>
  <c r="B8" i="4"/>
  <c r="C45" i="3" l="1"/>
  <c r="C24" i="3"/>
  <c r="C6" i="3"/>
  <c r="C20" i="3"/>
  <c r="G146" i="4" s="1"/>
  <c r="A146" i="4" s="1"/>
  <c r="C21" i="3"/>
  <c r="C13" i="3"/>
  <c r="C5" i="3"/>
  <c r="C30" i="3"/>
  <c r="G156" i="4" s="1"/>
  <c r="A156" i="4" s="1"/>
  <c r="C33" i="3"/>
  <c r="C38" i="3"/>
  <c r="C41" i="3"/>
  <c r="C50" i="3"/>
  <c r="C26" i="6"/>
  <c r="C10" i="3"/>
  <c r="C18" i="3"/>
  <c r="C19" i="3"/>
  <c r="G145" i="4" s="1"/>
  <c r="A145" i="4" s="1"/>
  <c r="C11" i="3"/>
  <c r="C28" i="3"/>
  <c r="C31" i="3"/>
  <c r="C36" i="3"/>
  <c r="G162" i="4" s="1"/>
  <c r="A162" i="4" s="1"/>
  <c r="C39" i="3"/>
  <c r="C44" i="3"/>
  <c r="G151" i="4"/>
  <c r="A151" i="4" s="1"/>
  <c r="C49" i="3"/>
  <c r="G118" i="7" s="1"/>
  <c r="A118" i="7" s="1"/>
  <c r="C43" i="3"/>
  <c r="C46" i="3"/>
  <c r="C16" i="3"/>
  <c r="C12" i="3"/>
  <c r="G81" i="7" s="1"/>
  <c r="A81" i="7" s="1"/>
  <c r="C17" i="3"/>
  <c r="C9" i="3"/>
  <c r="C26" i="3"/>
  <c r="C29" i="3"/>
  <c r="G98" i="7" s="1"/>
  <c r="A98" i="7" s="1"/>
  <c r="C34" i="3"/>
  <c r="C37" i="3"/>
  <c r="C42" i="3"/>
  <c r="C53" i="3"/>
  <c r="G122" i="7" s="1"/>
  <c r="A122" i="7" s="1"/>
  <c r="C47" i="3"/>
  <c r="G116" i="7" s="1"/>
  <c r="A116" i="7" s="1"/>
  <c r="C48" i="3"/>
  <c r="G117" i="7" s="1"/>
  <c r="A117" i="7" s="1"/>
  <c r="G174" i="4"/>
  <c r="A174" i="4" s="1"/>
  <c r="G179" i="4"/>
  <c r="A179" i="4" s="1"/>
  <c r="G173" i="4"/>
  <c r="A173" i="4" s="1"/>
  <c r="C52" i="3"/>
  <c r="C51" i="3"/>
  <c r="G175" i="4"/>
  <c r="A175" i="4" s="1"/>
  <c r="C54" i="3"/>
  <c r="C28" i="6"/>
  <c r="C13" i="4" s="1"/>
  <c r="C8" i="4" s="1"/>
  <c r="C12" i="4"/>
  <c r="G87" i="7"/>
  <c r="A87" i="7" s="1"/>
  <c r="G144" i="4"/>
  <c r="A144" i="4" s="1"/>
  <c r="G80" i="7"/>
  <c r="A80" i="7" s="1"/>
  <c r="G137" i="4"/>
  <c r="A137" i="4" s="1"/>
  <c r="F57" i="3"/>
  <c r="G85" i="7"/>
  <c r="A85" i="7" s="1"/>
  <c r="G142" i="4"/>
  <c r="A142" i="4" s="1"/>
  <c r="G138" i="4"/>
  <c r="A138" i="4" s="1"/>
  <c r="G86" i="7"/>
  <c r="A86" i="7" s="1"/>
  <c r="G143" i="4"/>
  <c r="A143" i="4" s="1"/>
  <c r="G135" i="4"/>
  <c r="A135" i="4" s="1"/>
  <c r="G78" i="7"/>
  <c r="A78" i="7" s="1"/>
  <c r="G95" i="7"/>
  <c r="A95" i="7" s="1"/>
  <c r="G152" i="4"/>
  <c r="A152" i="4" s="1"/>
  <c r="G155" i="4"/>
  <c r="A155" i="4" s="1"/>
  <c r="G103" i="7"/>
  <c r="A103" i="7" s="1"/>
  <c r="G160" i="4"/>
  <c r="A160" i="4" s="1"/>
  <c r="G106" i="7"/>
  <c r="A106" i="7" s="1"/>
  <c r="G163" i="4"/>
  <c r="A163" i="4" s="1"/>
  <c r="G111" i="7"/>
  <c r="A111" i="7" s="1"/>
  <c r="G168" i="4"/>
  <c r="A168" i="4" s="1"/>
  <c r="G79" i="7"/>
  <c r="A79" i="7" s="1"/>
  <c r="G136" i="4"/>
  <c r="A136" i="4" s="1"/>
  <c r="G97" i="7"/>
  <c r="A97" i="7" s="1"/>
  <c r="G154" i="4"/>
  <c r="A154" i="4" s="1"/>
  <c r="G77" i="7"/>
  <c r="A77" i="7" s="1"/>
  <c r="G134" i="4"/>
  <c r="A134" i="4" s="1"/>
  <c r="G83" i="7"/>
  <c r="A83" i="7" s="1"/>
  <c r="G140" i="4"/>
  <c r="A140" i="4" s="1"/>
  <c r="G91" i="7"/>
  <c r="A91" i="7" s="1"/>
  <c r="G148" i="4"/>
  <c r="A148" i="4" s="1"/>
  <c r="G92" i="7"/>
  <c r="A92" i="7" s="1"/>
  <c r="G149" i="4"/>
  <c r="A149" i="4" s="1"/>
  <c r="G84" i="7"/>
  <c r="A84" i="7" s="1"/>
  <c r="G141" i="4"/>
  <c r="A141" i="4" s="1"/>
  <c r="G133" i="4"/>
  <c r="A133" i="4" s="1"/>
  <c r="G76" i="7"/>
  <c r="A76" i="7" s="1"/>
  <c r="G96" i="7"/>
  <c r="A96" i="7" s="1"/>
  <c r="G153" i="4"/>
  <c r="A153" i="4" s="1"/>
  <c r="G101" i="7"/>
  <c r="A101" i="7" s="1"/>
  <c r="G158" i="4"/>
  <c r="A158" i="4" s="1"/>
  <c r="G104" i="7"/>
  <c r="A104" i="7" s="1"/>
  <c r="G161" i="4"/>
  <c r="A161" i="4" s="1"/>
  <c r="G109" i="7"/>
  <c r="A109" i="7" s="1"/>
  <c r="G166" i="4"/>
  <c r="A166" i="4" s="1"/>
  <c r="G112" i="7"/>
  <c r="A112" i="7" s="1"/>
  <c r="G169" i="4"/>
  <c r="A169" i="4" s="1"/>
  <c r="E57" i="3"/>
  <c r="G114" i="7"/>
  <c r="A114" i="7" s="1"/>
  <c r="G171" i="4"/>
  <c r="A171" i="4" s="1"/>
  <c r="G93" i="7"/>
  <c r="A93" i="7" s="1"/>
  <c r="G150" i="4"/>
  <c r="A150" i="4" s="1"/>
  <c r="G75" i="7"/>
  <c r="A75" i="7" s="1"/>
  <c r="G132" i="4"/>
  <c r="A132" i="4" s="1"/>
  <c r="G89" i="7"/>
  <c r="A89" i="7" s="1"/>
  <c r="G90" i="7"/>
  <c r="A90" i="7" s="1"/>
  <c r="G147" i="4"/>
  <c r="A147" i="4" s="1"/>
  <c r="G82" i="7"/>
  <c r="A82" i="7" s="1"/>
  <c r="G139" i="4"/>
  <c r="A139" i="4" s="1"/>
  <c r="G131" i="4"/>
  <c r="A131" i="4" s="1"/>
  <c r="G74" i="7"/>
  <c r="A74" i="7" s="1"/>
  <c r="G99" i="7"/>
  <c r="A99" i="7" s="1"/>
  <c r="G102" i="7"/>
  <c r="A102" i="7" s="1"/>
  <c r="G159" i="4"/>
  <c r="A159" i="4" s="1"/>
  <c r="G107" i="7"/>
  <c r="A107" i="7" s="1"/>
  <c r="G164" i="4"/>
  <c r="A164" i="4" s="1"/>
  <c r="G110" i="7"/>
  <c r="A110" i="7" s="1"/>
  <c r="G167" i="4"/>
  <c r="A167" i="4" s="1"/>
  <c r="G88" i="7"/>
  <c r="A88" i="7" s="1"/>
  <c r="G100" i="7"/>
  <c r="A100" i="7" s="1"/>
  <c r="G157" i="4"/>
  <c r="A157" i="4" s="1"/>
  <c r="G105" i="7"/>
  <c r="A105" i="7" s="1"/>
  <c r="G108" i="7"/>
  <c r="A108" i="7" s="1"/>
  <c r="G165" i="4"/>
  <c r="A165" i="4" s="1"/>
  <c r="G113" i="7"/>
  <c r="A113" i="7" s="1"/>
  <c r="G170" i="4"/>
  <c r="A170" i="4" s="1"/>
  <c r="G184" i="4"/>
  <c r="A184" i="4" s="1"/>
  <c r="G127" i="7"/>
  <c r="A127" i="7" s="1"/>
  <c r="G119" i="7" l="1"/>
  <c r="A119" i="7" s="1"/>
  <c r="G176" i="4"/>
  <c r="A176" i="4" s="1"/>
  <c r="G172" i="4"/>
  <c r="A172" i="4" s="1"/>
  <c r="G115" i="7"/>
  <c r="A115" i="7" s="1"/>
  <c r="G121" i="7"/>
  <c r="A121" i="7" s="1"/>
  <c r="G178" i="4"/>
  <c r="A178" i="4" s="1"/>
  <c r="G180" i="4"/>
  <c r="A180" i="4" s="1"/>
  <c r="G123" i="7"/>
  <c r="A123" i="7" s="1"/>
  <c r="G120" i="7"/>
  <c r="A120" i="7" s="1"/>
  <c r="G177" i="4"/>
  <c r="A177" i="4" s="1"/>
  <c r="F58" i="3"/>
  <c r="E58" i="3"/>
  <c r="G58" i="3" l="1"/>
  <c r="C7" i="4" s="1"/>
  <c r="B7" i="4" l="1"/>
  <c r="G129" i="7" s="1"/>
  <c r="A129" i="7" s="1"/>
  <c r="G186" i="4" l="1"/>
  <c r="A186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Schepens</author>
  </authors>
  <commentList>
    <comment ref="P2" authorId="0" shapeId="0" xr:uid="{5F7B1028-2FEE-41A9-A5D9-28EFA4CA80F5}">
      <text>
        <r>
          <rPr>
            <b/>
            <sz val="9"/>
            <color indexed="81"/>
            <rFont val="Tahoma"/>
            <family val="2"/>
          </rPr>
          <t>Peter Schepens:</t>
        </r>
        <r>
          <rPr>
            <sz val="9"/>
            <color indexed="81"/>
            <rFont val="Tahoma"/>
            <family val="2"/>
          </rPr>
          <t xml:space="preserve">
NUM_1 zit niet in MV_BOM_ITEM_COMP_HEADER</t>
        </r>
      </text>
    </comment>
    <comment ref="S3" authorId="0" shapeId="0" xr:uid="{FE1CD535-D36F-47CC-A6FE-42779DA90DE2}">
      <text>
        <r>
          <rPr>
            <b/>
            <sz val="9"/>
            <color indexed="81"/>
            <rFont val="Tahoma"/>
            <family val="2"/>
          </rPr>
          <t>Peter Schepens:</t>
        </r>
        <r>
          <rPr>
            <sz val="9"/>
            <color indexed="81"/>
            <rFont val="Tahoma"/>
            <family val="2"/>
          </rPr>
          <t xml:space="preserve">
component_volume:
b1.quantity / b1.num_1</t>
        </r>
      </text>
    </comment>
  </commentList>
</comments>
</file>

<file path=xl/sharedStrings.xml><?xml version="1.0" encoding="utf-8"?>
<sst xmlns="http://schemas.openxmlformats.org/spreadsheetml/2006/main" count="592" uniqueCount="380">
  <si>
    <t>eq diam.</t>
  </si>
  <si>
    <t>count</t>
  </si>
  <si>
    <t>perc. roet</t>
  </si>
  <si>
    <t>Di * ni</t>
  </si>
  <si>
    <t>Di^2*ni</t>
  </si>
  <si>
    <t xml:space="preserve"> </t>
  </si>
  <si>
    <t>sum</t>
  </si>
  <si>
    <t>U=</t>
  </si>
  <si>
    <t>Dk=</t>
  </si>
  <si>
    <t xml:space="preserve">      Bin</t>
  </si>
  <si>
    <t xml:space="preserve"> EquivDiam</t>
  </si>
  <si>
    <t xml:space="preserve">    Count</t>
  </si>
  <si>
    <t xml:space="preserve"> Field #</t>
  </si>
  <si>
    <t xml:space="preserve">        Area</t>
  </si>
  <si>
    <t xml:space="preserve">       Count</t>
  </si>
  <si>
    <t xml:space="preserve">       Area%</t>
  </si>
  <si>
    <t xml:space="preserve">         </t>
  </si>
  <si>
    <t xml:space="preserve">     (µm)</t>
  </si>
  <si>
    <t xml:space="preserve">   (%)</t>
  </si>
  <si>
    <t xml:space="preserve">Total       </t>
  </si>
  <si>
    <t xml:space="preserve">Mean        </t>
  </si>
  <si>
    <t xml:space="preserve">Std Dev     </t>
  </si>
  <si>
    <t xml:space="preserve">Std Error   </t>
  </si>
  <si>
    <t xml:space="preserve">Max         </t>
  </si>
  <si>
    <t xml:space="preserve">Min         </t>
  </si>
  <si>
    <t xml:space="preserve">2-s Range   </t>
  </si>
  <si>
    <t>Undersize Count:</t>
  </si>
  <si>
    <t>Total Count:</t>
  </si>
  <si>
    <t>Oversize Count:</t>
  </si>
  <si>
    <t xml:space="preserve">Total         </t>
  </si>
  <si>
    <t xml:space="preserve">Mean          </t>
  </si>
  <si>
    <t xml:space="preserve">Std Dev       </t>
  </si>
  <si>
    <t xml:space="preserve">Std Error     </t>
  </si>
  <si>
    <t xml:space="preserve">Max           </t>
  </si>
  <si>
    <t xml:space="preserve">Min           </t>
  </si>
  <si>
    <t xml:space="preserve">2-s Range     </t>
  </si>
  <si>
    <t xml:space="preserve">Median        </t>
  </si>
  <si>
    <t xml:space="preserve">Mode          </t>
  </si>
  <si>
    <t xml:space="preserve">Skewness      </t>
  </si>
  <si>
    <t xml:space="preserve">Kurtosis      </t>
  </si>
  <si>
    <t xml:space="preserve">Features      </t>
  </si>
  <si>
    <t xml:space="preserve">Spec. Area    </t>
  </si>
  <si>
    <t xml:space="preserve">Norm. Count   </t>
  </si>
  <si>
    <t>Date</t>
  </si>
  <si>
    <t>U =</t>
  </si>
  <si>
    <t>Dk =</t>
  </si>
  <si>
    <t>f</t>
  </si>
  <si>
    <t>Berekeningsfactor</t>
  </si>
  <si>
    <t>mengsel:</t>
  </si>
  <si>
    <t>kg. roet</t>
  </si>
  <si>
    <t>kg</t>
  </si>
  <si>
    <t>eindmengsel bevat</t>
  </si>
  <si>
    <t>kg voormengsel</t>
  </si>
  <si>
    <t>totaalgew.eindmengsel</t>
  </si>
  <si>
    <t>dichtheid eindmengsel</t>
  </si>
  <si>
    <t>kg/l</t>
  </si>
  <si>
    <t>dichtheid roet</t>
  </si>
  <si>
    <t>Fi=</t>
  </si>
  <si>
    <t>f=</t>
  </si>
  <si>
    <t>berekeningsfactor Dk</t>
  </si>
  <si>
    <t>Manual</t>
  </si>
  <si>
    <t>[BeginDefinition]</t>
  </si>
  <si>
    <t>Link data to green cells</t>
  </si>
  <si>
    <t>system=UNILAB_PRD</t>
  </si>
  <si>
    <t>_PRD = production, _64 = test</t>
  </si>
  <si>
    <t>[EndDefinition]</t>
  </si>
  <si>
    <t>[BeginTransaction]</t>
  </si>
  <si>
    <t>create_sc=N</t>
  </si>
  <si>
    <t>create_pg=N</t>
  </si>
  <si>
    <t>create_pa=N</t>
  </si>
  <si>
    <t>create_me=N</t>
  </si>
  <si>
    <t>[sc]</t>
  </si>
  <si>
    <t>sc=$scImportId</t>
  </si>
  <si>
    <t>[pg]</t>
  </si>
  <si>
    <t>pg=$pgImportId</t>
  </si>
  <si>
    <t>pgnode=$pgnodeImportId</t>
  </si>
  <si>
    <t>[pa]</t>
  </si>
  <si>
    <t>pa=$paImportId</t>
  </si>
  <si>
    <t>panode=$panodeImportId</t>
  </si>
  <si>
    <t>[me]</t>
  </si>
  <si>
    <t>me=$meImportId</t>
  </si>
  <si>
    <t>menode=$menodeImportId</t>
  </si>
  <si>
    <t>[cell table]</t>
  </si>
  <si>
    <t>cell=avXXXXX</t>
  </si>
  <si>
    <t>Value_s[0,1]</t>
  </si>
  <si>
    <t>Value_s[0,3]</t>
  </si>
  <si>
    <t>Value_s[0,5]</t>
  </si>
  <si>
    <t>Value_s[0,7]</t>
  </si>
  <si>
    <t>Value_s[0,9]</t>
  </si>
  <si>
    <t>Value_s[0,11]</t>
  </si>
  <si>
    <t>Value_s[0,13]</t>
  </si>
  <si>
    <t>Value_s[0,15]</t>
  </si>
  <si>
    <t>Value_s[0,17]</t>
  </si>
  <si>
    <t>Value_s[0,19]</t>
  </si>
  <si>
    <t>Value_s[0,21]</t>
  </si>
  <si>
    <t>Value_s[0,23]</t>
  </si>
  <si>
    <t>Value_s[0,25]</t>
  </si>
  <si>
    <t>Value_s[0,27]</t>
  </si>
  <si>
    <t>Value_s[0,29]</t>
  </si>
  <si>
    <t>Value_s[0,31]</t>
  </si>
  <si>
    <t>Value_s[0,33]</t>
  </si>
  <si>
    <t>Value_s[0,35]</t>
  </si>
  <si>
    <t>Value_s[0,37]</t>
  </si>
  <si>
    <t>Value_s[0,39]</t>
  </si>
  <si>
    <t>Value_s[0,41]</t>
  </si>
  <si>
    <t>Value_s[0,43]</t>
  </si>
  <si>
    <t>Value_s[0,45]</t>
  </si>
  <si>
    <t>Value_s[0,47]</t>
  </si>
  <si>
    <t>Value_s[0,49]</t>
  </si>
  <si>
    <t>Value_s[0,51]</t>
  </si>
  <si>
    <t>Value_s[0,53]</t>
  </si>
  <si>
    <t>Value_s[0,55]</t>
  </si>
  <si>
    <t>Value_s[0,57]</t>
  </si>
  <si>
    <t>Value_s[0,59]</t>
  </si>
  <si>
    <t>Value_s[0,61]</t>
  </si>
  <si>
    <t>Value_s[0,63]</t>
  </si>
  <si>
    <t>Value_s[0,65]</t>
  </si>
  <si>
    <t>Value_s[0,67]</t>
  </si>
  <si>
    <t>Value_s[0,69]</t>
  </si>
  <si>
    <t>Value_s[0,71]</t>
  </si>
  <si>
    <t>Value_s[0,73]</t>
  </si>
  <si>
    <t>Value_s[0,75]</t>
  </si>
  <si>
    <t>Value_s[0,77]</t>
  </si>
  <si>
    <t>Value_s[0,79]</t>
  </si>
  <si>
    <t>Value_s[0,81]</t>
  </si>
  <si>
    <t>Value_s[0,83]</t>
  </si>
  <si>
    <t>Value_s[0,85]</t>
  </si>
  <si>
    <t>Value_s[0,87]</t>
  </si>
  <si>
    <t>Value_s[0,89]</t>
  </si>
  <si>
    <t>Value_s[0,91]</t>
  </si>
  <si>
    <t>Value_s[0,93]</t>
  </si>
  <si>
    <t>Value_s[0,95]</t>
  </si>
  <si>
    <t>Value_s[0,97]</t>
  </si>
  <si>
    <t>Value_s[0,99]</t>
  </si>
  <si>
    <t>[cell]</t>
  </si>
  <si>
    <t>cell=XXXX</t>
  </si>
  <si>
    <t>value_s</t>
  </si>
  <si>
    <t>cell=YYYY</t>
  </si>
  <si>
    <t>cell=ZZZZ</t>
  </si>
  <si>
    <t>[EndTransaction]</t>
  </si>
  <si>
    <t>DK=</t>
  </si>
  <si>
    <t xml:space="preserve">voormengsel bevat </t>
  </si>
  <si>
    <t>totaalgewicht voormengsel</t>
  </si>
  <si>
    <t>tussen mengsel bevat</t>
  </si>
  <si>
    <t>tussenmengsel toegevoegd</t>
  </si>
  <si>
    <t>totaalgew.tussenmengsel</t>
  </si>
  <si>
    <t>dichtheid silica</t>
  </si>
  <si>
    <t>kg.silica</t>
  </si>
  <si>
    <t>cell=U</t>
  </si>
  <si>
    <t>Dk(%)</t>
  </si>
  <si>
    <t>cell=Dk</t>
  </si>
  <si>
    <t>cell=dispersion_table</t>
  </si>
  <si>
    <t>value_s[0,0]</t>
  </si>
  <si>
    <t>value_s[0,1]</t>
  </si>
  <si>
    <t>value_s[1,0]</t>
  </si>
  <si>
    <t>value_s[1,1]</t>
  </si>
  <si>
    <t>value_s[0,2]</t>
  </si>
  <si>
    <t>value_s[0,3]</t>
  </si>
  <si>
    <t>value_s[0,4]</t>
  </si>
  <si>
    <t>value_s[0,5]</t>
  </si>
  <si>
    <t>value_s[0,6]</t>
  </si>
  <si>
    <t>value_s[0,7]</t>
  </si>
  <si>
    <t>value_s[0,8]</t>
  </si>
  <si>
    <t>value_s[0,9]</t>
  </si>
  <si>
    <t>value_s[0,10]</t>
  </si>
  <si>
    <t>value_s[0,11]</t>
  </si>
  <si>
    <t>value_s[0,12]</t>
  </si>
  <si>
    <t>value_s[0,13]</t>
  </si>
  <si>
    <t>value_s[0,14]</t>
  </si>
  <si>
    <t>value_s[0,15]</t>
  </si>
  <si>
    <t>value_s[0,16]</t>
  </si>
  <si>
    <t>value_s[0,17]</t>
  </si>
  <si>
    <t>value_s[0,18]</t>
  </si>
  <si>
    <t>value_s[0,19]</t>
  </si>
  <si>
    <t>value_s[0,20]</t>
  </si>
  <si>
    <t>value_s[0,21]</t>
  </si>
  <si>
    <t>value_s[0,22]</t>
  </si>
  <si>
    <t>value_s[0,23]</t>
  </si>
  <si>
    <t>value_s[0,24]</t>
  </si>
  <si>
    <t>value_s[0,25]</t>
  </si>
  <si>
    <t>value_s[0,26]</t>
  </si>
  <si>
    <t>value_s[0,27]</t>
  </si>
  <si>
    <t>value_s[0,28]</t>
  </si>
  <si>
    <t>value_s[0,29]</t>
  </si>
  <si>
    <t>value_s[0,30]</t>
  </si>
  <si>
    <t>value_s[0,31]</t>
  </si>
  <si>
    <t>value_s[0,32]</t>
  </si>
  <si>
    <t>value_s[0,33]</t>
  </si>
  <si>
    <t>value_s[0,34]</t>
  </si>
  <si>
    <t>value_s[0,35]</t>
  </si>
  <si>
    <t>value_s[0,36]</t>
  </si>
  <si>
    <t>value_s[0,37]</t>
  </si>
  <si>
    <t>value_s[0,38]</t>
  </si>
  <si>
    <t>value_s[0,39]</t>
  </si>
  <si>
    <t>value_s[0,40]</t>
  </si>
  <si>
    <t>value_s[0,41]</t>
  </si>
  <si>
    <t>value_s[0,42]</t>
  </si>
  <si>
    <t>value_s[0,43]</t>
  </si>
  <si>
    <t>value_s[0,44]</t>
  </si>
  <si>
    <t>value_s[0,45]</t>
  </si>
  <si>
    <t>value_s[0,46]</t>
  </si>
  <si>
    <t>value_s[0,47]</t>
  </si>
  <si>
    <t>value_s[0,48]</t>
  </si>
  <si>
    <t>value_s[0,49]</t>
  </si>
  <si>
    <t>value_s[1,2]</t>
  </si>
  <si>
    <t>value_s[1,3]</t>
  </si>
  <si>
    <t>value_s[1,4]</t>
  </si>
  <si>
    <t>value_s[1,5]</t>
  </si>
  <si>
    <t>value_s[1,6]</t>
  </si>
  <si>
    <t>value_s[1,7]</t>
  </si>
  <si>
    <t>value_s[1,8]</t>
  </si>
  <si>
    <t>value_s[1,9]</t>
  </si>
  <si>
    <t>value_s[1,11]</t>
  </si>
  <si>
    <t>value_s[1,12]</t>
  </si>
  <si>
    <t>value_s[1,13]</t>
  </si>
  <si>
    <t>value_s[1,14]</t>
  </si>
  <si>
    <t>value_s[1,15]</t>
  </si>
  <si>
    <t>value_s[1,16]</t>
  </si>
  <si>
    <t>value_s[1,17]</t>
  </si>
  <si>
    <t>value_s[1,18]</t>
  </si>
  <si>
    <t>value_s[1,19]</t>
  </si>
  <si>
    <t>value_s[1,21]</t>
  </si>
  <si>
    <t>value_s[1,22]</t>
  </si>
  <si>
    <t>value_s[1,23]</t>
  </si>
  <si>
    <t>value_s[1,24]</t>
  </si>
  <si>
    <t>value_s[1,25]</t>
  </si>
  <si>
    <t>value_s[1,26]</t>
  </si>
  <si>
    <t>value_s[1,27]</t>
  </si>
  <si>
    <t>value_s[1,28]</t>
  </si>
  <si>
    <t>value_s[1,29]</t>
  </si>
  <si>
    <t>value_s[1,31]</t>
  </si>
  <si>
    <t>value_s[1,32]</t>
  </si>
  <si>
    <t>value_s[1,33]</t>
  </si>
  <si>
    <t>value_s[1,34]</t>
  </si>
  <si>
    <t>value_s[1,35]</t>
  </si>
  <si>
    <t>value_s[1,36]</t>
  </si>
  <si>
    <t>value_s[1,37]</t>
  </si>
  <si>
    <t>value_s[1,38]</t>
  </si>
  <si>
    <t>value_s[1,39]</t>
  </si>
  <si>
    <t>value_s[1,41]</t>
  </si>
  <si>
    <t>value_s[1,42]</t>
  </si>
  <si>
    <t>value_s[1,43]</t>
  </si>
  <si>
    <t>value_s[1,44]</t>
  </si>
  <si>
    <t>value_s[1,45]</t>
  </si>
  <si>
    <t>value_s[1,46]</t>
  </si>
  <si>
    <t>value_s[1,47]</t>
  </si>
  <si>
    <t>value_s[1,48]</t>
  </si>
  <si>
    <t>value_s[1,49]</t>
  </si>
  <si>
    <t>value_s[1,10]</t>
  </si>
  <si>
    <t>value_s[1,20]</t>
  </si>
  <si>
    <t>value_s[1,30]</t>
  </si>
  <si>
    <t>value_s[1,40]</t>
  </si>
  <si>
    <t>Compound</t>
  </si>
  <si>
    <t>Import ID</t>
  </si>
  <si>
    <t>Production date</t>
  </si>
  <si>
    <t>Fi</t>
  </si>
  <si>
    <t>EM_721</t>
  </si>
  <si>
    <t>24140330</t>
  </si>
  <si>
    <r>
      <t>User : Peter.Schepens</t>
    </r>
    <r>
      <rPr>
        <sz val="8"/>
        <color rgb="FF000000"/>
        <rFont val="ARIAL"/>
      </rPr>
      <t> ­ </t>
    </r>
    <r>
      <rPr>
        <sz val="8"/>
        <color rgb="FF000000"/>
        <rFont val="ARIAL"/>
      </rPr>
      <t>Report created : 04-04-2024</t>
    </r>
    <r>
      <rPr>
        <sz val="8"/>
        <color rgb="FF000000"/>
        <rFont val="ARIAL"/>
      </rPr>
      <t> ­ </t>
    </r>
    <r>
      <rPr>
        <sz val="8"/>
        <color rgb="FF000000"/>
        <rFont val="ARIAL"/>
      </rPr>
      <t xml:space="preserve">Data actualized : 04-04-2024 15:06    </t>
    </r>
    <r>
      <rPr>
        <sz val="8"/>
        <color rgb="FF000000"/>
        <rFont val="ARIAL"/>
      </rPr>
      <t> ­ </t>
    </r>
    <r>
      <rPr>
        <sz val="8"/>
        <color rgb="FF000000"/>
        <rFont val="ARIAL"/>
      </rPr>
      <t>Report name : UNI00036R_dispersion</t>
    </r>
    <r>
      <rPr>
        <sz val="8"/>
        <color rgb="FF000000"/>
        <rFont val="ARIAL"/>
      </rPr>
      <t> ­ </t>
    </r>
    <r>
      <rPr>
        <sz val="8"/>
        <color rgb="FF000000"/>
        <rFont val="ARIAL"/>
      </rPr>
      <t>Report owner : Benthem, H. van</t>
    </r>
    <r>
      <rPr>
        <sz val="8"/>
        <color rgb="FF000000"/>
        <rFont val="ARIAL"/>
      </rPr>
      <t> ­ </t>
    </r>
    <r>
      <rPr>
        <sz val="8"/>
        <color rgb="FF000000"/>
        <rFont val="ARIAL"/>
      </rPr>
      <t xml:space="preserve">Revision : 7f418736956d             </t>
    </r>
  </si>
  <si>
    <t>Component</t>
  </si>
  <si>
    <t>Description</t>
  </si>
  <si>
    <t>Vol%</t>
  </si>
  <si>
    <t>Alternative:          1 - Plant: ENS</t>
  </si>
  <si>
    <t>EM_521</t>
  </si>
  <si>
    <t>Yearly Compensated - Remill LRR Sidewall PCR</t>
  </si>
  <si>
    <t>    EM_421</t>
  </si>
  <si>
    <t>Yearly Compensated - MB LRR Sidewall PCR</t>
  </si>
  <si>
    <t>        GR_1151</t>
  </si>
  <si>
    <t>NR (TSR 20, mooney 80)</t>
  </si>
  <si>
    <t>        GR_1412</t>
  </si>
  <si>
    <t>Butadiene Rubber, high cis (Nd catalyst) easy processible</t>
  </si>
  <si>
    <t>        GR_2134</t>
  </si>
  <si>
    <t>N 339 Carbon Black</t>
  </si>
  <si>
    <t>        GR_3311</t>
  </si>
  <si>
    <t>TDAE (processing oil)</t>
  </si>
  <si>
    <t>        GR_4312</t>
  </si>
  <si>
    <t>Zinc oxyde  (indirect)</t>
  </si>
  <si>
    <t>        GR_4321</t>
  </si>
  <si>
    <t>Stearic Acid</t>
  </si>
  <si>
    <t>        GR_4611</t>
  </si>
  <si>
    <t>6PPD</t>
  </si>
  <si>
    <t>        GR_4711</t>
  </si>
  <si>
    <t>Anti ozone wax</t>
  </si>
  <si>
    <t>        GR_5111</t>
  </si>
  <si>
    <t>Tackifier (p-Octyl phenol formaldehyde resin)</t>
  </si>
  <si>
    <t>        GR_4651</t>
  </si>
  <si>
    <t>TMQ (Polymerized 2,2,4 tri methyl 1,2 di hydro quinoline)</t>
  </si>
  <si>
    <t>        GR_5112</t>
  </si>
  <si>
    <t>Koresin</t>
  </si>
  <si>
    <t>GR_4213</t>
  </si>
  <si>
    <t>CBS (N-Cyclohexyl-2-benzo thiazolesulfenamide)</t>
  </si>
  <si>
    <t>GR_4121</t>
  </si>
  <si>
    <t>Insoluble sulphur 20 % oil, High Dispersable</t>
  </si>
  <si>
    <t>GR_4244</t>
  </si>
  <si>
    <t>Vulcuren</t>
  </si>
  <si>
    <t>GR_4411</t>
  </si>
  <si>
    <t>PVI  (CTP,   N-(cyclohexylthio) phthalimide)</t>
  </si>
  <si>
    <r>
      <t>User : Peter.Schepens</t>
    </r>
    <r>
      <rPr>
        <sz val="8"/>
        <color rgb="FF000000"/>
        <rFont val="ARIAL"/>
      </rPr>
      <t> ­ </t>
    </r>
    <r>
      <rPr>
        <sz val="8"/>
        <color rgb="FF000000"/>
        <rFont val="ARIAL"/>
      </rPr>
      <t>Report created : 04-04-2024</t>
    </r>
    <r>
      <rPr>
        <sz val="8"/>
        <color rgb="FF000000"/>
        <rFont val="ARIAL"/>
      </rPr>
      <t> ­ </t>
    </r>
    <r>
      <rPr>
        <sz val="8"/>
        <color rgb="FF000000"/>
        <rFont val="ARIAL"/>
      </rPr>
      <t xml:space="preserve">Data actualized : 04-04-2024 15:06    </t>
    </r>
    <r>
      <rPr>
        <sz val="8"/>
        <color rgb="FF000000"/>
        <rFont val="ARIAL"/>
      </rPr>
      <t> ­ </t>
    </r>
    <r>
      <rPr>
        <sz val="8"/>
        <color rgb="FF000000"/>
        <rFont val="ARIAL"/>
      </rPr>
      <t>Report name : UNI00036R_dispersion</t>
    </r>
    <r>
      <rPr>
        <sz val="8"/>
        <color rgb="FF000000"/>
        <rFont val="ARIAL"/>
      </rPr>
      <t> ­ </t>
    </r>
    <r>
      <rPr>
        <sz val="8"/>
        <color rgb="FF000000"/>
        <rFont val="ARIAL"/>
      </rPr>
      <t>Report owner : Benthem, H. van</t>
    </r>
    <r>
      <rPr>
        <sz val="8"/>
        <color rgb="FF000000"/>
        <rFont val="ARIAL"/>
      </rPr>
      <t> ­ </t>
    </r>
    <r>
      <rPr>
        <sz val="8"/>
        <color rgb="FF000000"/>
        <rFont val="ARIAL"/>
      </rPr>
      <t xml:space="preserve">Revision : 7f418736956d             </t>
    </r>
  </si>
  <si>
    <t>ENS</t>
  </si>
  <si>
    <t>Top</t>
  </si>
  <si>
    <t>EM_421</t>
  </si>
  <si>
    <t>..2</t>
  </si>
  <si>
    <t>0000. 0010</t>
  </si>
  <si>
    <t xml:space="preserve"> 0010. 0010</t>
  </si>
  <si>
    <t>;</t>
  </si>
  <si>
    <t>Top / EM_521</t>
  </si>
  <si>
    <t>GR_1151</t>
  </si>
  <si>
    <t>....3</t>
  </si>
  <si>
    <t>0000. 0010. 0010</t>
  </si>
  <si>
    <t xml:space="preserve"> 0010. 0010. 0010</t>
  </si>
  <si>
    <t>;;</t>
  </si>
  <si>
    <t>Top / EM_521 / EM_421</t>
  </si>
  <si>
    <t>GR_1412</t>
  </si>
  <si>
    <t xml:space="preserve"> 0010. 0010. 0020</t>
  </si>
  <si>
    <t>GR_2134</t>
  </si>
  <si>
    <t xml:space="preserve"> 0010. 0010. 0030</t>
  </si>
  <si>
    <t>GR_3311</t>
  </si>
  <si>
    <t xml:space="preserve"> 0010. 0010. 0040</t>
  </si>
  <si>
    <t>GR_4312</t>
  </si>
  <si>
    <t xml:space="preserve"> 0010. 0010. 0050</t>
  </si>
  <si>
    <t>GR_4321</t>
  </si>
  <si>
    <t xml:space="preserve"> 0010. 0010. 0060</t>
  </si>
  <si>
    <t>GR_4611</t>
  </si>
  <si>
    <t xml:space="preserve"> 0010. 0010. 0070</t>
  </si>
  <si>
    <t>GR_4711</t>
  </si>
  <si>
    <t xml:space="preserve"> 0010. 0010. 0080</t>
  </si>
  <si>
    <t>GR_5111</t>
  </si>
  <si>
    <t xml:space="preserve"> 0010. 0010. 0090</t>
  </si>
  <si>
    <t>GR_4651</t>
  </si>
  <si>
    <t xml:space="preserve"> 0010. 0010. 0110</t>
  </si>
  <si>
    <t>GR_5112</t>
  </si>
  <si>
    <t xml:space="preserve"> 0010. 0010. 0120</t>
  </si>
  <si>
    <t>part_no</t>
  </si>
  <si>
    <t>revision</t>
  </si>
  <si>
    <t>plant</t>
  </si>
  <si>
    <t>item_number</t>
  </si>
  <si>
    <t>status</t>
  </si>
  <si>
    <t>parent_part</t>
  </si>
  <si>
    <t>parent_rev</t>
  </si>
  <si>
    <t>parent_status</t>
  </si>
  <si>
    <t>alternative</t>
  </si>
  <si>
    <t>preferred</t>
  </si>
  <si>
    <t>phr</t>
  </si>
  <si>
    <t>quantity</t>
  </si>
  <si>
    <t>uom</t>
  </si>
  <si>
    <t>characteristic</t>
  </si>
  <si>
    <t>issued_date</t>
  </si>
  <si>
    <t>root_part</t>
  </si>
  <si>
    <t>root_rev</t>
  </si>
  <si>
    <t>root_status</t>
  </si>
  <si>
    <t>root_alternative</t>
  </si>
  <si>
    <t>root_preferred</t>
  </si>
  <si>
    <t>root_issued_date</t>
  </si>
  <si>
    <t>lvl</t>
  </si>
  <si>
    <t>lvl_tree</t>
  </si>
  <si>
    <t>path</t>
  </si>
  <si>
    <t>pathnode</t>
  </si>
  <si>
    <t>parent_branch</t>
  </si>
  <si>
    <t>parent_seq</t>
  </si>
  <si>
    <t>parent_quantity</t>
  </si>
  <si>
    <t>normalized_quantity</t>
  </si>
  <si>
    <t>branch</t>
  </si>
  <si>
    <t>indentstr</t>
  </si>
  <si>
    <t>breadcrumbs</t>
  </si>
  <si>
    <t>[NULL]</t>
  </si>
  <si>
    <t xml:space="preserve"> NUM_5</t>
  </si>
  <si>
    <t>NUM_1</t>
  </si>
  <si>
    <t>num_1</t>
  </si>
  <si>
    <t>BOM_ITEM.COMPONENT_PART</t>
  </si>
  <si>
    <t>num_4</t>
  </si>
  <si>
    <t>num_5</t>
  </si>
  <si>
    <t>comp-volume</t>
  </si>
  <si>
    <t>PART-NO</t>
  </si>
  <si>
    <r>
      <t xml:space="preserve">VIEW: </t>
    </r>
    <r>
      <rPr>
        <b/>
        <sz val="10"/>
        <color rgb="FFFF0000"/>
        <rFont val="Arial"/>
        <family val="2"/>
      </rPr>
      <t>AV_EXEC_DB_PARTNO_DISPERSION</t>
    </r>
    <r>
      <rPr>
        <b/>
        <sz val="10"/>
        <rFont val="Arial"/>
        <family val="2"/>
      </rPr>
      <t xml:space="preserve">  (BASED ON MV_BOM_ITEM_COMP_HEADER)</t>
    </r>
  </si>
  <si>
    <t>density</t>
  </si>
  <si>
    <t>cum-volume-%</t>
  </si>
  <si>
    <t>parent-cum-volume-%</t>
  </si>
  <si>
    <t>(parent-cum-volume * comp-volume)</t>
  </si>
  <si>
    <r>
      <t>100*(</t>
    </r>
    <r>
      <rPr>
        <b/>
        <sz val="10"/>
        <color rgb="FFFF0000"/>
        <rFont val="Arial"/>
        <family val="2"/>
      </rPr>
      <t>b1.quantity / b1.num_1</t>
    </r>
    <r>
      <rPr>
        <sz val="10"/>
        <color rgb="FFFF0000"/>
        <rFont val="Arial"/>
        <family val="2"/>
      </rPr>
      <t>)</t>
    </r>
  </si>
  <si>
    <r>
      <t>Exploded part</t>
    </r>
    <r>
      <rPr>
        <sz val="10"/>
        <color rgb="FF000000"/>
        <rFont val="ARIAL"/>
      </rPr>
      <t>: EM_721</t>
    </r>
    <r>
      <rPr>
        <sz val="10"/>
        <color rgb="FF000000"/>
        <rFont val="ARIAL"/>
      </rPr>
      <t xml:space="preserve"> (rev: 102)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</si>
</sst>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m/d/yy\ h:mm;@"/>
    <numFmt numFmtId="166" formatCode="0.000"/>
    <numFmt numFmtId="167" formatCode="#,##0.000"/>
    <numFmt numFmtId="168" formatCode="yyyy/mm/dd\ hh:mm:ss"/>
    <numFmt numFmtId="169" formatCode="#,###.00%;\-#,###.00%;"/>
    <numFmt numFmtId="170" formatCode="#,###.00%;\-#,###.00%;&quot;.&quot;"/>
  </numFmts>
  <fonts count="36" x14ac:knownFonts="1">
    <font>
      <sz val="10"/>
      <name val="Arial"/>
    </font>
    <font>
      <sz val="11"/>
      <color indexed="8"/>
      <name val="Calibri"/>
      <family val="2"/>
    </font>
    <font>
      <sz val="10"/>
      <name val="Arial"/>
      <family val="2"/>
    </font>
    <font>
      <sz val="12"/>
      <name val="Arial"/>
      <family val="2"/>
    </font>
    <font>
      <sz val="10"/>
      <name val="Arial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u/>
      <sz val="10"/>
      <color rgb="FF800080"/>
      <name val="Arial"/>
      <family val="2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0"/>
      <color rgb="FF0000FF"/>
      <name val="Arial"/>
      <family val="2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0000"/>
      <name val="ARIAL"/>
    </font>
    <font>
      <sz val="10"/>
      <color rgb="FF000000"/>
      <name val="ARIAL"/>
    </font>
    <font>
      <b/>
      <sz val="10"/>
      <color rgb="FF000000"/>
      <name val="ARIAL"/>
    </font>
    <font>
      <sz val="8"/>
      <color rgb="FF000000"/>
      <name val="ARIAL"/>
    </font>
    <font>
      <sz val="10"/>
      <color rgb="FF000000"/>
      <name val="ARIAL"/>
    </font>
    <font>
      <b/>
      <sz val="10"/>
      <color rgb="FF000000"/>
      <name val="ARIAL"/>
    </font>
    <font>
      <sz val="8"/>
      <color rgb="FF000000"/>
      <name val="ARIAL"/>
    </font>
    <font>
      <b/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  <fill>
      <patternFill patternType="none"/>
    </fill>
    <fill>
      <patternFill patternType="none"/>
    </fill>
    <fill>
      <patternFill patternType="solid">
        <fgColor rgb="FFDDDDDD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0" applyNumberFormat="0" applyBorder="0" applyAlignment="0" applyProtection="0"/>
    <xf numFmtId="0" fontId="9" fillId="28" borderId="8" applyNumberFormat="0" applyAlignment="0" applyProtection="0"/>
    <xf numFmtId="0" fontId="10" fillId="29" borderId="9" applyNumberFormat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30" borderId="0" applyNumberFormat="0" applyBorder="0" applyAlignment="0" applyProtection="0"/>
    <xf numFmtId="0" fontId="14" fillId="0" borderId="10" applyNumberFormat="0" applyFill="0" applyAlignment="0" applyProtection="0"/>
    <xf numFmtId="0" fontId="15" fillId="0" borderId="11" applyNumberFormat="0" applyFill="0" applyAlignment="0" applyProtection="0"/>
    <xf numFmtId="0" fontId="16" fillId="0" borderId="12" applyNumberFormat="0" applyFill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31" borderId="8" applyNumberFormat="0" applyAlignment="0" applyProtection="0"/>
    <xf numFmtId="0" fontId="19" fillId="0" borderId="13" applyNumberFormat="0" applyFill="0" applyAlignment="0" applyProtection="0"/>
    <xf numFmtId="0" fontId="20" fillId="32" borderId="0" applyNumberFormat="0" applyBorder="0" applyAlignment="0" applyProtection="0"/>
    <xf numFmtId="0" fontId="3" fillId="0" borderId="0"/>
    <xf numFmtId="0" fontId="1" fillId="33" borderId="14" applyNumberFormat="0" applyFont="0" applyAlignment="0" applyProtection="0"/>
    <xf numFmtId="0" fontId="21" fillId="28" borderId="15" applyNumberFormat="0" applyAlignment="0" applyProtection="0"/>
    <xf numFmtId="0" fontId="22" fillId="0" borderId="0" applyNumberFormat="0" applyFill="0" applyBorder="0" applyAlignment="0" applyProtection="0"/>
    <xf numFmtId="0" fontId="23" fillId="0" borderId="16" applyNumberFormat="0" applyFill="0" applyAlignment="0" applyProtection="0"/>
    <xf numFmtId="0" fontId="24" fillId="0" borderId="0" applyNumberFormat="0" applyFill="0" applyBorder="0" applyAlignment="0" applyProtection="0"/>
  </cellStyleXfs>
  <cellXfs count="56">
    <xf numFmtId="0" fontId="2" fillId="0" borderId="0" xfId="0" applyFont="1"/>
    <xf numFmtId="0" fontId="0" fillId="0" borderId="0" xfId="0"/>
    <xf numFmtId="2" fontId="0" fillId="0" borderId="0" xfId="0" applyNumberFormat="1"/>
    <xf numFmtId="3" fontId="0" fillId="0" borderId="0" xfId="0" applyNumberFormat="1"/>
    <xf numFmtId="0" fontId="0" fillId="0" borderId="1" xfId="0" applyBorder="1"/>
    <xf numFmtId="0" fontId="18" fillId="31" borderId="2" xfId="36" applyBorder="1" applyAlignment="1">
      <alignment horizontal="center"/>
    </xf>
    <xf numFmtId="0" fontId="0" fillId="0" borderId="3" xfId="0" applyBorder="1"/>
    <xf numFmtId="0" fontId="18" fillId="31" borderId="4" xfId="36" applyBorder="1" applyAlignment="1">
      <alignment horizontal="center"/>
    </xf>
    <xf numFmtId="2" fontId="10" fillId="29" borderId="9" xfId="27" applyNumberFormat="1" applyAlignment="1">
      <alignment horizontal="center"/>
    </xf>
    <xf numFmtId="0" fontId="0" fillId="0" borderId="5" xfId="0" applyBorder="1"/>
    <xf numFmtId="164" fontId="10" fillId="29" borderId="9" xfId="27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18" fillId="31" borderId="6" xfId="36" applyNumberFormat="1" applyBorder="1" applyAlignment="1">
      <alignment horizontal="center"/>
    </xf>
    <xf numFmtId="0" fontId="2" fillId="0" borderId="0" xfId="0" applyFont="1" applyAlignment="1">
      <alignment horizontal="center"/>
    </xf>
    <xf numFmtId="167" fontId="0" fillId="0" borderId="0" xfId="0" applyNumberFormat="1"/>
    <xf numFmtId="0" fontId="0" fillId="0" borderId="7" xfId="0" applyBorder="1" applyAlignment="1">
      <alignment horizontal="center"/>
    </xf>
    <xf numFmtId="0" fontId="0" fillId="0" borderId="7" xfId="0" applyBorder="1"/>
    <xf numFmtId="166" fontId="18" fillId="31" borderId="8" xfId="36" applyNumberFormat="1" applyAlignment="1">
      <alignment horizontal="center"/>
    </xf>
    <xf numFmtId="0" fontId="5" fillId="0" borderId="0" xfId="0" applyFont="1"/>
    <xf numFmtId="0" fontId="0" fillId="2" borderId="0" xfId="0" applyFill="1"/>
    <xf numFmtId="1" fontId="0" fillId="2" borderId="0" xfId="0" applyNumberFormat="1" applyFill="1"/>
    <xf numFmtId="0" fontId="4" fillId="0" borderId="0" xfId="0" applyFont="1"/>
    <xf numFmtId="1" fontId="0" fillId="0" borderId="0" xfId="0" applyNumberFormat="1"/>
    <xf numFmtId="164" fontId="0" fillId="2" borderId="0" xfId="0" applyNumberFormat="1" applyFill="1"/>
    <xf numFmtId="1" fontId="2" fillId="2" borderId="0" xfId="0" applyNumberFormat="1" applyFont="1" applyFill="1"/>
    <xf numFmtId="2" fontId="0" fillId="2" borderId="0" xfId="0" applyNumberFormat="1" applyFill="1"/>
    <xf numFmtId="0" fontId="0" fillId="34" borderId="0" xfId="0" applyFill="1"/>
    <xf numFmtId="1" fontId="0" fillId="34" borderId="0" xfId="0" applyNumberFormat="1" applyFill="1"/>
    <xf numFmtId="2" fontId="0" fillId="34" borderId="0" xfId="0" applyNumberFormat="1" applyFill="1"/>
    <xf numFmtId="166" fontId="0" fillId="0" borderId="0" xfId="0" applyNumberFormat="1"/>
    <xf numFmtId="1" fontId="2" fillId="34" borderId="0" xfId="0" applyNumberFormat="1" applyFont="1" applyFill="1"/>
    <xf numFmtId="2" fontId="18" fillId="31" borderId="4" xfId="36" applyNumberFormat="1" applyBorder="1" applyAlignment="1">
      <alignment horizontal="center"/>
    </xf>
    <xf numFmtId="0" fontId="27" fillId="35" borderId="0" xfId="0" applyFont="1" applyFill="1" applyAlignment="1">
      <alignment horizontal="left" wrapText="1"/>
    </xf>
    <xf numFmtId="0" fontId="27" fillId="35" borderId="0" xfId="0" applyFont="1" applyFill="1" applyAlignment="1">
      <alignment horizontal="right" wrapText="1"/>
    </xf>
    <xf numFmtId="0" fontId="26" fillId="35" borderId="0" xfId="0" applyFont="1" applyFill="1" applyAlignment="1">
      <alignment horizontal="left" wrapText="1"/>
    </xf>
    <xf numFmtId="168" fontId="26" fillId="35" borderId="0" xfId="0" applyNumberFormat="1" applyFont="1" applyFill="1" applyAlignment="1">
      <alignment horizontal="left"/>
    </xf>
    <xf numFmtId="169" fontId="26" fillId="35" borderId="0" xfId="0" applyNumberFormat="1" applyFont="1" applyFill="1" applyAlignment="1">
      <alignment horizontal="right"/>
    </xf>
    <xf numFmtId="0" fontId="30" fillId="36" borderId="0" xfId="0" applyFont="1" applyFill="1" applyAlignment="1">
      <alignment horizontal="left" wrapText="1"/>
    </xf>
    <xf numFmtId="0" fontId="29" fillId="36" borderId="0" xfId="0" applyFont="1" applyFill="1" applyAlignment="1">
      <alignment horizontal="left" wrapText="1"/>
    </xf>
    <xf numFmtId="170" fontId="29" fillId="36" borderId="0" xfId="0" applyNumberFormat="1" applyFont="1" applyFill="1" applyAlignment="1">
      <alignment horizontal="right"/>
    </xf>
    <xf numFmtId="47" fontId="2" fillId="0" borderId="0" xfId="0" applyNumberFormat="1" applyFont="1"/>
    <xf numFmtId="0" fontId="5" fillId="0" borderId="0" xfId="0" quotePrefix="1" applyFont="1"/>
    <xf numFmtId="0" fontId="32" fillId="0" borderId="0" xfId="0" applyFont="1"/>
    <xf numFmtId="0" fontId="35" fillId="0" borderId="0" xfId="0" applyFont="1"/>
    <xf numFmtId="0" fontId="2" fillId="38" borderId="0" xfId="0" applyFont="1" applyFill="1"/>
    <xf numFmtId="0" fontId="35" fillId="39" borderId="0" xfId="0" applyFont="1" applyFill="1"/>
    <xf numFmtId="0" fontId="28" fillId="35" borderId="0" xfId="0" applyFont="1" applyFill="1" applyAlignment="1">
      <alignment horizontal="center" wrapText="1"/>
    </xf>
    <xf numFmtId="0" fontId="2" fillId="0" borderId="0" xfId="0" applyFont="1"/>
    <xf numFmtId="0" fontId="31" fillId="36" borderId="0" xfId="0" applyFont="1" applyFill="1" applyAlignment="1">
      <alignment horizontal="center" wrapText="1"/>
    </xf>
    <xf numFmtId="0" fontId="25" fillId="36" borderId="0" xfId="0" applyFont="1" applyFill="1" applyAlignment="1">
      <alignment wrapText="1"/>
    </xf>
    <xf numFmtId="0" fontId="27" fillId="37" borderId="0" xfId="0" applyFont="1" applyFill="1" applyAlignment="1">
      <alignment wrapText="1"/>
    </xf>
    <xf numFmtId="0" fontId="30" fillId="40" borderId="0" xfId="0" applyFont="1" applyFill="1" applyAlignment="1">
      <alignment horizontal="right" wrapText="1"/>
    </xf>
    <xf numFmtId="169" fontId="29" fillId="40" borderId="0" xfId="0" applyNumberFormat="1" applyFont="1" applyFill="1" applyAlignment="1">
      <alignment horizontal="right"/>
    </xf>
    <xf numFmtId="0" fontId="35" fillId="40" borderId="0" xfId="0" applyFont="1" applyFill="1"/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erekening" xfId="26" builtinId="22" customBuiltin="1"/>
    <cellStyle name="Controlecel" xfId="27" builtinId="23" customBuiltin="1"/>
    <cellStyle name="Gekoppelde cel" xfId="37" builtinId="24" customBuiltin="1"/>
    <cellStyle name="Gevolgde hyperlink" xfId="29" builtinId="9" customBuiltin="1"/>
    <cellStyle name="Goed" xfId="30" builtinId="26" customBuiltin="1"/>
    <cellStyle name="Hyperlink" xfId="35" builtinId="8" customBuiltin="1"/>
    <cellStyle name="Invoer" xfId="36" builtinId="20" customBuiltin="1"/>
    <cellStyle name="Kop 1" xfId="31" builtinId="16" customBuiltin="1"/>
    <cellStyle name="Kop 2" xfId="32" builtinId="17" customBuiltin="1"/>
    <cellStyle name="Kop 3" xfId="33" builtinId="18" customBuiltin="1"/>
    <cellStyle name="Kop 4" xfId="34" builtinId="19" customBuiltin="1"/>
    <cellStyle name="Neutraal" xfId="38" builtinId="28" customBuiltin="1"/>
    <cellStyle name="Normal 2" xfId="39" xr:uid="{00000000-0005-0000-0000-000027000000}"/>
    <cellStyle name="Notitie" xfId="40" builtinId="10" customBuiltin="1"/>
    <cellStyle name="Ongeldig" xfId="25" builtinId="27" customBuiltin="1"/>
    <cellStyle name="Standaard" xfId="0" builtinId="0"/>
    <cellStyle name="Titel" xfId="42" builtinId="15" customBuiltin="1"/>
    <cellStyle name="Totaal" xfId="43" builtinId="25" customBuiltin="1"/>
    <cellStyle name="Uitvoer" xfId="41" builtinId="21" customBuiltin="1"/>
    <cellStyle name="Verklarende tekst" xfId="28" builtinId="53" customBuiltin="1"/>
    <cellStyle name="Waarschuwingstekst" xfId="4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57425919960789"/>
          <c:y val="0.16527364640081746"/>
          <c:w val="0.67490556947478153"/>
          <c:h val="0.65718079735676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invoer!$A$62:$A$63</c:f>
              <c:strCache>
                <c:ptCount val="2"/>
                <c:pt idx="0">
                  <c:v>Dk=</c:v>
                </c:pt>
                <c:pt idx="1">
                  <c:v>93.51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Lit>
              <c:formatCode>General</c:formatCode>
              <c:ptCount val="50"/>
              <c:pt idx="0">
                <c:v>1</c:v>
              </c:pt>
              <c:pt idx="1">
                <c:v>3</c:v>
              </c:pt>
              <c:pt idx="2">
                <c:v>5</c:v>
              </c:pt>
              <c:pt idx="3">
                <c:v>7</c:v>
              </c:pt>
              <c:pt idx="4">
                <c:v>9</c:v>
              </c:pt>
              <c:pt idx="5">
                <c:v>11</c:v>
              </c:pt>
              <c:pt idx="6">
                <c:v>13</c:v>
              </c:pt>
              <c:pt idx="7">
                <c:v>15</c:v>
              </c:pt>
              <c:pt idx="8">
                <c:v>17</c:v>
              </c:pt>
              <c:pt idx="9">
                <c:v>19</c:v>
              </c:pt>
              <c:pt idx="10">
                <c:v>21</c:v>
              </c:pt>
              <c:pt idx="11">
                <c:v>23</c:v>
              </c:pt>
              <c:pt idx="12">
                <c:v>25</c:v>
              </c:pt>
              <c:pt idx="13">
                <c:v>27</c:v>
              </c:pt>
              <c:pt idx="14">
                <c:v>29</c:v>
              </c:pt>
              <c:pt idx="15">
                <c:v>31</c:v>
              </c:pt>
              <c:pt idx="16">
                <c:v>33</c:v>
              </c:pt>
              <c:pt idx="17">
                <c:v>35</c:v>
              </c:pt>
              <c:pt idx="18">
                <c:v>37</c:v>
              </c:pt>
              <c:pt idx="19">
                <c:v>39</c:v>
              </c:pt>
              <c:pt idx="20">
                <c:v>41</c:v>
              </c:pt>
              <c:pt idx="21">
                <c:v>43</c:v>
              </c:pt>
              <c:pt idx="22">
                <c:v>45</c:v>
              </c:pt>
              <c:pt idx="23">
                <c:v>47</c:v>
              </c:pt>
              <c:pt idx="24">
                <c:v>49</c:v>
              </c:pt>
              <c:pt idx="25">
                <c:v>51</c:v>
              </c:pt>
              <c:pt idx="26">
                <c:v>53</c:v>
              </c:pt>
              <c:pt idx="27">
                <c:v>55</c:v>
              </c:pt>
              <c:pt idx="28">
                <c:v>57</c:v>
              </c:pt>
              <c:pt idx="29">
                <c:v>59</c:v>
              </c:pt>
              <c:pt idx="30">
                <c:v>61</c:v>
              </c:pt>
              <c:pt idx="31">
                <c:v>63</c:v>
              </c:pt>
              <c:pt idx="32">
                <c:v>65</c:v>
              </c:pt>
              <c:pt idx="33">
                <c:v>67</c:v>
              </c:pt>
              <c:pt idx="34">
                <c:v>69</c:v>
              </c:pt>
              <c:pt idx="35">
                <c:v>71</c:v>
              </c:pt>
              <c:pt idx="36">
                <c:v>73</c:v>
              </c:pt>
              <c:pt idx="37">
                <c:v>75</c:v>
              </c:pt>
              <c:pt idx="38">
                <c:v>77</c:v>
              </c:pt>
              <c:pt idx="39">
                <c:v>79</c:v>
              </c:pt>
              <c:pt idx="40">
                <c:v>81</c:v>
              </c:pt>
              <c:pt idx="41">
                <c:v>83</c:v>
              </c:pt>
              <c:pt idx="42">
                <c:v>85</c:v>
              </c:pt>
              <c:pt idx="43">
                <c:v>87</c:v>
              </c:pt>
              <c:pt idx="44">
                <c:v>89</c:v>
              </c:pt>
              <c:pt idx="45">
                <c:v>91</c:v>
              </c:pt>
              <c:pt idx="46">
                <c:v>93</c:v>
              </c:pt>
              <c:pt idx="47">
                <c:v>95</c:v>
              </c:pt>
              <c:pt idx="48">
                <c:v>97</c:v>
              </c:pt>
              <c:pt idx="49">
                <c:v>99</c:v>
              </c:pt>
            </c:numLit>
          </c:cat>
          <c:val>
            <c:numRef>
              <c:f>invoer!$B$5:$B$54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839</c:v>
                </c:pt>
                <c:pt idx="3">
                  <c:v>379</c:v>
                </c:pt>
                <c:pt idx="4">
                  <c:v>175</c:v>
                </c:pt>
                <c:pt idx="5">
                  <c:v>69</c:v>
                </c:pt>
                <c:pt idx="6">
                  <c:v>41</c:v>
                </c:pt>
                <c:pt idx="7">
                  <c:v>40</c:v>
                </c:pt>
                <c:pt idx="8">
                  <c:v>22</c:v>
                </c:pt>
                <c:pt idx="9">
                  <c:v>20</c:v>
                </c:pt>
                <c:pt idx="10">
                  <c:v>10</c:v>
                </c:pt>
                <c:pt idx="11">
                  <c:v>17</c:v>
                </c:pt>
                <c:pt idx="12">
                  <c:v>10</c:v>
                </c:pt>
                <c:pt idx="13">
                  <c:v>4</c:v>
                </c:pt>
                <c:pt idx="14">
                  <c:v>7</c:v>
                </c:pt>
                <c:pt idx="15">
                  <c:v>5</c:v>
                </c:pt>
                <c:pt idx="16">
                  <c:v>3</c:v>
                </c:pt>
                <c:pt idx="17">
                  <c:v>2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3C-45A4-9B86-D7002A4FEED4}"/>
            </c:ext>
          </c:extLst>
        </c:ser>
        <c:ser>
          <c:idx val="1"/>
          <c:order val="1"/>
          <c:tx>
            <c:strRef>
              <c:f>invoer!$G$57:$G$58</c:f>
              <c:strCache>
                <c:ptCount val="2"/>
                <c:pt idx="0">
                  <c:v>U=</c:v>
                </c:pt>
                <c:pt idx="1">
                  <c:v>0.42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253C-45A4-9B86-D7002A4FE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137600"/>
        <c:axId val="122139776"/>
      </c:barChart>
      <c:catAx>
        <c:axId val="1221376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NewCenturySchlbk"/>
                    <a:ea typeface="NewCenturySchlbk"/>
                    <a:cs typeface="NewCenturySchlbk"/>
                  </a:defRPr>
                </a:pPr>
                <a:r>
                  <a:rPr lang="nl-NL"/>
                  <a:t>Equivalent</a:t>
                </a:r>
                <a:r>
                  <a:rPr lang="nl-NL" baseline="0"/>
                  <a:t> </a:t>
                </a:r>
                <a:r>
                  <a:rPr lang="nl-NL"/>
                  <a:t>diameter (um)</a:t>
                </a:r>
              </a:p>
            </c:rich>
          </c:tx>
          <c:layout>
            <c:manualLayout>
              <c:xMode val="edge"/>
              <c:yMode val="edge"/>
              <c:x val="0.32699666811098327"/>
              <c:y val="0.90078318913839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22139776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1221397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NewCenturySchlbk"/>
                    <a:ea typeface="NewCenturySchlbk"/>
                    <a:cs typeface="NewCenturySchlbk"/>
                  </a:defRPr>
                </a:pPr>
                <a:r>
                  <a:rPr lang="nl-NL"/>
                  <a:t>Filler</a:t>
                </a:r>
                <a:r>
                  <a:rPr lang="nl-NL" baseline="0"/>
                  <a:t> </a:t>
                </a:r>
                <a:r>
                  <a:rPr lang="nl-NL"/>
                  <a:t>percentage (%)</a:t>
                </a:r>
              </a:p>
            </c:rich>
          </c:tx>
          <c:layout>
            <c:manualLayout>
              <c:xMode val="edge"/>
              <c:yMode val="edge"/>
              <c:x val="3.0418303973862852E-2"/>
              <c:y val="0.34347655617121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22137600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381628292668352"/>
          <c:y val="0.4607848093062441"/>
          <c:w val="0.13878348697873866"/>
          <c:h val="0.25630439713554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9525</xdr:rowOff>
    </xdr:from>
    <xdr:to>
      <xdr:col>5</xdr:col>
      <xdr:colOff>828675</xdr:colOff>
      <xdr:row>30</xdr:row>
      <xdr:rowOff>47625</xdr:rowOff>
    </xdr:to>
    <xdr:graphicFrame macro="">
      <xdr:nvGraphicFramePr>
        <xdr:cNvPr id="1138" name="Chart 1">
          <a:extLst>
            <a:ext uri="{FF2B5EF4-FFF2-40B4-BE49-F238E27FC236}">
              <a16:creationId xmlns:a16="http://schemas.microsoft.com/office/drawing/2014/main" id="{00000000-0008-0000-0400-000072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4</xdr:col>
      <xdr:colOff>838199</xdr:colOff>
      <xdr:row>2</xdr:row>
      <xdr:rowOff>1</xdr:rowOff>
    </xdr:from>
    <xdr:to>
      <xdr:col>6</xdr:col>
      <xdr:colOff>828675</xdr:colOff>
      <xdr:row>4</xdr:row>
      <xdr:rowOff>1</xdr:rowOff>
    </xdr:to>
    <xdr:sp macro="[0]!Savefil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467224" y="361951"/>
          <a:ext cx="1666876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nl-NL" sz="1100"/>
            <a:t>Save to location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819150</xdr:colOff>
      <xdr:row>7</xdr:row>
      <xdr:rowOff>9525</xdr:rowOff>
    </xdr:to>
    <xdr:sp macro="[0]!export_unilab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467225" y="942975"/>
          <a:ext cx="1657350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nl-NL" sz="1100"/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0"/>
  <sheetViews>
    <sheetView workbookViewId="0">
      <selection activeCell="E3" sqref="E3"/>
    </sheetView>
  </sheetViews>
  <sheetFormatPr defaultRowHeight="12.75" x14ac:dyDescent="0.2"/>
  <cols>
    <col min="1" max="7" width="9.140625" style="1"/>
    <col min="8" max="8" width="14.7109375" style="2" bestFit="1" customWidth="1"/>
    <col min="9" max="16384" width="9.140625" style="1"/>
  </cols>
  <sheetData>
    <row r="1" spans="1:10" x14ac:dyDescent="0.2">
      <c r="A1" s="1" t="s">
        <v>9</v>
      </c>
      <c r="B1" s="1" t="s">
        <v>10</v>
      </c>
      <c r="C1" s="1" t="s">
        <v>11</v>
      </c>
      <c r="D1" s="1" t="s">
        <v>11</v>
      </c>
      <c r="G1" s="1" t="s">
        <v>12</v>
      </c>
      <c r="H1" s="2" t="s">
        <v>13</v>
      </c>
      <c r="I1" s="1" t="s">
        <v>14</v>
      </c>
      <c r="J1" s="1" t="s">
        <v>15</v>
      </c>
    </row>
    <row r="2" spans="1:10" x14ac:dyDescent="0.2">
      <c r="A2" s="1" t="s">
        <v>16</v>
      </c>
      <c r="B2" s="1" t="s">
        <v>17</v>
      </c>
      <c r="C2" s="1" t="s">
        <v>16</v>
      </c>
      <c r="D2" s="1" t="s">
        <v>18</v>
      </c>
      <c r="G2" s="1">
        <v>1</v>
      </c>
      <c r="H2" s="2">
        <v>11704.93</v>
      </c>
      <c r="I2" s="1">
        <v>163</v>
      </c>
      <c r="J2" s="1">
        <v>2.4900000000000002</v>
      </c>
    </row>
    <row r="3" spans="1:10" x14ac:dyDescent="0.2">
      <c r="A3" s="1">
        <v>1</v>
      </c>
      <c r="B3" s="1">
        <v>0</v>
      </c>
      <c r="C3" s="1">
        <v>2</v>
      </c>
      <c r="D3" s="1">
        <v>0</v>
      </c>
      <c r="E3" s="1">
        <v>0</v>
      </c>
      <c r="G3" s="1">
        <v>2</v>
      </c>
      <c r="H3" s="2">
        <v>17447.21</v>
      </c>
      <c r="I3" s="1">
        <v>262</v>
      </c>
      <c r="J3" s="1">
        <v>3.72</v>
      </c>
    </row>
    <row r="4" spans="1:10" x14ac:dyDescent="0.2">
      <c r="A4" s="1">
        <v>2</v>
      </c>
      <c r="B4" s="1">
        <v>2</v>
      </c>
      <c r="C4" s="1">
        <v>4</v>
      </c>
      <c r="D4" s="1">
        <v>0</v>
      </c>
      <c r="E4" s="1">
        <v>0</v>
      </c>
      <c r="G4" s="1">
        <v>3</v>
      </c>
      <c r="H4" s="2">
        <v>12949.14</v>
      </c>
      <c r="I4" s="1">
        <v>213</v>
      </c>
      <c r="J4" s="1">
        <v>2.76</v>
      </c>
    </row>
    <row r="5" spans="1:10" x14ac:dyDescent="0.2">
      <c r="A5" s="1">
        <v>3</v>
      </c>
      <c r="B5" s="1">
        <v>4</v>
      </c>
      <c r="C5" s="1">
        <v>6</v>
      </c>
      <c r="D5" s="1">
        <v>839</v>
      </c>
      <c r="E5" s="1">
        <v>50.85</v>
      </c>
      <c r="G5" s="1">
        <v>4</v>
      </c>
      <c r="H5" s="2">
        <v>12122.2</v>
      </c>
      <c r="I5" s="1">
        <v>178</v>
      </c>
      <c r="J5" s="1">
        <v>2.58</v>
      </c>
    </row>
    <row r="6" spans="1:10" x14ac:dyDescent="0.2">
      <c r="A6" s="1">
        <v>4</v>
      </c>
      <c r="B6" s="1">
        <v>6</v>
      </c>
      <c r="C6" s="1">
        <v>8</v>
      </c>
      <c r="D6" s="1">
        <v>379</v>
      </c>
      <c r="E6" s="1">
        <v>22.97</v>
      </c>
      <c r="G6" s="1">
        <v>5</v>
      </c>
      <c r="H6" s="2">
        <v>9392.68</v>
      </c>
      <c r="I6" s="1">
        <v>151</v>
      </c>
      <c r="J6" s="1">
        <v>2</v>
      </c>
    </row>
    <row r="7" spans="1:10" x14ac:dyDescent="0.2">
      <c r="A7" s="1">
        <v>5</v>
      </c>
      <c r="B7" s="1">
        <v>8</v>
      </c>
      <c r="C7" s="1">
        <v>10</v>
      </c>
      <c r="D7" s="1">
        <v>175</v>
      </c>
      <c r="E7" s="1">
        <v>10.61</v>
      </c>
      <c r="G7" s="1">
        <v>6</v>
      </c>
      <c r="H7" s="2">
        <v>9409.9500000000007</v>
      </c>
      <c r="I7" s="1">
        <v>194</v>
      </c>
      <c r="J7" s="1">
        <v>2.0099999999999998</v>
      </c>
    </row>
    <row r="8" spans="1:10" x14ac:dyDescent="0.2">
      <c r="A8" s="1">
        <v>6</v>
      </c>
      <c r="B8" s="1">
        <v>10</v>
      </c>
      <c r="C8" s="1">
        <v>12</v>
      </c>
      <c r="D8" s="1">
        <v>69</v>
      </c>
      <c r="E8" s="1">
        <v>4.18</v>
      </c>
      <c r="G8" s="1">
        <v>7</v>
      </c>
      <c r="H8" s="2">
        <v>10802</v>
      </c>
      <c r="I8" s="1">
        <v>178</v>
      </c>
      <c r="J8" s="1">
        <v>2.2999999999999998</v>
      </c>
    </row>
    <row r="9" spans="1:10" x14ac:dyDescent="0.2">
      <c r="A9" s="1">
        <v>7</v>
      </c>
      <c r="B9" s="1">
        <v>12</v>
      </c>
      <c r="C9" s="1">
        <v>14</v>
      </c>
      <c r="D9" s="1">
        <v>41</v>
      </c>
      <c r="E9" s="1">
        <v>2.48</v>
      </c>
      <c r="G9" s="1">
        <v>8</v>
      </c>
      <c r="H9" s="2">
        <v>12544.3</v>
      </c>
      <c r="I9" s="1">
        <v>132</v>
      </c>
      <c r="J9" s="1">
        <v>2.67</v>
      </c>
    </row>
    <row r="10" spans="1:10" x14ac:dyDescent="0.2">
      <c r="A10" s="1">
        <v>8</v>
      </c>
      <c r="B10" s="1">
        <v>14</v>
      </c>
      <c r="C10" s="1">
        <v>16</v>
      </c>
      <c r="D10" s="1">
        <v>40</v>
      </c>
      <c r="E10" s="1">
        <v>2.42</v>
      </c>
      <c r="G10" s="1">
        <v>9</v>
      </c>
      <c r="H10" s="2">
        <v>12726.68</v>
      </c>
      <c r="I10" s="1">
        <v>179</v>
      </c>
      <c r="J10" s="1">
        <v>2.71</v>
      </c>
    </row>
    <row r="11" spans="1:10" x14ac:dyDescent="0.2">
      <c r="A11" s="1">
        <v>9</v>
      </c>
      <c r="B11" s="1">
        <v>16</v>
      </c>
      <c r="C11" s="1">
        <v>18</v>
      </c>
      <c r="D11" s="1">
        <v>22</v>
      </c>
      <c r="E11" s="1">
        <v>1.33</v>
      </c>
    </row>
    <row r="12" spans="1:10" x14ac:dyDescent="0.2">
      <c r="A12" s="1">
        <v>10</v>
      </c>
      <c r="B12" s="1">
        <v>18</v>
      </c>
      <c r="C12" s="1">
        <v>20</v>
      </c>
      <c r="D12" s="1">
        <v>20</v>
      </c>
      <c r="E12" s="1">
        <v>1.21</v>
      </c>
      <c r="G12" s="1" t="s">
        <v>19</v>
      </c>
      <c r="H12" s="2">
        <v>109099.092</v>
      </c>
      <c r="I12" s="3">
        <v>1650</v>
      </c>
      <c r="J12" s="3">
        <v>23.251999999999999</v>
      </c>
    </row>
    <row r="13" spans="1:10" x14ac:dyDescent="0.2">
      <c r="A13" s="1">
        <v>11</v>
      </c>
      <c r="B13" s="1">
        <v>20</v>
      </c>
      <c r="C13" s="1">
        <v>22</v>
      </c>
      <c r="D13" s="1">
        <v>10</v>
      </c>
      <c r="E13" s="1">
        <v>0.61</v>
      </c>
      <c r="G13" s="1" t="s">
        <v>20</v>
      </c>
      <c r="H13" s="2">
        <v>12122.120999999999</v>
      </c>
      <c r="I13" s="3">
        <v>183.333</v>
      </c>
      <c r="J13" s="3">
        <v>2.5840000000000001</v>
      </c>
    </row>
    <row r="14" spans="1:10" x14ac:dyDescent="0.2">
      <c r="A14" s="1">
        <v>12</v>
      </c>
      <c r="B14" s="1">
        <v>22</v>
      </c>
      <c r="C14" s="1">
        <v>24</v>
      </c>
      <c r="D14" s="1">
        <v>17</v>
      </c>
      <c r="E14" s="1">
        <v>1.03</v>
      </c>
      <c r="G14" s="1" t="s">
        <v>21</v>
      </c>
      <c r="H14" s="2">
        <v>2268.3000000000002</v>
      </c>
      <c r="I14" s="3">
        <v>35.515000000000001</v>
      </c>
      <c r="J14" s="3">
        <v>0.48299999999999998</v>
      </c>
    </row>
    <row r="15" spans="1:10" x14ac:dyDescent="0.2">
      <c r="A15" s="1">
        <v>13</v>
      </c>
      <c r="B15" s="1">
        <v>24</v>
      </c>
      <c r="C15" s="1">
        <v>26</v>
      </c>
      <c r="D15" s="1">
        <v>10</v>
      </c>
      <c r="E15" s="1">
        <v>0.61</v>
      </c>
      <c r="G15" s="1" t="s">
        <v>22</v>
      </c>
      <c r="H15" s="2">
        <v>756.1</v>
      </c>
      <c r="I15" s="3">
        <v>11.837999999999999</v>
      </c>
      <c r="J15" s="3">
        <v>0.161</v>
      </c>
    </row>
    <row r="16" spans="1:10" x14ac:dyDescent="0.2">
      <c r="A16" s="1">
        <v>14</v>
      </c>
      <c r="B16" s="1">
        <v>26</v>
      </c>
      <c r="C16" s="1">
        <v>28</v>
      </c>
      <c r="D16" s="1">
        <v>4</v>
      </c>
      <c r="E16" s="1">
        <v>0.24</v>
      </c>
      <c r="G16" s="1" t="s">
        <v>23</v>
      </c>
      <c r="H16" s="2">
        <v>17447.205000000002</v>
      </c>
      <c r="I16" s="3">
        <v>262</v>
      </c>
      <c r="J16" s="3">
        <v>3.718</v>
      </c>
    </row>
    <row r="17" spans="1:10" x14ac:dyDescent="0.2">
      <c r="A17" s="1">
        <v>15</v>
      </c>
      <c r="B17" s="1">
        <v>28</v>
      </c>
      <c r="C17" s="1">
        <v>30</v>
      </c>
      <c r="D17" s="1">
        <v>7</v>
      </c>
      <c r="E17" s="1">
        <v>0.42</v>
      </c>
      <c r="G17" s="1" t="s">
        <v>24</v>
      </c>
      <c r="H17" s="2">
        <v>9392.6830000000009</v>
      </c>
      <c r="I17" s="3">
        <v>132</v>
      </c>
      <c r="J17" s="3">
        <v>2.0019999999999998</v>
      </c>
    </row>
    <row r="18" spans="1:10" x14ac:dyDescent="0.2">
      <c r="A18" s="1">
        <v>16</v>
      </c>
      <c r="B18" s="1">
        <v>30</v>
      </c>
      <c r="C18" s="1">
        <v>32</v>
      </c>
      <c r="D18" s="1">
        <v>5</v>
      </c>
      <c r="E18" s="1">
        <v>0.3</v>
      </c>
      <c r="G18" s="1" t="s">
        <v>25</v>
      </c>
      <c r="H18" s="2">
        <v>9073.1990000000005</v>
      </c>
      <c r="I18" s="3">
        <v>142.06100000000001</v>
      </c>
      <c r="J18" s="3">
        <v>1.9339999999999999</v>
      </c>
    </row>
    <row r="19" spans="1:10" x14ac:dyDescent="0.2">
      <c r="A19" s="1">
        <v>17</v>
      </c>
      <c r="B19" s="1">
        <v>32</v>
      </c>
      <c r="C19" s="1">
        <v>34</v>
      </c>
      <c r="D19" s="1">
        <v>3</v>
      </c>
      <c r="E19" s="1">
        <v>0.18</v>
      </c>
    </row>
    <row r="20" spans="1:10" x14ac:dyDescent="0.2">
      <c r="A20" s="1">
        <v>18</v>
      </c>
      <c r="B20" s="1">
        <v>34</v>
      </c>
      <c r="C20" s="1">
        <v>36</v>
      </c>
      <c r="D20" s="1">
        <v>2</v>
      </c>
      <c r="E20" s="1">
        <v>0.12</v>
      </c>
    </row>
    <row r="21" spans="1:10" x14ac:dyDescent="0.2">
      <c r="A21" s="1">
        <v>19</v>
      </c>
      <c r="B21" s="1">
        <v>36</v>
      </c>
      <c r="C21" s="1">
        <v>38</v>
      </c>
      <c r="D21" s="1">
        <v>3</v>
      </c>
      <c r="E21" s="1">
        <v>0.18</v>
      </c>
    </row>
    <row r="22" spans="1:10" x14ac:dyDescent="0.2">
      <c r="A22" s="1">
        <v>20</v>
      </c>
      <c r="B22" s="1">
        <v>38</v>
      </c>
      <c r="C22" s="1">
        <v>40</v>
      </c>
      <c r="D22" s="1">
        <v>1</v>
      </c>
      <c r="E22" s="1">
        <v>0.06</v>
      </c>
    </row>
    <row r="23" spans="1:10" x14ac:dyDescent="0.2">
      <c r="A23" s="1">
        <v>21</v>
      </c>
      <c r="B23" s="1">
        <v>40</v>
      </c>
      <c r="C23" s="1">
        <v>42</v>
      </c>
      <c r="D23" s="1">
        <v>1</v>
      </c>
      <c r="E23" s="1">
        <v>0.06</v>
      </c>
    </row>
    <row r="24" spans="1:10" x14ac:dyDescent="0.2">
      <c r="A24" s="1">
        <v>22</v>
      </c>
      <c r="B24" s="1">
        <v>42</v>
      </c>
      <c r="C24" s="1">
        <v>44</v>
      </c>
      <c r="D24" s="1">
        <v>1</v>
      </c>
      <c r="E24" s="1">
        <v>0.06</v>
      </c>
    </row>
    <row r="25" spans="1:10" x14ac:dyDescent="0.2">
      <c r="A25" s="1">
        <v>23</v>
      </c>
      <c r="B25" s="1">
        <v>44</v>
      </c>
      <c r="C25" s="1">
        <v>46</v>
      </c>
      <c r="D25" s="1">
        <v>0</v>
      </c>
      <c r="E25" s="1">
        <v>0</v>
      </c>
    </row>
    <row r="26" spans="1:10" x14ac:dyDescent="0.2">
      <c r="A26" s="1">
        <v>24</v>
      </c>
      <c r="B26" s="1">
        <v>46</v>
      </c>
      <c r="C26" s="1">
        <v>48</v>
      </c>
      <c r="D26" s="1">
        <v>1</v>
      </c>
      <c r="E26" s="1">
        <v>0.06</v>
      </c>
    </row>
    <row r="27" spans="1:10" x14ac:dyDescent="0.2">
      <c r="A27" s="1">
        <v>25</v>
      </c>
      <c r="B27" s="1">
        <v>48</v>
      </c>
      <c r="C27" s="1">
        <v>50</v>
      </c>
      <c r="D27" s="1">
        <v>0</v>
      </c>
      <c r="E27" s="1">
        <v>0</v>
      </c>
    </row>
    <row r="28" spans="1:10" x14ac:dyDescent="0.2">
      <c r="A28" s="1">
        <v>26</v>
      </c>
      <c r="B28" s="1">
        <v>50</v>
      </c>
      <c r="C28" s="1">
        <v>52</v>
      </c>
      <c r="D28" s="1">
        <v>0</v>
      </c>
      <c r="E28" s="1">
        <v>0</v>
      </c>
    </row>
    <row r="29" spans="1:10" x14ac:dyDescent="0.2">
      <c r="A29" s="1">
        <v>27</v>
      </c>
      <c r="B29" s="1">
        <v>52</v>
      </c>
      <c r="C29" s="1">
        <v>54</v>
      </c>
      <c r="D29" s="1">
        <v>0</v>
      </c>
      <c r="E29" s="1">
        <v>0</v>
      </c>
    </row>
    <row r="30" spans="1:10" x14ac:dyDescent="0.2">
      <c r="A30" s="1">
        <v>28</v>
      </c>
      <c r="B30" s="1">
        <v>54</v>
      </c>
      <c r="C30" s="1">
        <v>56</v>
      </c>
      <c r="D30" s="1">
        <v>0</v>
      </c>
      <c r="E30" s="1">
        <v>0</v>
      </c>
    </row>
    <row r="31" spans="1:10" x14ac:dyDescent="0.2">
      <c r="A31" s="1">
        <v>29</v>
      </c>
      <c r="B31" s="1">
        <v>56</v>
      </c>
      <c r="C31" s="1">
        <v>58</v>
      </c>
      <c r="D31" s="1">
        <v>0</v>
      </c>
      <c r="E31" s="1">
        <v>0</v>
      </c>
    </row>
    <row r="32" spans="1:10" x14ac:dyDescent="0.2">
      <c r="A32" s="1">
        <v>30</v>
      </c>
      <c r="B32" s="1">
        <v>58</v>
      </c>
      <c r="C32" s="1">
        <v>60</v>
      </c>
      <c r="D32" s="1">
        <v>0</v>
      </c>
      <c r="E32" s="1">
        <v>0</v>
      </c>
    </row>
    <row r="33" spans="1:5" x14ac:dyDescent="0.2">
      <c r="A33" s="1">
        <v>31</v>
      </c>
      <c r="B33" s="1">
        <v>60</v>
      </c>
      <c r="C33" s="1">
        <v>62</v>
      </c>
      <c r="D33" s="1">
        <v>0</v>
      </c>
      <c r="E33" s="1">
        <v>0</v>
      </c>
    </row>
    <row r="34" spans="1:5" x14ac:dyDescent="0.2">
      <c r="A34" s="1">
        <v>32</v>
      </c>
      <c r="B34" s="1">
        <v>62</v>
      </c>
      <c r="C34" s="1">
        <v>64</v>
      </c>
      <c r="D34" s="1">
        <v>0</v>
      </c>
      <c r="E34" s="1">
        <v>0</v>
      </c>
    </row>
    <row r="35" spans="1:5" x14ac:dyDescent="0.2">
      <c r="A35" s="1">
        <v>33</v>
      </c>
      <c r="B35" s="1">
        <v>64</v>
      </c>
      <c r="C35" s="1">
        <v>66</v>
      </c>
      <c r="D35" s="1">
        <v>0</v>
      </c>
      <c r="E35" s="1">
        <v>0</v>
      </c>
    </row>
    <row r="36" spans="1:5" x14ac:dyDescent="0.2">
      <c r="A36" s="1">
        <v>34</v>
      </c>
      <c r="B36" s="1">
        <v>66</v>
      </c>
      <c r="C36" s="1">
        <v>68</v>
      </c>
      <c r="D36" s="1">
        <v>0</v>
      </c>
      <c r="E36" s="1">
        <v>0</v>
      </c>
    </row>
    <row r="37" spans="1:5" x14ac:dyDescent="0.2">
      <c r="A37" s="1">
        <v>35</v>
      </c>
      <c r="B37" s="1">
        <v>68</v>
      </c>
      <c r="C37" s="1">
        <v>70</v>
      </c>
      <c r="D37" s="1">
        <v>0</v>
      </c>
      <c r="E37" s="1">
        <v>0</v>
      </c>
    </row>
    <row r="38" spans="1:5" x14ac:dyDescent="0.2">
      <c r="A38" s="1">
        <v>36</v>
      </c>
      <c r="B38" s="1">
        <v>70</v>
      </c>
      <c r="C38" s="1">
        <v>72</v>
      </c>
      <c r="D38" s="1">
        <v>0</v>
      </c>
      <c r="E38" s="1">
        <v>0</v>
      </c>
    </row>
    <row r="39" spans="1:5" x14ac:dyDescent="0.2">
      <c r="A39" s="1">
        <v>37</v>
      </c>
      <c r="B39" s="1">
        <v>72</v>
      </c>
      <c r="C39" s="1">
        <v>74</v>
      </c>
      <c r="D39" s="1">
        <v>0</v>
      </c>
      <c r="E39" s="1">
        <v>0</v>
      </c>
    </row>
    <row r="40" spans="1:5" x14ac:dyDescent="0.2">
      <c r="A40" s="1">
        <v>38</v>
      </c>
      <c r="B40" s="1">
        <v>74</v>
      </c>
      <c r="C40" s="1">
        <v>76</v>
      </c>
      <c r="D40" s="1">
        <v>0</v>
      </c>
      <c r="E40" s="1">
        <v>0</v>
      </c>
    </row>
    <row r="41" spans="1:5" x14ac:dyDescent="0.2">
      <c r="A41" s="1">
        <v>39</v>
      </c>
      <c r="B41" s="1">
        <v>76</v>
      </c>
      <c r="C41" s="1">
        <v>78</v>
      </c>
      <c r="D41" s="1">
        <v>0</v>
      </c>
      <c r="E41" s="1">
        <v>0</v>
      </c>
    </row>
    <row r="42" spans="1:5" x14ac:dyDescent="0.2">
      <c r="A42" s="1">
        <v>40</v>
      </c>
      <c r="B42" s="1">
        <v>78</v>
      </c>
      <c r="C42" s="1">
        <v>80</v>
      </c>
      <c r="D42" s="1">
        <v>0</v>
      </c>
      <c r="E42" s="1">
        <v>0</v>
      </c>
    </row>
    <row r="43" spans="1:5" x14ac:dyDescent="0.2">
      <c r="A43" s="1">
        <v>41</v>
      </c>
      <c r="B43" s="1">
        <v>80</v>
      </c>
      <c r="C43" s="1">
        <v>82</v>
      </c>
      <c r="D43" s="1">
        <v>0</v>
      </c>
      <c r="E43" s="1">
        <v>0</v>
      </c>
    </row>
    <row r="44" spans="1:5" x14ac:dyDescent="0.2">
      <c r="A44" s="1">
        <v>42</v>
      </c>
      <c r="B44" s="1">
        <v>82</v>
      </c>
      <c r="C44" s="1">
        <v>84</v>
      </c>
      <c r="D44" s="1">
        <v>0</v>
      </c>
      <c r="E44" s="1">
        <v>0</v>
      </c>
    </row>
    <row r="45" spans="1:5" x14ac:dyDescent="0.2">
      <c r="A45" s="1">
        <v>43</v>
      </c>
      <c r="B45" s="1">
        <v>84</v>
      </c>
      <c r="C45" s="1">
        <v>86</v>
      </c>
      <c r="D45" s="1">
        <v>0</v>
      </c>
      <c r="E45" s="1">
        <v>0</v>
      </c>
    </row>
    <row r="46" spans="1:5" x14ac:dyDescent="0.2">
      <c r="A46" s="1">
        <v>44</v>
      </c>
      <c r="B46" s="1">
        <v>86</v>
      </c>
      <c r="C46" s="1">
        <v>88</v>
      </c>
      <c r="D46" s="1">
        <v>0</v>
      </c>
      <c r="E46" s="1">
        <v>0</v>
      </c>
    </row>
    <row r="47" spans="1:5" x14ac:dyDescent="0.2">
      <c r="A47" s="1">
        <v>45</v>
      </c>
      <c r="B47" s="1">
        <v>88</v>
      </c>
      <c r="C47" s="1">
        <v>90</v>
      </c>
      <c r="D47" s="1">
        <v>0</v>
      </c>
      <c r="E47" s="1">
        <v>0</v>
      </c>
    </row>
    <row r="48" spans="1:5" x14ac:dyDescent="0.2">
      <c r="A48" s="1">
        <v>46</v>
      </c>
      <c r="B48" s="1">
        <v>90</v>
      </c>
      <c r="C48" s="1">
        <v>92</v>
      </c>
      <c r="D48" s="1">
        <v>0</v>
      </c>
      <c r="E48" s="1">
        <v>0</v>
      </c>
    </row>
    <row r="49" spans="1:5" x14ac:dyDescent="0.2">
      <c r="A49" s="1">
        <v>47</v>
      </c>
      <c r="B49" s="1">
        <v>92</v>
      </c>
      <c r="C49" s="1">
        <v>94</v>
      </c>
      <c r="D49" s="1">
        <v>0</v>
      </c>
      <c r="E49" s="1">
        <v>0</v>
      </c>
    </row>
    <row r="50" spans="1:5" x14ac:dyDescent="0.2">
      <c r="A50" s="1">
        <v>48</v>
      </c>
      <c r="B50" s="1">
        <v>94</v>
      </c>
      <c r="C50" s="1">
        <v>96</v>
      </c>
      <c r="D50" s="1">
        <v>0</v>
      </c>
      <c r="E50" s="1">
        <v>0</v>
      </c>
    </row>
    <row r="51" spans="1:5" x14ac:dyDescent="0.2">
      <c r="A51" s="1">
        <v>49</v>
      </c>
      <c r="B51" s="1">
        <v>96</v>
      </c>
      <c r="C51" s="1">
        <v>98</v>
      </c>
      <c r="D51" s="1">
        <v>0</v>
      </c>
      <c r="E51" s="1">
        <v>0</v>
      </c>
    </row>
    <row r="52" spans="1:5" x14ac:dyDescent="0.2">
      <c r="A52" s="1">
        <v>50</v>
      </c>
      <c r="B52" s="1">
        <v>98</v>
      </c>
      <c r="C52" s="1">
        <v>100</v>
      </c>
      <c r="D52" s="1">
        <v>0</v>
      </c>
      <c r="E52" s="1">
        <v>0</v>
      </c>
    </row>
    <row r="54" spans="1:5" x14ac:dyDescent="0.2">
      <c r="A54" s="1" t="s">
        <v>26</v>
      </c>
      <c r="B54" s="1">
        <v>0</v>
      </c>
      <c r="D54" s="1" t="s">
        <v>27</v>
      </c>
      <c r="E54" s="1">
        <v>1650</v>
      </c>
    </row>
    <row r="55" spans="1:5" x14ac:dyDescent="0.2">
      <c r="A55" s="1" t="s">
        <v>28</v>
      </c>
      <c r="B55" s="1">
        <v>0</v>
      </c>
    </row>
    <row r="57" spans="1:5" x14ac:dyDescent="0.2">
      <c r="A57" s="1" t="s">
        <v>29</v>
      </c>
      <c r="B57" s="1">
        <v>12700.07</v>
      </c>
    </row>
    <row r="58" spans="1:5" x14ac:dyDescent="0.2">
      <c r="A58" s="1" t="s">
        <v>30</v>
      </c>
      <c r="B58" s="1">
        <v>7.7</v>
      </c>
    </row>
    <row r="59" spans="1:5" x14ac:dyDescent="0.2">
      <c r="A59" s="1" t="s">
        <v>31</v>
      </c>
      <c r="B59" s="1">
        <v>5.09</v>
      </c>
    </row>
    <row r="60" spans="1:5" x14ac:dyDescent="0.2">
      <c r="A60" s="1" t="s">
        <v>32</v>
      </c>
      <c r="B60" s="1">
        <v>0.13</v>
      </c>
    </row>
    <row r="61" spans="1:5" x14ac:dyDescent="0.2">
      <c r="A61" s="1" t="s">
        <v>33</v>
      </c>
      <c r="B61" s="1">
        <v>47.12</v>
      </c>
    </row>
    <row r="62" spans="1:5" x14ac:dyDescent="0.2">
      <c r="A62" s="1" t="s">
        <v>34</v>
      </c>
      <c r="B62" s="1">
        <v>4.1900000000000004</v>
      </c>
    </row>
    <row r="63" spans="1:5" x14ac:dyDescent="0.2">
      <c r="A63" s="1" t="s">
        <v>35</v>
      </c>
      <c r="B63" s="1">
        <v>20.37</v>
      </c>
    </row>
    <row r="64" spans="1:5" x14ac:dyDescent="0.2">
      <c r="A64" s="1" t="s">
        <v>36</v>
      </c>
      <c r="B64" s="1">
        <v>5</v>
      </c>
    </row>
    <row r="65" spans="1:2" x14ac:dyDescent="0.2">
      <c r="A65" s="1" t="s">
        <v>37</v>
      </c>
      <c r="B65" s="1">
        <v>5</v>
      </c>
    </row>
    <row r="66" spans="1:2" x14ac:dyDescent="0.2">
      <c r="A66" s="1" t="s">
        <v>38</v>
      </c>
      <c r="B66" s="1">
        <v>3.15</v>
      </c>
    </row>
    <row r="67" spans="1:2" x14ac:dyDescent="0.2">
      <c r="A67" s="1" t="s">
        <v>39</v>
      </c>
      <c r="B67" s="1">
        <v>12.4</v>
      </c>
    </row>
    <row r="68" spans="1:2" x14ac:dyDescent="0.2">
      <c r="A68" s="1" t="s">
        <v>40</v>
      </c>
      <c r="B68" s="1">
        <v>1650</v>
      </c>
    </row>
    <row r="69" spans="1:2" x14ac:dyDescent="0.2">
      <c r="A69" s="1" t="s">
        <v>41</v>
      </c>
      <c r="B69" s="1">
        <v>4222802.59</v>
      </c>
    </row>
    <row r="70" spans="1:2" x14ac:dyDescent="0.2">
      <c r="A70" s="1" t="s">
        <v>42</v>
      </c>
      <c r="B70" s="1">
        <v>390.74</v>
      </c>
    </row>
  </sheetData>
  <phoneticPr fontId="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H63"/>
  <sheetViews>
    <sheetView workbookViewId="0">
      <selection activeCell="H25" sqref="H25"/>
    </sheetView>
  </sheetViews>
  <sheetFormatPr defaultColWidth="12.5703125" defaultRowHeight="12.75" x14ac:dyDescent="0.2"/>
  <cols>
    <col min="1" max="2" width="12.5703125" style="1"/>
    <col min="3" max="3" width="12.5703125" style="31"/>
    <col min="4" max="16384" width="12.5703125" style="1"/>
  </cols>
  <sheetData>
    <row r="3" spans="1:7" x14ac:dyDescent="0.2">
      <c r="A3" s="1" t="s">
        <v>0</v>
      </c>
      <c r="B3" s="1" t="s">
        <v>1</v>
      </c>
      <c r="C3" s="31" t="s">
        <v>2</v>
      </c>
      <c r="E3" s="1" t="s">
        <v>3</v>
      </c>
      <c r="F3" s="1" t="s">
        <v>4</v>
      </c>
    </row>
    <row r="5" spans="1:7" x14ac:dyDescent="0.2">
      <c r="A5" s="1">
        <v>1</v>
      </c>
      <c r="B5" s="1">
        <f>blad1!D3</f>
        <v>0</v>
      </c>
      <c r="C5" s="31">
        <f>(B5/B55*100)</f>
        <v>0</v>
      </c>
      <c r="E5" s="1">
        <f t="shared" ref="E5:E54" si="0">(A5*B5)</f>
        <v>0</v>
      </c>
      <c r="F5" s="1">
        <f t="shared" ref="F5:F54" si="1">(A5^2)*B5</f>
        <v>0</v>
      </c>
    </row>
    <row r="6" spans="1:7" x14ac:dyDescent="0.2">
      <c r="A6" s="1">
        <v>3</v>
      </c>
      <c r="B6" s="1">
        <f>blad1!D4</f>
        <v>0</v>
      </c>
      <c r="C6" s="31">
        <f>(B6/B55*100)</f>
        <v>0</v>
      </c>
      <c r="E6" s="1">
        <f t="shared" si="0"/>
        <v>0</v>
      </c>
      <c r="F6" s="1">
        <f t="shared" si="1"/>
        <v>0</v>
      </c>
    </row>
    <row r="7" spans="1:7" x14ac:dyDescent="0.2">
      <c r="A7" s="1">
        <v>5</v>
      </c>
      <c r="B7" s="1">
        <f>blad1!D5</f>
        <v>839</v>
      </c>
      <c r="C7" s="31">
        <f>(B7/B55*100)</f>
        <v>50.848484848484851</v>
      </c>
      <c r="D7" s="1" t="s">
        <v>5</v>
      </c>
      <c r="E7" s="1">
        <f t="shared" si="0"/>
        <v>4195</v>
      </c>
      <c r="F7" s="1">
        <f t="shared" si="1"/>
        <v>20975</v>
      </c>
    </row>
    <row r="8" spans="1:7" x14ac:dyDescent="0.2">
      <c r="A8" s="1">
        <v>7</v>
      </c>
      <c r="B8" s="1">
        <f>blad1!D6</f>
        <v>379</v>
      </c>
      <c r="C8" s="31">
        <f>(B8/B55*100)</f>
        <v>22.969696969696969</v>
      </c>
      <c r="E8" s="1">
        <f t="shared" si="0"/>
        <v>2653</v>
      </c>
      <c r="F8" s="1">
        <f t="shared" si="1"/>
        <v>18571</v>
      </c>
    </row>
    <row r="9" spans="1:7" x14ac:dyDescent="0.2">
      <c r="A9" s="1">
        <v>9</v>
      </c>
      <c r="B9" s="1">
        <f>blad1!D7</f>
        <v>175</v>
      </c>
      <c r="C9" s="31">
        <f>(B9/B55*100)</f>
        <v>10.606060606060606</v>
      </c>
      <c r="E9" s="1">
        <f t="shared" si="0"/>
        <v>1575</v>
      </c>
      <c r="F9" s="1">
        <f t="shared" si="1"/>
        <v>14175</v>
      </c>
    </row>
    <row r="10" spans="1:7" x14ac:dyDescent="0.2">
      <c r="A10" s="1">
        <v>11</v>
      </c>
      <c r="B10" s="1">
        <f>blad1!D8</f>
        <v>69</v>
      </c>
      <c r="C10" s="31">
        <f>(B10/B55*100)</f>
        <v>4.1818181818181817</v>
      </c>
      <c r="E10" s="1">
        <f t="shared" si="0"/>
        <v>759</v>
      </c>
      <c r="F10" s="1">
        <f t="shared" si="1"/>
        <v>8349</v>
      </c>
    </row>
    <row r="11" spans="1:7" x14ac:dyDescent="0.2">
      <c r="A11" s="1">
        <v>13</v>
      </c>
      <c r="B11" s="1">
        <f>blad1!D9</f>
        <v>41</v>
      </c>
      <c r="C11" s="31">
        <f>(B11/B55*100)</f>
        <v>2.4848484848484849</v>
      </c>
      <c r="E11" s="1">
        <f t="shared" si="0"/>
        <v>533</v>
      </c>
      <c r="F11" s="1">
        <f t="shared" si="1"/>
        <v>6929</v>
      </c>
      <c r="G11" s="1" t="s">
        <v>5</v>
      </c>
    </row>
    <row r="12" spans="1:7" x14ac:dyDescent="0.2">
      <c r="A12" s="1">
        <v>15</v>
      </c>
      <c r="B12" s="1">
        <f>blad1!D10</f>
        <v>40</v>
      </c>
      <c r="C12" s="31">
        <f>(B12/B55*100)</f>
        <v>2.4242424242424243</v>
      </c>
      <c r="E12" s="1">
        <f t="shared" si="0"/>
        <v>600</v>
      </c>
      <c r="F12" s="1">
        <f t="shared" si="1"/>
        <v>9000</v>
      </c>
      <c r="G12" s="1" t="s">
        <v>5</v>
      </c>
    </row>
    <row r="13" spans="1:7" x14ac:dyDescent="0.2">
      <c r="A13" s="1">
        <v>17</v>
      </c>
      <c r="B13" s="1">
        <f>blad1!D11</f>
        <v>22</v>
      </c>
      <c r="C13" s="31">
        <f>(B13/B55*100)</f>
        <v>1.3333333333333335</v>
      </c>
      <c r="E13" s="1">
        <f t="shared" si="0"/>
        <v>374</v>
      </c>
      <c r="F13" s="1">
        <f t="shared" si="1"/>
        <v>6358</v>
      </c>
    </row>
    <row r="14" spans="1:7" x14ac:dyDescent="0.2">
      <c r="A14" s="1">
        <v>19</v>
      </c>
      <c r="B14" s="1">
        <f>blad1!D12</f>
        <v>20</v>
      </c>
      <c r="C14" s="31">
        <f>(B14/B55*100)</f>
        <v>1.2121212121212122</v>
      </c>
      <c r="E14" s="1">
        <f t="shared" si="0"/>
        <v>380</v>
      </c>
      <c r="F14" s="1">
        <f t="shared" si="1"/>
        <v>7220</v>
      </c>
    </row>
    <row r="15" spans="1:7" x14ac:dyDescent="0.2">
      <c r="A15" s="1">
        <v>21</v>
      </c>
      <c r="B15" s="1">
        <f>blad1!D13</f>
        <v>10</v>
      </c>
      <c r="C15" s="31">
        <f>(B15/B55*100)</f>
        <v>0.60606060606060608</v>
      </c>
      <c r="E15" s="1">
        <f t="shared" si="0"/>
        <v>210</v>
      </c>
      <c r="F15" s="1">
        <f t="shared" si="1"/>
        <v>4410</v>
      </c>
    </row>
    <row r="16" spans="1:7" x14ac:dyDescent="0.2">
      <c r="A16" s="1">
        <v>23</v>
      </c>
      <c r="B16" s="1">
        <f>blad1!D14</f>
        <v>17</v>
      </c>
      <c r="C16" s="31">
        <f>(B16/B55*100)</f>
        <v>1.0303030303030303</v>
      </c>
      <c r="E16" s="1">
        <f t="shared" si="0"/>
        <v>391</v>
      </c>
      <c r="F16" s="1">
        <f t="shared" si="1"/>
        <v>8993</v>
      </c>
    </row>
    <row r="17" spans="1:6" x14ac:dyDescent="0.2">
      <c r="A17" s="1">
        <v>25</v>
      </c>
      <c r="B17" s="1">
        <f>blad1!D15</f>
        <v>10</v>
      </c>
      <c r="C17" s="31">
        <f>(B17/B55*100)</f>
        <v>0.60606060606060608</v>
      </c>
      <c r="E17" s="1">
        <f t="shared" si="0"/>
        <v>250</v>
      </c>
      <c r="F17" s="1">
        <f t="shared" si="1"/>
        <v>6250</v>
      </c>
    </row>
    <row r="18" spans="1:6" x14ac:dyDescent="0.2">
      <c r="A18" s="1">
        <v>27</v>
      </c>
      <c r="B18" s="1">
        <f>blad1!D16</f>
        <v>4</v>
      </c>
      <c r="C18" s="31">
        <f>(B18/B55*100)</f>
        <v>0.24242424242424243</v>
      </c>
      <c r="E18" s="1">
        <f t="shared" si="0"/>
        <v>108</v>
      </c>
      <c r="F18" s="1">
        <f t="shared" si="1"/>
        <v>2916</v>
      </c>
    </row>
    <row r="19" spans="1:6" x14ac:dyDescent="0.2">
      <c r="A19" s="1">
        <v>29</v>
      </c>
      <c r="B19" s="1">
        <f>blad1!D17</f>
        <v>7</v>
      </c>
      <c r="C19" s="31">
        <f>(B19/B55*100)</f>
        <v>0.42424242424242431</v>
      </c>
      <c r="E19" s="1">
        <f t="shared" si="0"/>
        <v>203</v>
      </c>
      <c r="F19" s="1">
        <f t="shared" si="1"/>
        <v>5887</v>
      </c>
    </row>
    <row r="20" spans="1:6" x14ac:dyDescent="0.2">
      <c r="A20" s="1">
        <v>31</v>
      </c>
      <c r="B20" s="1">
        <f>blad1!D18</f>
        <v>5</v>
      </c>
      <c r="C20" s="31">
        <f>(B20/B55*100)</f>
        <v>0.30303030303030304</v>
      </c>
      <c r="E20" s="1">
        <f t="shared" si="0"/>
        <v>155</v>
      </c>
      <c r="F20" s="1">
        <f t="shared" si="1"/>
        <v>4805</v>
      </c>
    </row>
    <row r="21" spans="1:6" x14ac:dyDescent="0.2">
      <c r="A21" s="1">
        <v>33</v>
      </c>
      <c r="B21" s="1">
        <f>blad1!D19</f>
        <v>3</v>
      </c>
      <c r="C21" s="31">
        <f>(B21/B55*100)</f>
        <v>0.18181818181818182</v>
      </c>
      <c r="E21" s="1">
        <f t="shared" si="0"/>
        <v>99</v>
      </c>
      <c r="F21" s="1">
        <f t="shared" si="1"/>
        <v>3267</v>
      </c>
    </row>
    <row r="22" spans="1:6" x14ac:dyDescent="0.2">
      <c r="A22" s="1">
        <v>35</v>
      </c>
      <c r="B22" s="1">
        <f>blad1!D20</f>
        <v>2</v>
      </c>
      <c r="C22" s="31">
        <f>(B22/B55*100)</f>
        <v>0.12121212121212122</v>
      </c>
      <c r="E22" s="1">
        <f t="shared" si="0"/>
        <v>70</v>
      </c>
      <c r="F22" s="1">
        <f t="shared" si="1"/>
        <v>2450</v>
      </c>
    </row>
    <row r="23" spans="1:6" x14ac:dyDescent="0.2">
      <c r="A23" s="1">
        <v>37</v>
      </c>
      <c r="B23" s="1">
        <f>blad1!D21</f>
        <v>3</v>
      </c>
      <c r="C23" s="31">
        <f>(B23/B55*100)</f>
        <v>0.18181818181818182</v>
      </c>
      <c r="E23" s="1">
        <f t="shared" si="0"/>
        <v>111</v>
      </c>
      <c r="F23" s="1">
        <f t="shared" si="1"/>
        <v>4107</v>
      </c>
    </row>
    <row r="24" spans="1:6" x14ac:dyDescent="0.2">
      <c r="A24" s="1">
        <v>39</v>
      </c>
      <c r="B24" s="1">
        <f>blad1!D22</f>
        <v>1</v>
      </c>
      <c r="C24" s="31">
        <f>(B24/B55*100)</f>
        <v>6.0606060606060608E-2</v>
      </c>
      <c r="E24" s="1">
        <f t="shared" si="0"/>
        <v>39</v>
      </c>
      <c r="F24" s="1">
        <f t="shared" si="1"/>
        <v>1521</v>
      </c>
    </row>
    <row r="25" spans="1:6" x14ac:dyDescent="0.2">
      <c r="A25" s="1">
        <v>41</v>
      </c>
      <c r="B25" s="1">
        <f>blad1!D23</f>
        <v>1</v>
      </c>
      <c r="C25" s="31">
        <f>(B25/B55*100)</f>
        <v>6.0606060606060608E-2</v>
      </c>
      <c r="E25" s="1">
        <f t="shared" si="0"/>
        <v>41</v>
      </c>
      <c r="F25" s="1">
        <f t="shared" si="1"/>
        <v>1681</v>
      </c>
    </row>
    <row r="26" spans="1:6" x14ac:dyDescent="0.2">
      <c r="A26" s="1">
        <v>43</v>
      </c>
      <c r="B26" s="1">
        <f>blad1!D24</f>
        <v>1</v>
      </c>
      <c r="C26" s="31">
        <f>(B26/B55*100)</f>
        <v>6.0606060606060608E-2</v>
      </c>
      <c r="E26" s="1">
        <f t="shared" si="0"/>
        <v>43</v>
      </c>
      <c r="F26" s="1">
        <f t="shared" si="1"/>
        <v>1849</v>
      </c>
    </row>
    <row r="27" spans="1:6" x14ac:dyDescent="0.2">
      <c r="A27" s="1">
        <v>45</v>
      </c>
      <c r="B27" s="1">
        <f>blad1!D25</f>
        <v>0</v>
      </c>
      <c r="C27" s="31">
        <f>(B27/B55*100)</f>
        <v>0</v>
      </c>
      <c r="E27" s="1">
        <f t="shared" si="0"/>
        <v>0</v>
      </c>
      <c r="F27" s="1">
        <f t="shared" si="1"/>
        <v>0</v>
      </c>
    </row>
    <row r="28" spans="1:6" x14ac:dyDescent="0.2">
      <c r="A28" s="1">
        <v>47</v>
      </c>
      <c r="B28" s="1">
        <f>blad1!D26</f>
        <v>1</v>
      </c>
      <c r="C28" s="31">
        <f>(B28/B55*100)</f>
        <v>6.0606060606060608E-2</v>
      </c>
      <c r="E28" s="1">
        <f t="shared" si="0"/>
        <v>47</v>
      </c>
      <c r="F28" s="1">
        <f t="shared" si="1"/>
        <v>2209</v>
      </c>
    </row>
    <row r="29" spans="1:6" x14ac:dyDescent="0.2">
      <c r="A29" s="1">
        <v>49</v>
      </c>
      <c r="B29" s="1">
        <f>blad1!D27</f>
        <v>0</v>
      </c>
      <c r="C29" s="31">
        <f>(B29/B55*100)</f>
        <v>0</v>
      </c>
      <c r="E29" s="1">
        <f t="shared" si="0"/>
        <v>0</v>
      </c>
      <c r="F29" s="1">
        <f t="shared" si="1"/>
        <v>0</v>
      </c>
    </row>
    <row r="30" spans="1:6" x14ac:dyDescent="0.2">
      <c r="A30" s="1">
        <v>51</v>
      </c>
      <c r="B30" s="1">
        <f>blad1!D28</f>
        <v>0</v>
      </c>
      <c r="C30" s="31">
        <f>(B30/B55*100)</f>
        <v>0</v>
      </c>
      <c r="E30" s="1">
        <f t="shared" si="0"/>
        <v>0</v>
      </c>
      <c r="F30" s="1">
        <f t="shared" si="1"/>
        <v>0</v>
      </c>
    </row>
    <row r="31" spans="1:6" x14ac:dyDescent="0.2">
      <c r="A31" s="1">
        <v>53</v>
      </c>
      <c r="B31" s="1">
        <f>blad1!D29</f>
        <v>0</v>
      </c>
      <c r="C31" s="31">
        <f>(B31/B55*100)</f>
        <v>0</v>
      </c>
      <c r="E31" s="1">
        <f t="shared" si="0"/>
        <v>0</v>
      </c>
      <c r="F31" s="1">
        <f t="shared" si="1"/>
        <v>0</v>
      </c>
    </row>
    <row r="32" spans="1:6" x14ac:dyDescent="0.2">
      <c r="A32" s="1">
        <v>55</v>
      </c>
      <c r="B32" s="1">
        <f>blad1!D30</f>
        <v>0</v>
      </c>
      <c r="C32" s="31">
        <f>(B32/B55*100)</f>
        <v>0</v>
      </c>
      <c r="E32" s="1">
        <f t="shared" si="0"/>
        <v>0</v>
      </c>
      <c r="F32" s="1">
        <f t="shared" si="1"/>
        <v>0</v>
      </c>
    </row>
    <row r="33" spans="1:6" x14ac:dyDescent="0.2">
      <c r="A33" s="1">
        <v>57</v>
      </c>
      <c r="B33" s="1">
        <f>blad1!D31</f>
        <v>0</v>
      </c>
      <c r="C33" s="31">
        <f>(B33/B55*100)</f>
        <v>0</v>
      </c>
      <c r="E33" s="1">
        <f t="shared" si="0"/>
        <v>0</v>
      </c>
      <c r="F33" s="1">
        <f t="shared" si="1"/>
        <v>0</v>
      </c>
    </row>
    <row r="34" spans="1:6" x14ac:dyDescent="0.2">
      <c r="A34" s="1">
        <v>59</v>
      </c>
      <c r="B34" s="1">
        <f>blad1!D32</f>
        <v>0</v>
      </c>
      <c r="C34" s="31">
        <f>(B34/B55*100)</f>
        <v>0</v>
      </c>
      <c r="E34" s="1">
        <f t="shared" si="0"/>
        <v>0</v>
      </c>
      <c r="F34" s="1">
        <f t="shared" si="1"/>
        <v>0</v>
      </c>
    </row>
    <row r="35" spans="1:6" x14ac:dyDescent="0.2">
      <c r="A35" s="1">
        <v>61</v>
      </c>
      <c r="B35" s="1">
        <f>blad1!D33</f>
        <v>0</v>
      </c>
      <c r="C35" s="31">
        <f>(B35/B55*100)</f>
        <v>0</v>
      </c>
      <c r="E35" s="1">
        <f t="shared" si="0"/>
        <v>0</v>
      </c>
      <c r="F35" s="1">
        <f t="shared" si="1"/>
        <v>0</v>
      </c>
    </row>
    <row r="36" spans="1:6" x14ac:dyDescent="0.2">
      <c r="A36" s="1">
        <v>63</v>
      </c>
      <c r="B36" s="1">
        <f>blad1!D34</f>
        <v>0</v>
      </c>
      <c r="C36" s="31">
        <f>(B36/B55*100)</f>
        <v>0</v>
      </c>
      <c r="E36" s="1">
        <f t="shared" si="0"/>
        <v>0</v>
      </c>
      <c r="F36" s="1">
        <f t="shared" si="1"/>
        <v>0</v>
      </c>
    </row>
    <row r="37" spans="1:6" x14ac:dyDescent="0.2">
      <c r="A37" s="1">
        <v>65</v>
      </c>
      <c r="B37" s="1">
        <f>blad1!D35</f>
        <v>0</v>
      </c>
      <c r="C37" s="31">
        <f>(B37/B55*100)</f>
        <v>0</v>
      </c>
      <c r="E37" s="1">
        <f t="shared" si="0"/>
        <v>0</v>
      </c>
      <c r="F37" s="1">
        <f t="shared" si="1"/>
        <v>0</v>
      </c>
    </row>
    <row r="38" spans="1:6" x14ac:dyDescent="0.2">
      <c r="A38" s="1">
        <v>67</v>
      </c>
      <c r="B38" s="1">
        <f>blad1!D36</f>
        <v>0</v>
      </c>
      <c r="C38" s="31">
        <f>(B38/B55*100)</f>
        <v>0</v>
      </c>
      <c r="E38" s="1">
        <f t="shared" si="0"/>
        <v>0</v>
      </c>
      <c r="F38" s="1">
        <f t="shared" si="1"/>
        <v>0</v>
      </c>
    </row>
    <row r="39" spans="1:6" x14ac:dyDescent="0.2">
      <c r="A39" s="1">
        <v>69</v>
      </c>
      <c r="B39" s="1">
        <f>blad1!D37</f>
        <v>0</v>
      </c>
      <c r="C39" s="31">
        <f>(B39/B55*100)</f>
        <v>0</v>
      </c>
      <c r="E39" s="1">
        <f t="shared" si="0"/>
        <v>0</v>
      </c>
      <c r="F39" s="1">
        <f t="shared" si="1"/>
        <v>0</v>
      </c>
    </row>
    <row r="40" spans="1:6" x14ac:dyDescent="0.2">
      <c r="A40" s="1">
        <v>71</v>
      </c>
      <c r="B40" s="1">
        <f>blad1!D38</f>
        <v>0</v>
      </c>
      <c r="C40" s="31">
        <f>(B40/B55*100)</f>
        <v>0</v>
      </c>
      <c r="E40" s="1">
        <f t="shared" si="0"/>
        <v>0</v>
      </c>
      <c r="F40" s="1">
        <f t="shared" si="1"/>
        <v>0</v>
      </c>
    </row>
    <row r="41" spans="1:6" x14ac:dyDescent="0.2">
      <c r="A41" s="1">
        <v>73</v>
      </c>
      <c r="B41" s="1">
        <f>blad1!D39</f>
        <v>0</v>
      </c>
      <c r="C41" s="31">
        <f>(B41/B55*100)</f>
        <v>0</v>
      </c>
      <c r="E41" s="1">
        <f t="shared" si="0"/>
        <v>0</v>
      </c>
      <c r="F41" s="1">
        <f t="shared" si="1"/>
        <v>0</v>
      </c>
    </row>
    <row r="42" spans="1:6" x14ac:dyDescent="0.2">
      <c r="A42" s="1">
        <v>75</v>
      </c>
      <c r="B42" s="1">
        <f>blad1!D40</f>
        <v>0</v>
      </c>
      <c r="C42" s="31">
        <f>(B42/B55*100)</f>
        <v>0</v>
      </c>
      <c r="E42" s="1">
        <f t="shared" si="0"/>
        <v>0</v>
      </c>
      <c r="F42" s="1">
        <f t="shared" si="1"/>
        <v>0</v>
      </c>
    </row>
    <row r="43" spans="1:6" x14ac:dyDescent="0.2">
      <c r="A43" s="1">
        <v>77</v>
      </c>
      <c r="B43" s="1">
        <f>blad1!D41</f>
        <v>0</v>
      </c>
      <c r="C43" s="31">
        <f>(B43/B55*100)</f>
        <v>0</v>
      </c>
      <c r="E43" s="1">
        <f t="shared" si="0"/>
        <v>0</v>
      </c>
      <c r="F43" s="1">
        <f t="shared" si="1"/>
        <v>0</v>
      </c>
    </row>
    <row r="44" spans="1:6" x14ac:dyDescent="0.2">
      <c r="A44" s="1">
        <v>79</v>
      </c>
      <c r="B44" s="1">
        <f>blad1!D42</f>
        <v>0</v>
      </c>
      <c r="C44" s="31">
        <f>(B44/B55*100)</f>
        <v>0</v>
      </c>
      <c r="E44" s="1">
        <f t="shared" si="0"/>
        <v>0</v>
      </c>
      <c r="F44" s="1">
        <f t="shared" si="1"/>
        <v>0</v>
      </c>
    </row>
    <row r="45" spans="1:6" x14ac:dyDescent="0.2">
      <c r="A45" s="1">
        <v>81</v>
      </c>
      <c r="B45" s="1">
        <f>blad1!D43</f>
        <v>0</v>
      </c>
      <c r="C45" s="31">
        <f>(B45/B55*100)</f>
        <v>0</v>
      </c>
      <c r="E45" s="1">
        <f t="shared" si="0"/>
        <v>0</v>
      </c>
      <c r="F45" s="1">
        <f t="shared" si="1"/>
        <v>0</v>
      </c>
    </row>
    <row r="46" spans="1:6" x14ac:dyDescent="0.2">
      <c r="A46" s="1">
        <v>83</v>
      </c>
      <c r="B46" s="1">
        <f>blad1!D44</f>
        <v>0</v>
      </c>
      <c r="C46" s="31">
        <f>(B46/B55*100)</f>
        <v>0</v>
      </c>
      <c r="E46" s="1">
        <f t="shared" si="0"/>
        <v>0</v>
      </c>
      <c r="F46" s="1">
        <f t="shared" si="1"/>
        <v>0</v>
      </c>
    </row>
    <row r="47" spans="1:6" x14ac:dyDescent="0.2">
      <c r="A47" s="1">
        <v>85</v>
      </c>
      <c r="B47" s="1">
        <f>blad1!D45</f>
        <v>0</v>
      </c>
      <c r="C47" s="31">
        <f>(B47/B55*100)</f>
        <v>0</v>
      </c>
      <c r="E47" s="1">
        <f t="shared" si="0"/>
        <v>0</v>
      </c>
      <c r="F47" s="1">
        <f t="shared" si="1"/>
        <v>0</v>
      </c>
    </row>
    <row r="48" spans="1:6" x14ac:dyDescent="0.2">
      <c r="A48" s="1">
        <v>87</v>
      </c>
      <c r="B48" s="1">
        <f>blad1!D46</f>
        <v>0</v>
      </c>
      <c r="C48" s="31">
        <f>(B48/B55*100)</f>
        <v>0</v>
      </c>
      <c r="E48" s="1">
        <f t="shared" si="0"/>
        <v>0</v>
      </c>
      <c r="F48" s="1">
        <f t="shared" si="1"/>
        <v>0</v>
      </c>
    </row>
    <row r="49" spans="1:8" x14ac:dyDescent="0.2">
      <c r="A49" s="1">
        <v>89</v>
      </c>
      <c r="B49" s="1">
        <f>blad1!D47</f>
        <v>0</v>
      </c>
      <c r="C49" s="31">
        <f>(B49/B55*100)</f>
        <v>0</v>
      </c>
      <c r="E49" s="1">
        <f t="shared" si="0"/>
        <v>0</v>
      </c>
      <c r="F49" s="1">
        <f t="shared" si="1"/>
        <v>0</v>
      </c>
    </row>
    <row r="50" spans="1:8" x14ac:dyDescent="0.2">
      <c r="A50" s="1">
        <v>91</v>
      </c>
      <c r="B50" s="1">
        <f>blad1!D48</f>
        <v>0</v>
      </c>
      <c r="C50" s="31">
        <f>(B50/B55*100)</f>
        <v>0</v>
      </c>
      <c r="E50" s="1">
        <f t="shared" si="0"/>
        <v>0</v>
      </c>
      <c r="F50" s="1">
        <f t="shared" si="1"/>
        <v>0</v>
      </c>
    </row>
    <row r="51" spans="1:8" x14ac:dyDescent="0.2">
      <c r="A51" s="1">
        <v>93</v>
      </c>
      <c r="B51" s="1">
        <f>blad1!D49</f>
        <v>0</v>
      </c>
      <c r="C51" s="31">
        <f>(B51/B55*100)</f>
        <v>0</v>
      </c>
      <c r="E51" s="1">
        <f t="shared" si="0"/>
        <v>0</v>
      </c>
      <c r="F51" s="1">
        <f t="shared" si="1"/>
        <v>0</v>
      </c>
    </row>
    <row r="52" spans="1:8" x14ac:dyDescent="0.2">
      <c r="A52" s="1">
        <v>95</v>
      </c>
      <c r="B52" s="1">
        <f>blad1!D50</f>
        <v>0</v>
      </c>
      <c r="C52" s="31">
        <f>(B52/B55*100)</f>
        <v>0</v>
      </c>
      <c r="E52" s="1">
        <f t="shared" si="0"/>
        <v>0</v>
      </c>
      <c r="F52" s="1">
        <f t="shared" si="1"/>
        <v>0</v>
      </c>
    </row>
    <row r="53" spans="1:8" x14ac:dyDescent="0.2">
      <c r="A53" s="1">
        <v>97</v>
      </c>
      <c r="B53" s="1">
        <f>blad1!D51</f>
        <v>0</v>
      </c>
      <c r="C53" s="31">
        <f>(B53/B55*100)</f>
        <v>0</v>
      </c>
      <c r="E53" s="1">
        <f t="shared" si="0"/>
        <v>0</v>
      </c>
      <c r="F53" s="1">
        <f t="shared" si="1"/>
        <v>0</v>
      </c>
    </row>
    <row r="54" spans="1:8" x14ac:dyDescent="0.2">
      <c r="A54" s="1">
        <v>99</v>
      </c>
      <c r="B54" s="1">
        <f>blad1!D52</f>
        <v>0</v>
      </c>
      <c r="C54" s="31">
        <f>(B54/B55*100)</f>
        <v>0</v>
      </c>
      <c r="E54" s="1">
        <f t="shared" si="0"/>
        <v>0</v>
      </c>
      <c r="F54" s="1">
        <f t="shared" si="1"/>
        <v>0</v>
      </c>
    </row>
    <row r="55" spans="1:8" x14ac:dyDescent="0.2">
      <c r="A55" s="1" t="s">
        <v>5</v>
      </c>
      <c r="B55" s="1">
        <f>SUM(B5:B54)</f>
        <v>1650</v>
      </c>
    </row>
    <row r="56" spans="1:8" x14ac:dyDescent="0.2">
      <c r="E56" s="1" t="s">
        <v>6</v>
      </c>
      <c r="F56" s="1" t="s">
        <v>6</v>
      </c>
    </row>
    <row r="57" spans="1:8" x14ac:dyDescent="0.2">
      <c r="E57" s="1">
        <f>SUM(E5:E54)</f>
        <v>12836</v>
      </c>
      <c r="F57" s="1">
        <f>SUM(F5:F54)</f>
        <v>141922</v>
      </c>
      <c r="G57" s="1" t="s">
        <v>7</v>
      </c>
      <c r="H57" s="1" t="s">
        <v>5</v>
      </c>
    </row>
    <row r="58" spans="1:8" x14ac:dyDescent="0.2">
      <c r="E58" s="1">
        <f>(E57/SUM(B5:B54))</f>
        <v>7.7793939393939393</v>
      </c>
      <c r="F58" s="1">
        <f>1/(E57/F57)</f>
        <v>11.056559675911499</v>
      </c>
      <c r="G58" s="2">
        <f>(F58/E58)-1</f>
        <v>0.42126234537659513</v>
      </c>
    </row>
    <row r="61" spans="1:8" x14ac:dyDescent="0.2">
      <c r="A61" s="2">
        <f>blad1!H12</f>
        <v>109099.092</v>
      </c>
    </row>
    <row r="62" spans="1:8" x14ac:dyDescent="0.2">
      <c r="A62" s="1" t="s">
        <v>8</v>
      </c>
    </row>
    <row r="63" spans="1:8" x14ac:dyDescent="0.2">
      <c r="A63" s="2">
        <f>(1-grafiek!B13*A61)*100</f>
        <v>93.505344742483047</v>
      </c>
    </row>
  </sheetData>
  <phoneticPr fontId="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3"/>
  <sheetViews>
    <sheetView workbookViewId="0">
      <selection activeCell="D2" sqref="D2"/>
    </sheetView>
  </sheetViews>
  <sheetFormatPr defaultRowHeight="12.75" x14ac:dyDescent="0.2"/>
  <cols>
    <col min="1" max="1" width="11.85546875" bestFit="1" customWidth="1"/>
    <col min="2" max="2" width="11.140625" bestFit="1" customWidth="1"/>
    <col min="3" max="3" width="20.28515625" bestFit="1" customWidth="1"/>
    <col min="4" max="4" width="8.85546875" bestFit="1" customWidth="1"/>
  </cols>
  <sheetData>
    <row r="1" spans="1:4" x14ac:dyDescent="0.2">
      <c r="A1" s="34" t="s">
        <v>252</v>
      </c>
      <c r="B1" s="34" t="s">
        <v>253</v>
      </c>
      <c r="C1" s="34" t="s">
        <v>254</v>
      </c>
      <c r="D1" s="35" t="s">
        <v>255</v>
      </c>
    </row>
    <row r="2" spans="1:4" x14ac:dyDescent="0.2">
      <c r="A2" s="36" t="s">
        <v>256</v>
      </c>
      <c r="B2" s="36" t="s">
        <v>257</v>
      </c>
      <c r="C2" s="37">
        <v>45386</v>
      </c>
      <c r="D2" s="38">
        <v>0.15545100000000001</v>
      </c>
    </row>
    <row r="3" spans="1:4" ht="40.9" customHeight="1" x14ac:dyDescent="0.2">
      <c r="A3" s="48" t="s">
        <v>258</v>
      </c>
      <c r="B3" s="49"/>
      <c r="C3" s="49"/>
      <c r="D3" s="49"/>
    </row>
  </sheetData>
  <mergeCells count="1">
    <mergeCell ref="A3:D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P44"/>
  <sheetViews>
    <sheetView tabSelected="1" workbookViewId="0">
      <selection activeCell="U20" sqref="U20"/>
    </sheetView>
  </sheetViews>
  <sheetFormatPr defaultRowHeight="12.75" x14ac:dyDescent="0.2"/>
  <cols>
    <col min="1" max="1" width="15.28515625" bestFit="1" customWidth="1"/>
    <col min="2" max="2" width="52.85546875" bestFit="1" customWidth="1"/>
    <col min="3" max="3" width="8.85546875" bestFit="1" customWidth="1"/>
    <col min="7" max="7" width="7.140625" bestFit="1" customWidth="1"/>
    <col min="8" max="8" width="5" bestFit="1" customWidth="1"/>
    <col min="9" max="9" width="11.7109375" bestFit="1" customWidth="1"/>
    <col min="11" max="11" width="10.28515625" bestFit="1" customWidth="1"/>
    <col min="12" max="12" width="9.42578125" bestFit="1" customWidth="1"/>
    <col min="13" max="13" width="12.28515625" bestFit="1" customWidth="1"/>
    <col min="17" max="17" width="10.28515625" customWidth="1"/>
    <col min="18" max="18" width="10.42578125" customWidth="1"/>
    <col min="19" max="19" width="26.85546875" bestFit="1" customWidth="1"/>
    <col min="20" max="20" width="20.140625" customWidth="1"/>
    <col min="21" max="21" width="31.140625" bestFit="1" customWidth="1"/>
    <col min="22" max="22" width="14" customWidth="1"/>
    <col min="24" max="24" width="12.140625" bestFit="1" customWidth="1"/>
    <col min="25" max="25" width="11" bestFit="1" customWidth="1"/>
    <col min="27" max="27" width="7.42578125" bestFit="1" customWidth="1"/>
    <col min="28" max="28" width="10.28515625" bestFit="1" customWidth="1"/>
    <col min="29" max="29" width="13.5703125" bestFit="1" customWidth="1"/>
    <col min="30" max="30" width="11" customWidth="1"/>
    <col min="31" max="31" width="16.42578125" customWidth="1"/>
    <col min="32" max="32" width="4.28515625" customWidth="1"/>
    <col min="33" max="33" width="6.7109375" bestFit="1" customWidth="1"/>
    <col min="34" max="34" width="15.42578125" bestFit="1" customWidth="1"/>
    <col min="35" max="35" width="8.5703125" bestFit="1" customWidth="1"/>
    <col min="36" max="36" width="12.7109375" bestFit="1" customWidth="1"/>
    <col min="37" max="37" width="10.140625" bestFit="1" customWidth="1"/>
    <col min="38" max="38" width="13.85546875" bestFit="1" customWidth="1"/>
    <col min="39" max="39" width="17.85546875" bestFit="1" customWidth="1"/>
    <col min="40" max="40" width="11.42578125" customWidth="1"/>
  </cols>
  <sheetData>
    <row r="1" spans="1:42" x14ac:dyDescent="0.2">
      <c r="A1" s="39" t="s">
        <v>259</v>
      </c>
      <c r="B1" s="39" t="s">
        <v>260</v>
      </c>
      <c r="C1" s="53" t="s">
        <v>261</v>
      </c>
      <c r="F1" s="20"/>
    </row>
    <row r="2" spans="1:42" ht="17.649999999999999" customHeight="1" x14ac:dyDescent="0.2">
      <c r="A2" s="51" t="s">
        <v>379</v>
      </c>
      <c r="B2" s="49"/>
      <c r="C2" s="49"/>
      <c r="F2" s="20" t="s">
        <v>373</v>
      </c>
      <c r="P2" s="44" t="s">
        <v>366</v>
      </c>
      <c r="Q2" s="43" t="s">
        <v>365</v>
      </c>
      <c r="S2" s="45" t="s">
        <v>378</v>
      </c>
      <c r="T2" s="45"/>
      <c r="U2" s="45" t="s">
        <v>377</v>
      </c>
    </row>
    <row r="3" spans="1:42" ht="17.649999999999999" customHeight="1" x14ac:dyDescent="0.2">
      <c r="A3" s="52" t="s">
        <v>262</v>
      </c>
      <c r="B3" s="49"/>
      <c r="C3" s="49"/>
      <c r="F3" t="s">
        <v>332</v>
      </c>
      <c r="G3" t="s">
        <v>333</v>
      </c>
      <c r="H3" t="s">
        <v>334</v>
      </c>
      <c r="I3" t="s">
        <v>335</v>
      </c>
      <c r="J3" t="s">
        <v>336</v>
      </c>
      <c r="K3" t="s">
        <v>337</v>
      </c>
      <c r="L3" t="s">
        <v>338</v>
      </c>
      <c r="M3" t="s">
        <v>339</v>
      </c>
      <c r="N3" t="s">
        <v>340</v>
      </c>
      <c r="O3" t="s">
        <v>341</v>
      </c>
      <c r="P3" s="45" t="s">
        <v>374</v>
      </c>
      <c r="Q3" t="s">
        <v>342</v>
      </c>
      <c r="R3" t="s">
        <v>343</v>
      </c>
      <c r="S3" s="45" t="s">
        <v>371</v>
      </c>
      <c r="T3" s="45" t="s">
        <v>376</v>
      </c>
      <c r="U3" s="45" t="s">
        <v>375</v>
      </c>
      <c r="V3" s="45"/>
      <c r="W3" t="s">
        <v>344</v>
      </c>
      <c r="X3" t="s">
        <v>345</v>
      </c>
      <c r="Y3" t="s">
        <v>346</v>
      </c>
      <c r="Z3" t="s">
        <v>347</v>
      </c>
      <c r="AA3" t="s">
        <v>348</v>
      </c>
      <c r="AB3" t="s">
        <v>349</v>
      </c>
      <c r="AC3" t="s">
        <v>350</v>
      </c>
      <c r="AD3" t="s">
        <v>351</v>
      </c>
      <c r="AE3" t="s">
        <v>352</v>
      </c>
      <c r="AF3" t="s">
        <v>353</v>
      </c>
      <c r="AG3" t="s">
        <v>354</v>
      </c>
      <c r="AH3" t="s">
        <v>355</v>
      </c>
      <c r="AI3" t="s">
        <v>356</v>
      </c>
      <c r="AJ3" t="s">
        <v>357</v>
      </c>
      <c r="AK3" t="s">
        <v>358</v>
      </c>
      <c r="AL3" t="s">
        <v>359</v>
      </c>
      <c r="AM3" t="s">
        <v>360</v>
      </c>
      <c r="AN3" t="s">
        <v>361</v>
      </c>
      <c r="AO3" t="s">
        <v>362</v>
      </c>
      <c r="AP3" t="s">
        <v>363</v>
      </c>
    </row>
    <row r="4" spans="1:42" x14ac:dyDescent="0.2">
      <c r="A4" s="40" t="s">
        <v>263</v>
      </c>
      <c r="B4" s="40" t="s">
        <v>264</v>
      </c>
      <c r="C4" s="41">
        <v>0</v>
      </c>
      <c r="F4" t="s">
        <v>263</v>
      </c>
      <c r="G4">
        <v>18</v>
      </c>
      <c r="H4" t="s">
        <v>298</v>
      </c>
      <c r="I4">
        <v>10</v>
      </c>
      <c r="J4">
        <v>128</v>
      </c>
      <c r="K4" t="s">
        <v>256</v>
      </c>
      <c r="L4">
        <v>102</v>
      </c>
      <c r="M4">
        <v>128</v>
      </c>
      <c r="N4">
        <v>1</v>
      </c>
      <c r="O4">
        <v>1</v>
      </c>
      <c r="P4" s="46">
        <v>1.0738602900000001</v>
      </c>
      <c r="Q4">
        <v>170.31</v>
      </c>
      <c r="R4">
        <v>1.0587610999999999</v>
      </c>
      <c r="S4" s="45">
        <f>R4/P4</f>
        <v>0.9859393348086275</v>
      </c>
      <c r="U4" s="47">
        <f>S4</f>
        <v>0.9859393348086275</v>
      </c>
      <c r="W4" t="s">
        <v>50</v>
      </c>
      <c r="X4" t="s">
        <v>364</v>
      </c>
      <c r="Y4" s="42">
        <v>45372.290763888886</v>
      </c>
      <c r="Z4" t="s">
        <v>256</v>
      </c>
      <c r="AA4">
        <v>102</v>
      </c>
      <c r="AB4">
        <v>128</v>
      </c>
      <c r="AC4">
        <v>1</v>
      </c>
      <c r="AD4">
        <v>1</v>
      </c>
      <c r="AE4" s="42">
        <v>45372.290763888886</v>
      </c>
      <c r="AF4">
        <v>1</v>
      </c>
      <c r="AG4">
        <v>1</v>
      </c>
      <c r="AH4">
        <v>0</v>
      </c>
      <c r="AI4">
        <v>10</v>
      </c>
      <c r="AK4">
        <v>10</v>
      </c>
      <c r="AL4">
        <v>1.0784670999999999</v>
      </c>
      <c r="AM4">
        <v>1</v>
      </c>
      <c r="AN4">
        <v>10</v>
      </c>
      <c r="AP4" t="s">
        <v>299</v>
      </c>
    </row>
    <row r="5" spans="1:42" x14ac:dyDescent="0.2">
      <c r="A5" s="40" t="s">
        <v>265</v>
      </c>
      <c r="B5" s="40" t="s">
        <v>266</v>
      </c>
      <c r="C5" s="41">
        <v>0</v>
      </c>
      <c r="F5" t="s">
        <v>300</v>
      </c>
      <c r="G5">
        <v>40</v>
      </c>
      <c r="H5" t="s">
        <v>298</v>
      </c>
      <c r="I5">
        <v>10</v>
      </c>
      <c r="J5">
        <v>128</v>
      </c>
      <c r="K5" t="s">
        <v>263</v>
      </c>
      <c r="L5">
        <v>18</v>
      </c>
      <c r="M5">
        <v>128</v>
      </c>
      <c r="N5">
        <v>1</v>
      </c>
      <c r="O5">
        <v>1</v>
      </c>
      <c r="P5" s="46">
        <v>1.0738602900000001</v>
      </c>
      <c r="Q5">
        <v>170.31</v>
      </c>
      <c r="R5">
        <v>1.0738608000000001</v>
      </c>
      <c r="S5" s="45">
        <f>R5/P5</f>
        <v>1.000000474922115</v>
      </c>
      <c r="T5">
        <f>U4</f>
        <v>0.9859393348086275</v>
      </c>
      <c r="U5" s="45">
        <f>S5*T5</f>
        <v>0.98593980305302165</v>
      </c>
      <c r="W5" t="s">
        <v>50</v>
      </c>
      <c r="X5" t="s">
        <v>364</v>
      </c>
      <c r="Y5" s="42">
        <v>45372.290763888886</v>
      </c>
      <c r="Z5" t="s">
        <v>256</v>
      </c>
      <c r="AA5">
        <v>102</v>
      </c>
      <c r="AB5">
        <v>128</v>
      </c>
      <c r="AC5">
        <v>1</v>
      </c>
      <c r="AD5">
        <v>1</v>
      </c>
      <c r="AE5" s="42">
        <v>45372.290763888886</v>
      </c>
      <c r="AF5">
        <v>2</v>
      </c>
      <c r="AG5" t="s">
        <v>301</v>
      </c>
      <c r="AH5" t="s">
        <v>302</v>
      </c>
      <c r="AI5">
        <v>10</v>
      </c>
      <c r="AJ5">
        <v>10</v>
      </c>
      <c r="AK5">
        <v>10</v>
      </c>
      <c r="AL5">
        <v>1.0738603</v>
      </c>
      <c r="AM5">
        <v>1</v>
      </c>
      <c r="AN5" t="s">
        <v>303</v>
      </c>
      <c r="AO5" t="s">
        <v>304</v>
      </c>
      <c r="AP5" t="s">
        <v>305</v>
      </c>
    </row>
    <row r="6" spans="1:42" x14ac:dyDescent="0.2">
      <c r="A6" s="40" t="s">
        <v>267</v>
      </c>
      <c r="B6" s="40" t="s">
        <v>268</v>
      </c>
      <c r="C6" s="54">
        <v>0.24393699999999999</v>
      </c>
      <c r="F6" t="s">
        <v>306</v>
      </c>
      <c r="G6">
        <v>-1</v>
      </c>
      <c r="H6" t="s">
        <v>298</v>
      </c>
      <c r="I6">
        <v>10</v>
      </c>
      <c r="J6">
        <v>128</v>
      </c>
      <c r="K6" t="s">
        <v>300</v>
      </c>
      <c r="L6">
        <v>40</v>
      </c>
      <c r="M6">
        <v>128</v>
      </c>
      <c r="N6">
        <v>1</v>
      </c>
      <c r="O6">
        <v>1</v>
      </c>
      <c r="P6" s="46">
        <v>0.92</v>
      </c>
      <c r="Q6">
        <v>36.1</v>
      </c>
      <c r="R6">
        <v>0.2276224</v>
      </c>
      <c r="S6" s="45">
        <f>R6/P6</f>
        <v>0.24741565217391304</v>
      </c>
      <c r="T6">
        <f>$U$5</f>
        <v>0.98593980305302165</v>
      </c>
      <c r="U6" s="55">
        <f>S6*T6</f>
        <v>0.24393693937658273</v>
      </c>
      <c r="W6" t="s">
        <v>50</v>
      </c>
      <c r="X6" t="s">
        <v>364</v>
      </c>
      <c r="Y6" s="42">
        <v>45372.290763888886</v>
      </c>
      <c r="Z6" t="s">
        <v>256</v>
      </c>
      <c r="AA6">
        <v>102</v>
      </c>
      <c r="AB6">
        <v>128</v>
      </c>
      <c r="AC6">
        <v>1</v>
      </c>
      <c r="AD6">
        <v>1</v>
      </c>
      <c r="AE6" s="42">
        <v>45372.290763888886</v>
      </c>
      <c r="AF6">
        <v>3</v>
      </c>
      <c r="AG6" t="s">
        <v>307</v>
      </c>
      <c r="AH6" t="s">
        <v>308</v>
      </c>
      <c r="AI6">
        <v>10</v>
      </c>
      <c r="AJ6" t="s">
        <v>303</v>
      </c>
      <c r="AK6">
        <v>10</v>
      </c>
      <c r="AL6">
        <v>1.0738603</v>
      </c>
      <c r="AM6">
        <v>0</v>
      </c>
      <c r="AN6" t="s">
        <v>309</v>
      </c>
      <c r="AO6" t="s">
        <v>310</v>
      </c>
      <c r="AP6" t="s">
        <v>311</v>
      </c>
    </row>
    <row r="7" spans="1:42" x14ac:dyDescent="0.2">
      <c r="A7" s="40" t="s">
        <v>269</v>
      </c>
      <c r="B7" s="40" t="s">
        <v>270</v>
      </c>
      <c r="C7" s="54">
        <v>0.441384</v>
      </c>
      <c r="F7" t="s">
        <v>312</v>
      </c>
      <c r="G7">
        <v>-1</v>
      </c>
      <c r="H7" t="s">
        <v>298</v>
      </c>
      <c r="I7">
        <v>20</v>
      </c>
      <c r="J7">
        <v>128</v>
      </c>
      <c r="K7" t="s">
        <v>300</v>
      </c>
      <c r="L7">
        <v>40</v>
      </c>
      <c r="M7">
        <v>128</v>
      </c>
      <c r="N7">
        <v>1</v>
      </c>
      <c r="O7">
        <v>1</v>
      </c>
      <c r="P7" s="46">
        <v>0.9</v>
      </c>
      <c r="Q7">
        <v>63.9</v>
      </c>
      <c r="R7">
        <v>0.40291060000000001</v>
      </c>
      <c r="S7" s="45">
        <f t="shared" ref="S7:S20" si="0">R7/P7</f>
        <v>0.44767844444444443</v>
      </c>
      <c r="T7">
        <f t="shared" ref="T7:T16" si="1">$U$5</f>
        <v>0.98593980305302165</v>
      </c>
      <c r="U7" s="45">
        <f>S7*T7</f>
        <v>0.44138399734663863</v>
      </c>
      <c r="W7" t="s">
        <v>50</v>
      </c>
      <c r="X7" t="s">
        <v>364</v>
      </c>
      <c r="Y7" s="42">
        <v>45372.290763888886</v>
      </c>
      <c r="Z7" t="s">
        <v>256</v>
      </c>
      <c r="AA7">
        <v>102</v>
      </c>
      <c r="AB7">
        <v>128</v>
      </c>
      <c r="AC7">
        <v>1</v>
      </c>
      <c r="AD7">
        <v>1</v>
      </c>
      <c r="AE7" s="42">
        <v>45372.290763888886</v>
      </c>
      <c r="AF7">
        <v>3</v>
      </c>
      <c r="AG7" t="s">
        <v>307</v>
      </c>
      <c r="AH7" t="s">
        <v>308</v>
      </c>
      <c r="AI7">
        <v>20</v>
      </c>
      <c r="AJ7" t="s">
        <v>303</v>
      </c>
      <c r="AK7">
        <v>10</v>
      </c>
      <c r="AL7">
        <v>1.0738603</v>
      </c>
      <c r="AM7">
        <v>0</v>
      </c>
      <c r="AN7" t="s">
        <v>313</v>
      </c>
      <c r="AO7" t="s">
        <v>310</v>
      </c>
      <c r="AP7" t="s">
        <v>311</v>
      </c>
    </row>
    <row r="8" spans="1:42" x14ac:dyDescent="0.2">
      <c r="A8" s="40" t="s">
        <v>271</v>
      </c>
      <c r="B8" s="40" t="s">
        <v>272</v>
      </c>
      <c r="C8" s="54">
        <v>0.15545100000000001</v>
      </c>
      <c r="F8" t="s">
        <v>314</v>
      </c>
      <c r="G8">
        <v>-1</v>
      </c>
      <c r="H8" t="s">
        <v>298</v>
      </c>
      <c r="I8">
        <v>30</v>
      </c>
      <c r="J8">
        <v>128</v>
      </c>
      <c r="K8" t="s">
        <v>300</v>
      </c>
      <c r="L8">
        <v>40</v>
      </c>
      <c r="M8">
        <v>128</v>
      </c>
      <c r="N8">
        <v>1</v>
      </c>
      <c r="O8">
        <v>1</v>
      </c>
      <c r="P8" s="46">
        <v>1.82</v>
      </c>
      <c r="Q8">
        <v>45.51</v>
      </c>
      <c r="R8">
        <v>0.28695559999999998</v>
      </c>
      <c r="S8" s="45">
        <f t="shared" si="0"/>
        <v>0.15766791208791206</v>
      </c>
      <c r="T8">
        <f t="shared" si="1"/>
        <v>0.98593980305302165</v>
      </c>
      <c r="U8" s="45">
        <f t="shared" ref="U8:U16" si="2">S8*T8</f>
        <v>0.15545107019173715</v>
      </c>
      <c r="W8" t="s">
        <v>50</v>
      </c>
      <c r="X8" t="s">
        <v>364</v>
      </c>
      <c r="Y8" s="42">
        <v>45372.290763888886</v>
      </c>
      <c r="Z8" t="s">
        <v>256</v>
      </c>
      <c r="AA8">
        <v>102</v>
      </c>
      <c r="AB8">
        <v>128</v>
      </c>
      <c r="AC8">
        <v>1</v>
      </c>
      <c r="AD8">
        <v>1</v>
      </c>
      <c r="AE8" s="42">
        <v>45372.290763888886</v>
      </c>
      <c r="AF8">
        <v>3</v>
      </c>
      <c r="AG8" t="s">
        <v>307</v>
      </c>
      <c r="AH8" t="s">
        <v>308</v>
      </c>
      <c r="AI8">
        <v>30</v>
      </c>
      <c r="AJ8" t="s">
        <v>303</v>
      </c>
      <c r="AK8">
        <v>10</v>
      </c>
      <c r="AL8">
        <v>1.0738603</v>
      </c>
      <c r="AM8">
        <v>0</v>
      </c>
      <c r="AN8" t="s">
        <v>315</v>
      </c>
      <c r="AO8" t="s">
        <v>310</v>
      </c>
      <c r="AP8" t="s">
        <v>311</v>
      </c>
    </row>
    <row r="9" spans="1:42" x14ac:dyDescent="0.2">
      <c r="A9" s="40" t="s">
        <v>273</v>
      </c>
      <c r="B9" s="40" t="s">
        <v>274</v>
      </c>
      <c r="C9" s="54">
        <v>8.1179000000000001E-2</v>
      </c>
      <c r="F9" t="s">
        <v>316</v>
      </c>
      <c r="G9">
        <v>-1</v>
      </c>
      <c r="H9" t="s">
        <v>298</v>
      </c>
      <c r="I9">
        <v>40</v>
      </c>
      <c r="J9">
        <v>128</v>
      </c>
      <c r="K9" t="s">
        <v>300</v>
      </c>
      <c r="L9">
        <v>40</v>
      </c>
      <c r="M9">
        <v>128</v>
      </c>
      <c r="N9">
        <v>1</v>
      </c>
      <c r="O9">
        <v>1</v>
      </c>
      <c r="P9" s="46">
        <v>0.94499999999999995</v>
      </c>
      <c r="Q9">
        <v>12.34</v>
      </c>
      <c r="R9">
        <v>7.7807799999999996E-2</v>
      </c>
      <c r="S9" s="45">
        <f t="shared" si="0"/>
        <v>8.2336296296296296E-2</v>
      </c>
      <c r="T9">
        <f t="shared" si="1"/>
        <v>0.98593980305302165</v>
      </c>
      <c r="U9" s="45">
        <f t="shared" si="2"/>
        <v>8.11786317544856E-2</v>
      </c>
      <c r="W9" t="s">
        <v>50</v>
      </c>
      <c r="X9" t="s">
        <v>364</v>
      </c>
      <c r="Y9" s="42">
        <v>45372.290763888886</v>
      </c>
      <c r="Z9" t="s">
        <v>256</v>
      </c>
      <c r="AA9">
        <v>102</v>
      </c>
      <c r="AB9">
        <v>128</v>
      </c>
      <c r="AC9">
        <v>1</v>
      </c>
      <c r="AD9">
        <v>1</v>
      </c>
      <c r="AE9" s="42">
        <v>45372.290763888886</v>
      </c>
      <c r="AF9">
        <v>3</v>
      </c>
      <c r="AG9" t="s">
        <v>307</v>
      </c>
      <c r="AH9" t="s">
        <v>308</v>
      </c>
      <c r="AI9">
        <v>40</v>
      </c>
      <c r="AJ9" t="s">
        <v>303</v>
      </c>
      <c r="AK9">
        <v>10</v>
      </c>
      <c r="AL9">
        <v>1.0738603</v>
      </c>
      <c r="AM9">
        <v>0</v>
      </c>
      <c r="AN9" t="s">
        <v>317</v>
      </c>
      <c r="AO9" t="s">
        <v>310</v>
      </c>
      <c r="AP9" t="s">
        <v>311</v>
      </c>
    </row>
    <row r="10" spans="1:42" x14ac:dyDescent="0.2">
      <c r="A10" s="40" t="s">
        <v>275</v>
      </c>
      <c r="B10" s="40" t="s">
        <v>276</v>
      </c>
      <c r="C10" s="54">
        <v>2.6280000000000001E-3</v>
      </c>
      <c r="F10" t="s">
        <v>318</v>
      </c>
      <c r="G10">
        <v>-1</v>
      </c>
      <c r="H10" t="s">
        <v>298</v>
      </c>
      <c r="I10">
        <v>50</v>
      </c>
      <c r="J10">
        <v>128</v>
      </c>
      <c r="K10" t="s">
        <v>300</v>
      </c>
      <c r="L10">
        <v>40</v>
      </c>
      <c r="M10">
        <v>128</v>
      </c>
      <c r="N10">
        <v>1</v>
      </c>
      <c r="O10">
        <v>1</v>
      </c>
      <c r="P10" s="46">
        <v>5.63</v>
      </c>
      <c r="Q10">
        <v>2.38</v>
      </c>
      <c r="R10">
        <v>1.50067E-2</v>
      </c>
      <c r="S10" s="45">
        <f t="shared" si="0"/>
        <v>2.6654884547069272E-3</v>
      </c>
      <c r="T10">
        <f t="shared" si="1"/>
        <v>0.98593980305302165</v>
      </c>
      <c r="U10" s="45">
        <f t="shared" si="2"/>
        <v>2.6280111620738508E-3</v>
      </c>
      <c r="W10" t="s">
        <v>50</v>
      </c>
      <c r="X10" t="s">
        <v>364</v>
      </c>
      <c r="Y10" s="42">
        <v>45372.290763888886</v>
      </c>
      <c r="Z10" t="s">
        <v>256</v>
      </c>
      <c r="AA10">
        <v>102</v>
      </c>
      <c r="AB10">
        <v>128</v>
      </c>
      <c r="AC10">
        <v>1</v>
      </c>
      <c r="AD10">
        <v>1</v>
      </c>
      <c r="AE10" s="42">
        <v>45372.290763888886</v>
      </c>
      <c r="AF10">
        <v>3</v>
      </c>
      <c r="AG10" t="s">
        <v>307</v>
      </c>
      <c r="AH10" t="s">
        <v>308</v>
      </c>
      <c r="AI10">
        <v>50</v>
      </c>
      <c r="AJ10" t="s">
        <v>303</v>
      </c>
      <c r="AK10">
        <v>10</v>
      </c>
      <c r="AL10">
        <v>1.0738603</v>
      </c>
      <c r="AM10">
        <v>0</v>
      </c>
      <c r="AN10" t="s">
        <v>319</v>
      </c>
      <c r="AO10" t="s">
        <v>310</v>
      </c>
      <c r="AP10" t="s">
        <v>311</v>
      </c>
    </row>
    <row r="11" spans="1:42" x14ac:dyDescent="0.2">
      <c r="A11" s="40" t="s">
        <v>277</v>
      </c>
      <c r="B11" s="40" t="s">
        <v>278</v>
      </c>
      <c r="C11" s="54">
        <v>1.2222E-2</v>
      </c>
      <c r="F11" t="s">
        <v>320</v>
      </c>
      <c r="G11">
        <v>-1</v>
      </c>
      <c r="H11" t="s">
        <v>298</v>
      </c>
      <c r="I11">
        <v>60</v>
      </c>
      <c r="J11">
        <v>128</v>
      </c>
      <c r="K11" t="s">
        <v>300</v>
      </c>
      <c r="L11">
        <v>40</v>
      </c>
      <c r="M11">
        <v>128</v>
      </c>
      <c r="N11">
        <v>1</v>
      </c>
      <c r="O11">
        <v>1</v>
      </c>
      <c r="P11" s="46">
        <v>0.94099999999999995</v>
      </c>
      <c r="Q11">
        <v>1.85</v>
      </c>
      <c r="R11">
        <v>1.1664900000000001E-2</v>
      </c>
      <c r="S11" s="45">
        <f t="shared" si="0"/>
        <v>1.2396280552603615E-2</v>
      </c>
      <c r="T11">
        <f t="shared" si="1"/>
        <v>0.98593980305302165</v>
      </c>
      <c r="U11" s="45">
        <f t="shared" si="2"/>
        <v>1.2221986406624009E-2</v>
      </c>
      <c r="W11" t="s">
        <v>50</v>
      </c>
      <c r="X11" t="s">
        <v>364</v>
      </c>
      <c r="Y11" s="42">
        <v>45372.290763888886</v>
      </c>
      <c r="Z11" t="s">
        <v>256</v>
      </c>
      <c r="AA11">
        <v>102</v>
      </c>
      <c r="AB11">
        <v>128</v>
      </c>
      <c r="AC11">
        <v>1</v>
      </c>
      <c r="AD11">
        <v>1</v>
      </c>
      <c r="AE11" s="42">
        <v>45372.290763888886</v>
      </c>
      <c r="AF11">
        <v>3</v>
      </c>
      <c r="AG11" t="s">
        <v>307</v>
      </c>
      <c r="AH11" t="s">
        <v>308</v>
      </c>
      <c r="AI11">
        <v>60</v>
      </c>
      <c r="AJ11" t="s">
        <v>303</v>
      </c>
      <c r="AK11">
        <v>10</v>
      </c>
      <c r="AL11">
        <v>1.0738603</v>
      </c>
      <c r="AM11">
        <v>0</v>
      </c>
      <c r="AN11" t="s">
        <v>321</v>
      </c>
      <c r="AO11" t="s">
        <v>310</v>
      </c>
      <c r="AP11" t="s">
        <v>311</v>
      </c>
    </row>
    <row r="12" spans="1:42" x14ac:dyDescent="0.2">
      <c r="A12" s="40" t="s">
        <v>279</v>
      </c>
      <c r="B12" s="40" t="s">
        <v>280</v>
      </c>
      <c r="C12" s="54">
        <v>2.0268000000000001E-2</v>
      </c>
      <c r="F12" t="s">
        <v>322</v>
      </c>
      <c r="G12">
        <v>-1</v>
      </c>
      <c r="H12" t="s">
        <v>298</v>
      </c>
      <c r="I12">
        <v>70</v>
      </c>
      <c r="J12">
        <v>128</v>
      </c>
      <c r="K12" t="s">
        <v>300</v>
      </c>
      <c r="L12">
        <v>40</v>
      </c>
      <c r="M12">
        <v>128</v>
      </c>
      <c r="N12">
        <v>1</v>
      </c>
      <c r="O12">
        <v>1</v>
      </c>
      <c r="P12" s="46">
        <v>1.095</v>
      </c>
      <c r="Q12">
        <v>3.57</v>
      </c>
      <c r="R12">
        <v>2.2509999999999999E-2</v>
      </c>
      <c r="S12" s="45">
        <f t="shared" si="0"/>
        <v>2.0557077625570776E-2</v>
      </c>
      <c r="T12">
        <f t="shared" si="1"/>
        <v>0.98593980305302165</v>
      </c>
      <c r="U12" s="45">
        <f t="shared" si="2"/>
        <v>2.0268041065500928E-2</v>
      </c>
      <c r="W12" t="s">
        <v>50</v>
      </c>
      <c r="X12" t="s">
        <v>364</v>
      </c>
      <c r="Y12" s="42">
        <v>45372.290763888886</v>
      </c>
      <c r="Z12" t="s">
        <v>256</v>
      </c>
      <c r="AA12">
        <v>102</v>
      </c>
      <c r="AB12">
        <v>128</v>
      </c>
      <c r="AC12">
        <v>1</v>
      </c>
      <c r="AD12">
        <v>1</v>
      </c>
      <c r="AE12" s="42">
        <v>45372.290763888886</v>
      </c>
      <c r="AF12">
        <v>3</v>
      </c>
      <c r="AG12" t="s">
        <v>307</v>
      </c>
      <c r="AH12" t="s">
        <v>308</v>
      </c>
      <c r="AI12">
        <v>70</v>
      </c>
      <c r="AJ12" t="s">
        <v>303</v>
      </c>
      <c r="AK12">
        <v>10</v>
      </c>
      <c r="AL12">
        <v>1.0738603</v>
      </c>
      <c r="AM12">
        <v>0</v>
      </c>
      <c r="AN12" t="s">
        <v>323</v>
      </c>
      <c r="AO12" t="s">
        <v>310</v>
      </c>
      <c r="AP12" t="s">
        <v>311</v>
      </c>
    </row>
    <row r="13" spans="1:42" x14ac:dyDescent="0.2">
      <c r="A13" s="40" t="s">
        <v>281</v>
      </c>
      <c r="B13" s="40" t="s">
        <v>282</v>
      </c>
      <c r="C13" s="54">
        <v>1.0154E-2</v>
      </c>
      <c r="F13" t="s">
        <v>324</v>
      </c>
      <c r="G13">
        <v>-1</v>
      </c>
      <c r="H13" t="s">
        <v>298</v>
      </c>
      <c r="I13">
        <v>80</v>
      </c>
      <c r="J13">
        <v>128</v>
      </c>
      <c r="K13" t="s">
        <v>300</v>
      </c>
      <c r="L13">
        <v>40</v>
      </c>
      <c r="M13">
        <v>128</v>
      </c>
      <c r="N13">
        <v>1</v>
      </c>
      <c r="O13">
        <v>1</v>
      </c>
      <c r="P13" s="46">
        <v>0.9</v>
      </c>
      <c r="Q13">
        <v>1.47</v>
      </c>
      <c r="R13">
        <v>9.2688000000000006E-3</v>
      </c>
      <c r="S13" s="45">
        <f t="shared" si="0"/>
        <v>1.0298666666666668E-2</v>
      </c>
      <c r="T13">
        <f t="shared" si="1"/>
        <v>0.98593980305302165</v>
      </c>
      <c r="U13" s="45">
        <f t="shared" si="2"/>
        <v>1.0153865385042054E-2</v>
      </c>
      <c r="W13" t="s">
        <v>50</v>
      </c>
      <c r="X13" t="s">
        <v>364</v>
      </c>
      <c r="Y13" s="42">
        <v>45372.290763888886</v>
      </c>
      <c r="Z13" t="s">
        <v>256</v>
      </c>
      <c r="AA13">
        <v>102</v>
      </c>
      <c r="AB13">
        <v>128</v>
      </c>
      <c r="AC13">
        <v>1</v>
      </c>
      <c r="AD13">
        <v>1</v>
      </c>
      <c r="AE13" s="42">
        <v>45372.290763888886</v>
      </c>
      <c r="AF13">
        <v>3</v>
      </c>
      <c r="AG13" t="s">
        <v>307</v>
      </c>
      <c r="AH13" t="s">
        <v>308</v>
      </c>
      <c r="AI13">
        <v>80</v>
      </c>
      <c r="AJ13" t="s">
        <v>303</v>
      </c>
      <c r="AK13">
        <v>10</v>
      </c>
      <c r="AL13">
        <v>1.0738603</v>
      </c>
      <c r="AM13">
        <v>0</v>
      </c>
      <c r="AN13" t="s">
        <v>325</v>
      </c>
      <c r="AO13" t="s">
        <v>310</v>
      </c>
      <c r="AP13" t="s">
        <v>311</v>
      </c>
    </row>
    <row r="14" spans="1:42" x14ac:dyDescent="0.2">
      <c r="A14" s="40" t="s">
        <v>283</v>
      </c>
      <c r="B14" s="40" t="s">
        <v>284</v>
      </c>
      <c r="C14" s="54">
        <v>4.9370000000000004E-3</v>
      </c>
      <c r="F14" t="s">
        <v>326</v>
      </c>
      <c r="G14">
        <v>-1</v>
      </c>
      <c r="H14" t="s">
        <v>298</v>
      </c>
      <c r="I14">
        <v>90</v>
      </c>
      <c r="J14">
        <v>128</v>
      </c>
      <c r="K14" t="s">
        <v>300</v>
      </c>
      <c r="L14">
        <v>40</v>
      </c>
      <c r="M14">
        <v>128</v>
      </c>
      <c r="N14">
        <v>1</v>
      </c>
      <c r="O14">
        <v>1</v>
      </c>
      <c r="P14" s="46">
        <v>1.02</v>
      </c>
      <c r="Q14">
        <v>0.81</v>
      </c>
      <c r="R14">
        <v>5.1073000000000004E-3</v>
      </c>
      <c r="S14" s="45">
        <f t="shared" si="0"/>
        <v>5.007156862745098E-3</v>
      </c>
      <c r="T14">
        <f t="shared" si="1"/>
        <v>0.98593980305302165</v>
      </c>
      <c r="U14" s="45">
        <f t="shared" si="2"/>
        <v>4.9367552511104876E-3</v>
      </c>
      <c r="W14" t="s">
        <v>50</v>
      </c>
      <c r="X14" t="s">
        <v>364</v>
      </c>
      <c r="Y14" s="42">
        <v>45372.290763888886</v>
      </c>
      <c r="Z14" t="s">
        <v>256</v>
      </c>
      <c r="AA14">
        <v>102</v>
      </c>
      <c r="AB14">
        <v>128</v>
      </c>
      <c r="AC14">
        <v>1</v>
      </c>
      <c r="AD14">
        <v>1</v>
      </c>
      <c r="AE14" s="42">
        <v>45372.290763888886</v>
      </c>
      <c r="AF14">
        <v>3</v>
      </c>
      <c r="AG14" t="s">
        <v>307</v>
      </c>
      <c r="AH14" t="s">
        <v>308</v>
      </c>
      <c r="AI14">
        <v>90</v>
      </c>
      <c r="AJ14" t="s">
        <v>303</v>
      </c>
      <c r="AK14">
        <v>10</v>
      </c>
      <c r="AL14">
        <v>1.0738603</v>
      </c>
      <c r="AM14">
        <v>0</v>
      </c>
      <c r="AN14" t="s">
        <v>327</v>
      </c>
      <c r="AO14" t="s">
        <v>310</v>
      </c>
      <c r="AP14" t="s">
        <v>311</v>
      </c>
    </row>
    <row r="15" spans="1:42" x14ac:dyDescent="0.2">
      <c r="A15" s="40" t="s">
        <v>285</v>
      </c>
      <c r="B15" s="40" t="s">
        <v>286</v>
      </c>
      <c r="C15" s="54">
        <v>8.5900000000000004E-3</v>
      </c>
      <c r="F15" t="s">
        <v>328</v>
      </c>
      <c r="G15">
        <v>-1</v>
      </c>
      <c r="H15" t="s">
        <v>298</v>
      </c>
      <c r="I15">
        <v>110</v>
      </c>
      <c r="J15">
        <v>128</v>
      </c>
      <c r="K15" t="s">
        <v>300</v>
      </c>
      <c r="L15">
        <v>40</v>
      </c>
      <c r="M15">
        <v>128</v>
      </c>
      <c r="N15">
        <v>1</v>
      </c>
      <c r="O15">
        <v>1</v>
      </c>
      <c r="P15" s="46">
        <v>1.1000000000000001</v>
      </c>
      <c r="Q15">
        <v>1.52</v>
      </c>
      <c r="R15">
        <v>9.5840999999999999E-3</v>
      </c>
      <c r="S15" s="45">
        <f t="shared" si="0"/>
        <v>8.7128181818181809E-3</v>
      </c>
      <c r="T15">
        <f t="shared" si="1"/>
        <v>0.98593980305302165</v>
      </c>
      <c r="U15" s="45">
        <f t="shared" si="2"/>
        <v>8.5903142422186027E-3</v>
      </c>
      <c r="W15" t="s">
        <v>50</v>
      </c>
      <c r="X15" t="s">
        <v>364</v>
      </c>
      <c r="Y15" s="42">
        <v>45372.290763888886</v>
      </c>
      <c r="Z15" t="s">
        <v>256</v>
      </c>
      <c r="AA15">
        <v>102</v>
      </c>
      <c r="AB15">
        <v>128</v>
      </c>
      <c r="AC15">
        <v>1</v>
      </c>
      <c r="AD15">
        <v>1</v>
      </c>
      <c r="AE15" s="42">
        <v>45372.290763888886</v>
      </c>
      <c r="AF15">
        <v>3</v>
      </c>
      <c r="AG15" t="s">
        <v>307</v>
      </c>
      <c r="AH15" t="s">
        <v>308</v>
      </c>
      <c r="AI15">
        <v>110</v>
      </c>
      <c r="AJ15" t="s">
        <v>303</v>
      </c>
      <c r="AK15">
        <v>10</v>
      </c>
      <c r="AL15">
        <v>1.0738603</v>
      </c>
      <c r="AM15">
        <v>0</v>
      </c>
      <c r="AN15" t="s">
        <v>329</v>
      </c>
      <c r="AO15" t="s">
        <v>310</v>
      </c>
      <c r="AP15" t="s">
        <v>311</v>
      </c>
    </row>
    <row r="16" spans="1:42" x14ac:dyDescent="0.2">
      <c r="A16" s="40" t="s">
        <v>287</v>
      </c>
      <c r="B16" s="40" t="s">
        <v>288</v>
      </c>
      <c r="C16" s="54">
        <v>5.1910000000000003E-3</v>
      </c>
      <c r="F16" t="s">
        <v>330</v>
      </c>
      <c r="G16">
        <v>-1</v>
      </c>
      <c r="H16" t="s">
        <v>298</v>
      </c>
      <c r="I16">
        <v>120</v>
      </c>
      <c r="J16">
        <v>128</v>
      </c>
      <c r="K16" t="s">
        <v>300</v>
      </c>
      <c r="L16">
        <v>40</v>
      </c>
      <c r="M16">
        <v>128</v>
      </c>
      <c r="N16">
        <v>1</v>
      </c>
      <c r="O16">
        <v>1</v>
      </c>
      <c r="P16" s="46">
        <v>1.03</v>
      </c>
      <c r="Q16">
        <v>0.86</v>
      </c>
      <c r="R16">
        <v>5.4225999999999996E-3</v>
      </c>
      <c r="S16" s="45">
        <f t="shared" si="0"/>
        <v>5.264660194174757E-3</v>
      </c>
      <c r="T16">
        <f t="shared" si="1"/>
        <v>0.98593980305302165</v>
      </c>
      <c r="U16" s="45">
        <f t="shared" si="2"/>
        <v>5.1906380349857426E-3</v>
      </c>
      <c r="W16" t="s">
        <v>50</v>
      </c>
      <c r="X16" t="s">
        <v>364</v>
      </c>
      <c r="Y16" s="42">
        <v>45372.290763888886</v>
      </c>
      <c r="Z16" t="s">
        <v>256</v>
      </c>
      <c r="AA16">
        <v>102</v>
      </c>
      <c r="AB16">
        <v>128</v>
      </c>
      <c r="AC16">
        <v>1</v>
      </c>
      <c r="AD16">
        <v>1</v>
      </c>
      <c r="AE16" s="42">
        <v>45372.290763888886</v>
      </c>
      <c r="AF16">
        <v>3</v>
      </c>
      <c r="AG16" t="s">
        <v>307</v>
      </c>
      <c r="AH16" t="s">
        <v>308</v>
      </c>
      <c r="AI16">
        <v>120</v>
      </c>
      <c r="AJ16" t="s">
        <v>303</v>
      </c>
      <c r="AK16">
        <v>10</v>
      </c>
      <c r="AL16">
        <v>1.0738603</v>
      </c>
      <c r="AM16">
        <v>0</v>
      </c>
      <c r="AN16" t="s">
        <v>331</v>
      </c>
      <c r="AO16" t="s">
        <v>310</v>
      </c>
      <c r="AP16" t="s">
        <v>311</v>
      </c>
    </row>
    <row r="17" spans="1:42" x14ac:dyDescent="0.2">
      <c r="A17" s="40" t="s">
        <v>289</v>
      </c>
      <c r="B17" s="40" t="s">
        <v>290</v>
      </c>
      <c r="C17" s="54">
        <v>3.2520000000000001E-3</v>
      </c>
      <c r="F17" t="s">
        <v>289</v>
      </c>
      <c r="G17">
        <v>-1</v>
      </c>
      <c r="H17" t="s">
        <v>298</v>
      </c>
      <c r="I17">
        <v>20</v>
      </c>
      <c r="J17">
        <v>128</v>
      </c>
      <c r="K17" t="s">
        <v>256</v>
      </c>
      <c r="L17">
        <v>102</v>
      </c>
      <c r="M17">
        <v>128</v>
      </c>
      <c r="N17">
        <v>1</v>
      </c>
      <c r="O17">
        <v>1</v>
      </c>
      <c r="P17" s="46">
        <v>1.3</v>
      </c>
      <c r="Q17">
        <v>0.68</v>
      </c>
      <c r="R17">
        <v>4.2272999999999998E-3</v>
      </c>
      <c r="S17" s="45">
        <f t="shared" si="0"/>
        <v>3.2517692307692304E-3</v>
      </c>
      <c r="T17" s="45"/>
      <c r="U17" s="45"/>
      <c r="W17" t="s">
        <v>50</v>
      </c>
      <c r="X17" t="s">
        <v>364</v>
      </c>
      <c r="Y17" s="42">
        <v>45372.290763888886</v>
      </c>
      <c r="Z17" t="s">
        <v>256</v>
      </c>
      <c r="AA17">
        <v>102</v>
      </c>
      <c r="AB17">
        <v>128</v>
      </c>
      <c r="AC17">
        <v>1</v>
      </c>
      <c r="AD17">
        <v>1</v>
      </c>
      <c r="AE17" s="42">
        <v>45372.290763888886</v>
      </c>
      <c r="AF17">
        <v>1</v>
      </c>
      <c r="AG17">
        <v>1</v>
      </c>
      <c r="AH17">
        <v>0</v>
      </c>
      <c r="AI17">
        <v>20</v>
      </c>
      <c r="AK17">
        <v>20</v>
      </c>
      <c r="AL17">
        <v>1.0784670999999999</v>
      </c>
      <c r="AM17">
        <v>0</v>
      </c>
      <c r="AN17">
        <v>20</v>
      </c>
      <c r="AP17" t="s">
        <v>299</v>
      </c>
    </row>
    <row r="18" spans="1:42" x14ac:dyDescent="0.2">
      <c r="A18" s="40" t="s">
        <v>291</v>
      </c>
      <c r="B18" s="40" t="s">
        <v>292</v>
      </c>
      <c r="C18" s="54">
        <v>5.744E-3</v>
      </c>
      <c r="F18" t="s">
        <v>291</v>
      </c>
      <c r="G18">
        <v>-1</v>
      </c>
      <c r="H18" t="s">
        <v>298</v>
      </c>
      <c r="I18">
        <v>30</v>
      </c>
      <c r="J18">
        <v>128</v>
      </c>
      <c r="K18" t="s">
        <v>256</v>
      </c>
      <c r="L18">
        <v>102</v>
      </c>
      <c r="M18">
        <v>128</v>
      </c>
      <c r="N18">
        <v>1</v>
      </c>
      <c r="O18">
        <v>1</v>
      </c>
      <c r="P18" s="46">
        <v>1.58</v>
      </c>
      <c r="Q18">
        <v>1.46</v>
      </c>
      <c r="R18">
        <v>9.0763000000000007E-3</v>
      </c>
      <c r="S18" s="45">
        <f t="shared" si="0"/>
        <v>5.7444936708860765E-3</v>
      </c>
      <c r="T18" s="45"/>
      <c r="U18" s="45"/>
      <c r="W18" t="s">
        <v>50</v>
      </c>
      <c r="X18" t="s">
        <v>364</v>
      </c>
      <c r="Y18" s="42">
        <v>45372.290763888886</v>
      </c>
      <c r="Z18" t="s">
        <v>256</v>
      </c>
      <c r="AA18">
        <v>102</v>
      </c>
      <c r="AB18">
        <v>128</v>
      </c>
      <c r="AC18">
        <v>1</v>
      </c>
      <c r="AD18">
        <v>1</v>
      </c>
      <c r="AE18" s="42">
        <v>45372.290763888886</v>
      </c>
      <c r="AF18">
        <v>1</v>
      </c>
      <c r="AG18">
        <v>1</v>
      </c>
      <c r="AH18">
        <v>0</v>
      </c>
      <c r="AI18">
        <v>30</v>
      </c>
      <c r="AK18">
        <v>30</v>
      </c>
      <c r="AL18">
        <v>1.0784670999999999</v>
      </c>
      <c r="AM18">
        <v>0</v>
      </c>
      <c r="AN18">
        <v>30</v>
      </c>
      <c r="AP18" t="s">
        <v>299</v>
      </c>
    </row>
    <row r="19" spans="1:42" x14ac:dyDescent="0.2">
      <c r="A19" s="40" t="s">
        <v>293</v>
      </c>
      <c r="B19" s="40" t="s">
        <v>294</v>
      </c>
      <c r="C19" s="54">
        <v>3.6310000000000001E-3</v>
      </c>
      <c r="F19" t="s">
        <v>293</v>
      </c>
      <c r="G19">
        <v>-1</v>
      </c>
      <c r="H19" t="s">
        <v>298</v>
      </c>
      <c r="I19">
        <v>40</v>
      </c>
      <c r="J19">
        <v>128</v>
      </c>
      <c r="K19" t="s">
        <v>256</v>
      </c>
      <c r="L19">
        <v>102</v>
      </c>
      <c r="M19">
        <v>128</v>
      </c>
      <c r="N19">
        <v>1</v>
      </c>
      <c r="O19">
        <v>1</v>
      </c>
      <c r="P19" s="46">
        <v>1.25</v>
      </c>
      <c r="Q19">
        <v>0.73</v>
      </c>
      <c r="R19">
        <v>4.5382E-3</v>
      </c>
      <c r="S19" s="45">
        <f t="shared" si="0"/>
        <v>3.6305600000000001E-3</v>
      </c>
      <c r="T19" s="45"/>
      <c r="U19" s="45"/>
      <c r="W19" t="s">
        <v>50</v>
      </c>
      <c r="X19" t="s">
        <v>364</v>
      </c>
      <c r="Y19" s="42">
        <v>45372.290763888886</v>
      </c>
      <c r="Z19" t="s">
        <v>256</v>
      </c>
      <c r="AA19">
        <v>102</v>
      </c>
      <c r="AB19">
        <v>128</v>
      </c>
      <c r="AC19">
        <v>1</v>
      </c>
      <c r="AD19">
        <v>1</v>
      </c>
      <c r="AE19" s="42">
        <v>45372.290763888886</v>
      </c>
      <c r="AF19">
        <v>1</v>
      </c>
      <c r="AG19">
        <v>1</v>
      </c>
      <c r="AH19">
        <v>0</v>
      </c>
      <c r="AI19">
        <v>40</v>
      </c>
      <c r="AK19">
        <v>40</v>
      </c>
      <c r="AL19">
        <v>1.0784670999999999</v>
      </c>
      <c r="AM19">
        <v>0</v>
      </c>
      <c r="AN19">
        <v>40</v>
      </c>
      <c r="AP19" t="s">
        <v>299</v>
      </c>
    </row>
    <row r="20" spans="1:42" x14ac:dyDescent="0.2">
      <c r="A20" s="40" t="s">
        <v>295</v>
      </c>
      <c r="B20" s="40" t="s">
        <v>296</v>
      </c>
      <c r="C20" s="54">
        <v>1.4350000000000001E-3</v>
      </c>
      <c r="F20" t="s">
        <v>295</v>
      </c>
      <c r="G20">
        <v>-1</v>
      </c>
      <c r="H20" t="s">
        <v>298</v>
      </c>
      <c r="I20">
        <v>50</v>
      </c>
      <c r="J20">
        <v>128</v>
      </c>
      <c r="K20" t="s">
        <v>256</v>
      </c>
      <c r="L20">
        <v>102</v>
      </c>
      <c r="M20">
        <v>128</v>
      </c>
      <c r="N20">
        <v>1</v>
      </c>
      <c r="O20">
        <v>1</v>
      </c>
      <c r="P20" s="46">
        <v>1.3</v>
      </c>
      <c r="Q20">
        <v>0.3</v>
      </c>
      <c r="R20">
        <v>1.8649999999999999E-3</v>
      </c>
      <c r="S20" s="45">
        <f t="shared" si="0"/>
        <v>1.4346153846153844E-3</v>
      </c>
      <c r="T20" s="45"/>
      <c r="U20" s="45"/>
      <c r="W20" t="s">
        <v>50</v>
      </c>
      <c r="X20" t="s">
        <v>364</v>
      </c>
      <c r="Y20" s="42">
        <v>45372.290763888886</v>
      </c>
      <c r="Z20" t="s">
        <v>256</v>
      </c>
      <c r="AA20">
        <v>102</v>
      </c>
      <c r="AB20">
        <v>128</v>
      </c>
      <c r="AC20">
        <v>1</v>
      </c>
      <c r="AD20">
        <v>1</v>
      </c>
      <c r="AE20" s="42">
        <v>45372.290763888886</v>
      </c>
      <c r="AF20">
        <v>1</v>
      </c>
      <c r="AG20">
        <v>1</v>
      </c>
      <c r="AH20">
        <v>0</v>
      </c>
      <c r="AI20">
        <v>50</v>
      </c>
      <c r="AK20">
        <v>50</v>
      </c>
      <c r="AL20">
        <v>1.0784670999999999</v>
      </c>
      <c r="AM20">
        <v>0</v>
      </c>
      <c r="AN20">
        <v>50</v>
      </c>
      <c r="AP20" t="s">
        <v>299</v>
      </c>
    </row>
    <row r="21" spans="1:42" ht="28.15" customHeight="1" x14ac:dyDescent="0.2">
      <c r="A21" s="50" t="s">
        <v>297</v>
      </c>
      <c r="B21" s="49"/>
      <c r="C21" s="49"/>
    </row>
    <row r="25" spans="1:42" x14ac:dyDescent="0.2">
      <c r="A25" s="20" t="s">
        <v>372</v>
      </c>
      <c r="B25" s="20" t="s">
        <v>368</v>
      </c>
      <c r="C25" s="20" t="s">
        <v>367</v>
      </c>
      <c r="D25" s="20" t="s">
        <v>369</v>
      </c>
      <c r="E25" s="20" t="s">
        <v>370</v>
      </c>
    </row>
    <row r="26" spans="1:42" x14ac:dyDescent="0.2">
      <c r="A26" t="s">
        <v>300</v>
      </c>
      <c r="B26" t="s">
        <v>306</v>
      </c>
      <c r="C26">
        <v>0.92</v>
      </c>
      <c r="D26">
        <v>100</v>
      </c>
      <c r="E26">
        <v>36.1</v>
      </c>
    </row>
    <row r="27" spans="1:42" x14ac:dyDescent="0.2">
      <c r="B27" t="s">
        <v>312</v>
      </c>
      <c r="C27">
        <v>0.9</v>
      </c>
      <c r="D27">
        <v>100</v>
      </c>
      <c r="E27">
        <v>63.9</v>
      </c>
    </row>
    <row r="28" spans="1:42" x14ac:dyDescent="0.2">
      <c r="B28" t="s">
        <v>314</v>
      </c>
      <c r="C28">
        <v>1.82</v>
      </c>
      <c r="D28">
        <v>0</v>
      </c>
      <c r="E28">
        <v>45.51</v>
      </c>
    </row>
    <row r="29" spans="1:42" x14ac:dyDescent="0.2">
      <c r="B29" t="s">
        <v>316</v>
      </c>
      <c r="C29">
        <v>0.94499999999999995</v>
      </c>
      <c r="D29">
        <v>0</v>
      </c>
      <c r="E29">
        <v>12.34</v>
      </c>
    </row>
    <row r="30" spans="1:42" x14ac:dyDescent="0.2">
      <c r="B30" t="s">
        <v>318</v>
      </c>
      <c r="C30">
        <v>5.63</v>
      </c>
      <c r="D30">
        <v>0</v>
      </c>
      <c r="E30">
        <v>2.38</v>
      </c>
    </row>
    <row r="31" spans="1:42" x14ac:dyDescent="0.2">
      <c r="B31" t="s">
        <v>320</v>
      </c>
      <c r="C31">
        <v>0.94099999999999995</v>
      </c>
      <c r="D31">
        <v>0</v>
      </c>
      <c r="E31">
        <v>1.85</v>
      </c>
    </row>
    <row r="32" spans="1:42" x14ac:dyDescent="0.2">
      <c r="B32" t="s">
        <v>322</v>
      </c>
      <c r="C32">
        <v>1.095</v>
      </c>
      <c r="D32">
        <v>0</v>
      </c>
      <c r="E32">
        <v>3.57</v>
      </c>
    </row>
    <row r="33" spans="1:5" x14ac:dyDescent="0.2">
      <c r="B33" t="s">
        <v>328</v>
      </c>
      <c r="C33">
        <v>1.1000000000000001</v>
      </c>
      <c r="D33">
        <v>0</v>
      </c>
      <c r="E33">
        <v>1.52</v>
      </c>
    </row>
    <row r="34" spans="1:5" x14ac:dyDescent="0.2">
      <c r="B34" t="s">
        <v>324</v>
      </c>
      <c r="C34">
        <v>0.9</v>
      </c>
      <c r="D34">
        <v>0</v>
      </c>
      <c r="E34">
        <v>1.47</v>
      </c>
    </row>
    <row r="35" spans="1:5" x14ac:dyDescent="0.2">
      <c r="B35" t="s">
        <v>326</v>
      </c>
      <c r="C35">
        <v>1.02</v>
      </c>
      <c r="D35">
        <v>0</v>
      </c>
      <c r="E35">
        <v>0.81</v>
      </c>
    </row>
    <row r="36" spans="1:5" x14ac:dyDescent="0.2">
      <c r="B36" t="s">
        <v>330</v>
      </c>
      <c r="C36">
        <v>1.03</v>
      </c>
      <c r="D36">
        <v>0</v>
      </c>
      <c r="E36">
        <v>0.86</v>
      </c>
    </row>
    <row r="38" spans="1:5" x14ac:dyDescent="0.2">
      <c r="A38" t="s">
        <v>263</v>
      </c>
      <c r="B38" t="s">
        <v>300</v>
      </c>
      <c r="C38">
        <v>1.0738602900000001</v>
      </c>
      <c r="D38">
        <v>58.71645822</v>
      </c>
      <c r="E38">
        <v>170.31</v>
      </c>
    </row>
    <row r="40" spans="1:5" x14ac:dyDescent="0.2">
      <c r="A40" t="s">
        <v>256</v>
      </c>
      <c r="B40" t="s">
        <v>263</v>
      </c>
      <c r="C40">
        <v>1.0738602900000001</v>
      </c>
      <c r="D40">
        <v>58.71645822</v>
      </c>
      <c r="E40">
        <v>170.31</v>
      </c>
    </row>
    <row r="41" spans="1:5" x14ac:dyDescent="0.2">
      <c r="B41" t="s">
        <v>289</v>
      </c>
      <c r="C41">
        <v>1.3</v>
      </c>
      <c r="D41">
        <v>0</v>
      </c>
      <c r="E41">
        <v>0.68</v>
      </c>
    </row>
    <row r="42" spans="1:5" x14ac:dyDescent="0.2">
      <c r="B42" t="s">
        <v>295</v>
      </c>
      <c r="C42">
        <v>1.3</v>
      </c>
      <c r="D42">
        <v>0</v>
      </c>
      <c r="E42">
        <v>0.3</v>
      </c>
    </row>
    <row r="43" spans="1:5" x14ac:dyDescent="0.2">
      <c r="B43" t="s">
        <v>293</v>
      </c>
      <c r="C43">
        <v>1.25</v>
      </c>
      <c r="D43">
        <v>0</v>
      </c>
      <c r="E43">
        <v>0.73</v>
      </c>
    </row>
    <row r="44" spans="1:5" x14ac:dyDescent="0.2">
      <c r="B44" t="s">
        <v>291</v>
      </c>
      <c r="C44">
        <v>1.58</v>
      </c>
      <c r="D44">
        <v>0</v>
      </c>
      <c r="E44">
        <v>1.46</v>
      </c>
    </row>
  </sheetData>
  <mergeCells count="3">
    <mergeCell ref="A2:C2"/>
    <mergeCell ref="A3:C3"/>
    <mergeCell ref="A21:C21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G189"/>
  <sheetViews>
    <sheetView workbookViewId="0">
      <selection activeCell="I29" sqref="I29"/>
    </sheetView>
  </sheetViews>
  <sheetFormatPr defaultColWidth="12.5703125" defaultRowHeight="12.75" x14ac:dyDescent="0.2"/>
  <cols>
    <col min="1" max="1" width="12.42578125" style="1" bestFit="1" customWidth="1"/>
    <col min="2" max="2" width="16.85546875" style="1" bestFit="1" customWidth="1"/>
    <col min="3" max="16384" width="12.5703125" style="1"/>
  </cols>
  <sheetData>
    <row r="1" spans="1:3" ht="13.5" thickBot="1" x14ac:dyDescent="0.25">
      <c r="C1" s="13" t="s">
        <v>60</v>
      </c>
    </row>
    <row r="2" spans="1:3" ht="15" x14ac:dyDescent="0.25">
      <c r="A2" s="4" t="str">
        <f>Dispersion!$A$1</f>
        <v>Compound</v>
      </c>
      <c r="B2" s="5" t="str">
        <f>Dispersion!A2</f>
        <v>EM_721</v>
      </c>
    </row>
    <row r="3" spans="1:3" ht="15" x14ac:dyDescent="0.25">
      <c r="A3" s="6" t="str">
        <f>Dispersion!$B$1</f>
        <v>Import ID</v>
      </c>
      <c r="B3" s="7" t="str">
        <f>Dispersion!B2</f>
        <v>24140330</v>
      </c>
    </row>
    <row r="4" spans="1:3" ht="15" x14ac:dyDescent="0.25">
      <c r="A4" s="6" t="str">
        <f>Dispersion!$D$1</f>
        <v>Fi</v>
      </c>
      <c r="B4" s="33">
        <f>Dispersion!D2</f>
        <v>0.15545100000000001</v>
      </c>
      <c r="C4" s="19">
        <f>Berekening!$C$24</f>
        <v>0.1634961815392787</v>
      </c>
    </row>
    <row r="5" spans="1:3" ht="15.75" thickBot="1" x14ac:dyDescent="0.3">
      <c r="A5" s="9" t="s">
        <v>43</v>
      </c>
      <c r="B5" s="14">
        <f ca="1">NOW()</f>
        <v>45390.580025000003</v>
      </c>
    </row>
    <row r="6" spans="1:3" ht="13.5" thickBot="1" x14ac:dyDescent="0.25"/>
    <row r="7" spans="1:3" ht="16.5" thickTop="1" thickBot="1" x14ac:dyDescent="0.3">
      <c r="A7" s="6" t="s">
        <v>44</v>
      </c>
      <c r="B7" s="8">
        <f>invoer!G58</f>
        <v>0.42126234537659513</v>
      </c>
      <c r="C7" s="8">
        <f>invoer!G58</f>
        <v>0.42126234537659513</v>
      </c>
    </row>
    <row r="8" spans="1:3" ht="16.5" thickTop="1" thickBot="1" x14ac:dyDescent="0.3">
      <c r="A8" s="9" t="s">
        <v>45</v>
      </c>
      <c r="B8" s="10">
        <f>(1-B13*B14)*100</f>
        <v>93.505344742483047</v>
      </c>
      <c r="C8" s="10">
        <f>(1-C13*C14)*100</f>
        <v>93.824292583438805</v>
      </c>
    </row>
    <row r="9" spans="1:3" x14ac:dyDescent="0.2">
      <c r="B9" s="11"/>
    </row>
    <row r="12" spans="1:3" x14ac:dyDescent="0.2">
      <c r="A12" s="6" t="s">
        <v>46</v>
      </c>
      <c r="B12" s="17">
        <f>(B4/100+0.78)*0.5</f>
        <v>0.39077725499999999</v>
      </c>
      <c r="C12" s="18">
        <f>Berekening!$C$26</f>
        <v>0.39081748090769641</v>
      </c>
    </row>
    <row r="13" spans="1:3" x14ac:dyDescent="0.2">
      <c r="A13" s="6" t="s">
        <v>47</v>
      </c>
      <c r="B13" s="17">
        <f>B12/(4222802.7*B4)</f>
        <v>5.9529874524684059E-7</v>
      </c>
      <c r="C13" s="18">
        <f>Berekening!$C$28</f>
        <v>5.6606405272018183E-7</v>
      </c>
    </row>
    <row r="14" spans="1:3" x14ac:dyDescent="0.2">
      <c r="B14" s="12">
        <f>blad1!$H$12</f>
        <v>109099.092</v>
      </c>
      <c r="C14" s="12">
        <f>blad1!$H$12</f>
        <v>109099.092</v>
      </c>
    </row>
    <row r="31" spans="2:3" x14ac:dyDescent="0.2">
      <c r="B31" s="15"/>
      <c r="C31" s="15"/>
    </row>
    <row r="32" spans="2:3" x14ac:dyDescent="0.2">
      <c r="B32" s="13"/>
      <c r="C32" s="13"/>
    </row>
    <row r="33" spans="2:3" x14ac:dyDescent="0.2">
      <c r="B33" s="13"/>
      <c r="C33" s="13"/>
    </row>
    <row r="34" spans="2:3" x14ac:dyDescent="0.2">
      <c r="B34" s="13"/>
      <c r="C34" s="13"/>
    </row>
    <row r="35" spans="2:3" x14ac:dyDescent="0.2">
      <c r="B35" s="13"/>
      <c r="C35" s="13"/>
    </row>
    <row r="36" spans="2:3" x14ac:dyDescent="0.2">
      <c r="B36" s="13"/>
      <c r="C36" s="13"/>
    </row>
    <row r="37" spans="2:3" x14ac:dyDescent="0.2">
      <c r="B37" s="13"/>
      <c r="C37" s="13"/>
    </row>
    <row r="38" spans="2:3" x14ac:dyDescent="0.2">
      <c r="B38" s="13"/>
      <c r="C38" s="13"/>
    </row>
    <row r="39" spans="2:3" x14ac:dyDescent="0.2">
      <c r="B39" s="13"/>
      <c r="C39" s="13"/>
    </row>
    <row r="40" spans="2:3" x14ac:dyDescent="0.2">
      <c r="B40" s="13"/>
      <c r="C40" s="13"/>
    </row>
    <row r="41" spans="2:3" x14ac:dyDescent="0.2">
      <c r="B41" s="13"/>
      <c r="C41" s="13"/>
    </row>
    <row r="42" spans="2:3" x14ac:dyDescent="0.2">
      <c r="B42" s="13"/>
      <c r="C42" s="13"/>
    </row>
    <row r="43" spans="2:3" x14ac:dyDescent="0.2">
      <c r="B43" s="13"/>
      <c r="C43" s="13"/>
    </row>
    <row r="44" spans="2:3" x14ac:dyDescent="0.2">
      <c r="B44" s="13"/>
      <c r="C44" s="13"/>
    </row>
    <row r="45" spans="2:3" x14ac:dyDescent="0.2">
      <c r="B45" s="13"/>
      <c r="C45" s="13"/>
    </row>
    <row r="46" spans="2:3" x14ac:dyDescent="0.2">
      <c r="B46" s="13"/>
      <c r="C46" s="13"/>
    </row>
    <row r="47" spans="2:3" x14ac:dyDescent="0.2">
      <c r="B47" s="13"/>
      <c r="C47" s="13"/>
    </row>
    <row r="48" spans="2:3" x14ac:dyDescent="0.2">
      <c r="B48" s="13"/>
      <c r="C48" s="13"/>
    </row>
    <row r="49" spans="2:3" x14ac:dyDescent="0.2">
      <c r="B49" s="13"/>
      <c r="C49" s="13"/>
    </row>
    <row r="50" spans="2:3" x14ac:dyDescent="0.2">
      <c r="B50" s="13"/>
      <c r="C50" s="13"/>
    </row>
    <row r="51" spans="2:3" x14ac:dyDescent="0.2">
      <c r="B51" s="13"/>
      <c r="C51" s="13"/>
    </row>
    <row r="52" spans="2:3" x14ac:dyDescent="0.2">
      <c r="B52" s="13"/>
      <c r="C52" s="13"/>
    </row>
    <row r="53" spans="2:3" x14ac:dyDescent="0.2">
      <c r="B53" s="13"/>
      <c r="C53" s="13"/>
    </row>
    <row r="54" spans="2:3" x14ac:dyDescent="0.2">
      <c r="B54" s="13"/>
      <c r="C54" s="13"/>
    </row>
    <row r="55" spans="2:3" x14ac:dyDescent="0.2">
      <c r="B55" s="13"/>
      <c r="C55" s="13"/>
    </row>
    <row r="56" spans="2:3" x14ac:dyDescent="0.2">
      <c r="B56" s="13"/>
      <c r="C56" s="13"/>
    </row>
    <row r="57" spans="2:3" x14ac:dyDescent="0.2">
      <c r="B57" s="13"/>
      <c r="C57" s="13"/>
    </row>
    <row r="58" spans="2:3" x14ac:dyDescent="0.2">
      <c r="B58" s="13"/>
      <c r="C58" s="13"/>
    </row>
    <row r="59" spans="2:3" x14ac:dyDescent="0.2">
      <c r="B59" s="13"/>
      <c r="C59" s="13"/>
    </row>
    <row r="60" spans="2:3" x14ac:dyDescent="0.2">
      <c r="B60" s="13"/>
      <c r="C60" s="13"/>
    </row>
    <row r="61" spans="2:3" x14ac:dyDescent="0.2">
      <c r="B61" s="13"/>
      <c r="C61" s="13"/>
    </row>
    <row r="62" spans="2:3" x14ac:dyDescent="0.2">
      <c r="B62" s="13"/>
      <c r="C62" s="13"/>
    </row>
    <row r="63" spans="2:3" x14ac:dyDescent="0.2">
      <c r="B63" s="13"/>
      <c r="C63" s="13"/>
    </row>
    <row r="64" spans="2:3" x14ac:dyDescent="0.2">
      <c r="B64" s="13"/>
      <c r="C64" s="13"/>
    </row>
    <row r="65" spans="2:3" x14ac:dyDescent="0.2">
      <c r="B65" s="13"/>
      <c r="C65" s="13"/>
    </row>
    <row r="66" spans="2:3" x14ac:dyDescent="0.2">
      <c r="B66" s="13"/>
      <c r="C66" s="13"/>
    </row>
    <row r="67" spans="2:3" x14ac:dyDescent="0.2">
      <c r="B67" s="13"/>
      <c r="C67" s="13"/>
    </row>
    <row r="68" spans="2:3" x14ac:dyDescent="0.2">
      <c r="B68" s="13"/>
      <c r="C68" s="13"/>
    </row>
    <row r="69" spans="2:3" x14ac:dyDescent="0.2">
      <c r="B69" s="13"/>
      <c r="C69" s="13"/>
    </row>
    <row r="70" spans="2:3" x14ac:dyDescent="0.2">
      <c r="B70" s="13"/>
      <c r="C70" s="13"/>
    </row>
    <row r="71" spans="2:3" x14ac:dyDescent="0.2">
      <c r="B71" s="13"/>
      <c r="C71" s="13"/>
    </row>
    <row r="72" spans="2:3" x14ac:dyDescent="0.2">
      <c r="B72" s="13"/>
      <c r="C72" s="13"/>
    </row>
    <row r="73" spans="2:3" x14ac:dyDescent="0.2">
      <c r="B73" s="13"/>
      <c r="C73" s="13"/>
    </row>
    <row r="74" spans="2:3" x14ac:dyDescent="0.2">
      <c r="B74" s="13"/>
      <c r="C74" s="13"/>
    </row>
    <row r="75" spans="2:3" x14ac:dyDescent="0.2">
      <c r="B75" s="13"/>
      <c r="C75" s="13"/>
    </row>
    <row r="76" spans="2:3" x14ac:dyDescent="0.2">
      <c r="B76" s="13"/>
      <c r="C76" s="13"/>
    </row>
    <row r="77" spans="2:3" x14ac:dyDescent="0.2">
      <c r="B77" s="13"/>
      <c r="C77" s="13"/>
    </row>
    <row r="78" spans="2:3" x14ac:dyDescent="0.2">
      <c r="B78" s="13"/>
      <c r="C78" s="13"/>
    </row>
    <row r="79" spans="2:3" x14ac:dyDescent="0.2">
      <c r="B79" s="13"/>
      <c r="C79" s="13"/>
    </row>
    <row r="80" spans="2:3" x14ac:dyDescent="0.2">
      <c r="B80" s="13"/>
      <c r="C80" s="13"/>
    </row>
    <row r="81" spans="2:3" x14ac:dyDescent="0.2">
      <c r="B81" s="13"/>
      <c r="C81" s="13"/>
    </row>
    <row r="108" spans="1:7" x14ac:dyDescent="0.2">
      <c r="A108" s="1" t="s">
        <v>61</v>
      </c>
      <c r="G108" s="20" t="s">
        <v>62</v>
      </c>
    </row>
    <row r="109" spans="1:7" x14ac:dyDescent="0.2">
      <c r="A109" s="1" t="e">
        <f>CONCATENATE("importId=",G109)</f>
        <v>#REF!</v>
      </c>
      <c r="G109" s="21" t="e">
        <f>Dispersion!#REF!</f>
        <v>#REF!</v>
      </c>
    </row>
    <row r="110" spans="1:7" x14ac:dyDescent="0.2">
      <c r="A110" s="1" t="s">
        <v>63</v>
      </c>
      <c r="C110" s="20" t="s">
        <v>64</v>
      </c>
    </row>
    <row r="111" spans="1:7" x14ac:dyDescent="0.2">
      <c r="A111" s="1" t="s">
        <v>65</v>
      </c>
    </row>
    <row r="112" spans="1:7" x14ac:dyDescent="0.2">
      <c r="A112" s="1" t="s">
        <v>66</v>
      </c>
    </row>
    <row r="113" spans="1:1" x14ac:dyDescent="0.2">
      <c r="A113" s="1" t="s">
        <v>67</v>
      </c>
    </row>
    <row r="114" spans="1:1" x14ac:dyDescent="0.2">
      <c r="A114" s="1" t="s">
        <v>68</v>
      </c>
    </row>
    <row r="115" spans="1:1" x14ac:dyDescent="0.2">
      <c r="A115" s="1" t="s">
        <v>69</v>
      </c>
    </row>
    <row r="116" spans="1:1" x14ac:dyDescent="0.2">
      <c r="A116" s="1" t="s">
        <v>70</v>
      </c>
    </row>
    <row r="117" spans="1:1" x14ac:dyDescent="0.2">
      <c r="A117" s="1" t="s">
        <v>71</v>
      </c>
    </row>
    <row r="118" spans="1:1" x14ac:dyDescent="0.2">
      <c r="A118" s="1" t="s">
        <v>72</v>
      </c>
    </row>
    <row r="119" spans="1:1" x14ac:dyDescent="0.2">
      <c r="A119" s="1" t="s">
        <v>73</v>
      </c>
    </row>
    <row r="120" spans="1:1" x14ac:dyDescent="0.2">
      <c r="A120" s="1" t="s">
        <v>74</v>
      </c>
    </row>
    <row r="121" spans="1:1" x14ac:dyDescent="0.2">
      <c r="A121" s="1" t="s">
        <v>75</v>
      </c>
    </row>
    <row r="122" spans="1:1" x14ac:dyDescent="0.2">
      <c r="A122" s="1" t="s">
        <v>76</v>
      </c>
    </row>
    <row r="123" spans="1:1" x14ac:dyDescent="0.2">
      <c r="A123" s="1" t="s">
        <v>77</v>
      </c>
    </row>
    <row r="124" spans="1:1" x14ac:dyDescent="0.2">
      <c r="A124" s="1" t="s">
        <v>78</v>
      </c>
    </row>
    <row r="125" spans="1:1" x14ac:dyDescent="0.2">
      <c r="A125" s="1" t="s">
        <v>79</v>
      </c>
    </row>
    <row r="126" spans="1:1" x14ac:dyDescent="0.2">
      <c r="A126" s="1" t="s">
        <v>80</v>
      </c>
    </row>
    <row r="127" spans="1:1" x14ac:dyDescent="0.2">
      <c r="A127" s="1" t="s">
        <v>81</v>
      </c>
    </row>
    <row r="128" spans="1:1" x14ac:dyDescent="0.2">
      <c r="A128" s="1" t="s">
        <v>82</v>
      </c>
    </row>
    <row r="129" spans="1:7" x14ac:dyDescent="0.2">
      <c r="A129" s="1" t="s">
        <v>80</v>
      </c>
    </row>
    <row r="130" spans="1:7" x14ac:dyDescent="0.2">
      <c r="A130" s="1" t="s">
        <v>83</v>
      </c>
    </row>
    <row r="131" spans="1:7" x14ac:dyDescent="0.2">
      <c r="A131" s="1" t="str">
        <f t="shared" ref="A131:A162" si="0">CONCATENATE(F131,"=",G131)</f>
        <v>Value_s[0,1]=0</v>
      </c>
      <c r="F131" s="1" t="s">
        <v>84</v>
      </c>
      <c r="G131" s="22">
        <f>invoer!C5</f>
        <v>0</v>
      </c>
    </row>
    <row r="132" spans="1:7" x14ac:dyDescent="0.2">
      <c r="A132" s="1" t="str">
        <f t="shared" si="0"/>
        <v>Value_s[0,3]=0</v>
      </c>
      <c r="F132" s="1" t="s">
        <v>85</v>
      </c>
      <c r="G132" s="22">
        <f>invoer!C6</f>
        <v>0</v>
      </c>
    </row>
    <row r="133" spans="1:7" x14ac:dyDescent="0.2">
      <c r="A133" s="1" t="str">
        <f t="shared" si="0"/>
        <v>Value_s[0,5]=50.8484848484849</v>
      </c>
      <c r="F133" s="1" t="s">
        <v>86</v>
      </c>
      <c r="G133" s="22">
        <f>invoer!C7</f>
        <v>50.848484848484851</v>
      </c>
    </row>
    <row r="134" spans="1:7" x14ac:dyDescent="0.2">
      <c r="A134" s="1" t="str">
        <f t="shared" si="0"/>
        <v>Value_s[0,7]=22.969696969697</v>
      </c>
      <c r="F134" s="1" t="s">
        <v>87</v>
      </c>
      <c r="G134" s="22">
        <f>invoer!C8</f>
        <v>22.969696969696969</v>
      </c>
    </row>
    <row r="135" spans="1:7" x14ac:dyDescent="0.2">
      <c r="A135" s="1" t="str">
        <f t="shared" si="0"/>
        <v>Value_s[0,9]=10.6060606060606</v>
      </c>
      <c r="F135" s="1" t="s">
        <v>88</v>
      </c>
      <c r="G135" s="22">
        <f>invoer!C9</f>
        <v>10.606060606060606</v>
      </c>
    </row>
    <row r="136" spans="1:7" x14ac:dyDescent="0.2">
      <c r="A136" s="1" t="str">
        <f t="shared" si="0"/>
        <v>Value_s[0,11]=4.18181818181818</v>
      </c>
      <c r="F136" s="1" t="s">
        <v>89</v>
      </c>
      <c r="G136" s="22">
        <f>invoer!C10</f>
        <v>4.1818181818181817</v>
      </c>
    </row>
    <row r="137" spans="1:7" x14ac:dyDescent="0.2">
      <c r="A137" s="1" t="str">
        <f t="shared" si="0"/>
        <v>Value_s[0,13]=2.48484848484848</v>
      </c>
      <c r="F137" s="1" t="s">
        <v>90</v>
      </c>
      <c r="G137" s="22">
        <f>invoer!C11</f>
        <v>2.4848484848484849</v>
      </c>
    </row>
    <row r="138" spans="1:7" x14ac:dyDescent="0.2">
      <c r="A138" s="1" t="str">
        <f t="shared" si="0"/>
        <v>Value_s[0,15]=2.42424242424242</v>
      </c>
      <c r="F138" s="1" t="s">
        <v>91</v>
      </c>
      <c r="G138" s="22">
        <f>invoer!C12</f>
        <v>2.4242424242424243</v>
      </c>
    </row>
    <row r="139" spans="1:7" x14ac:dyDescent="0.2">
      <c r="A139" s="1" t="str">
        <f t="shared" si="0"/>
        <v>Value_s[0,17]=1.33333333333333</v>
      </c>
      <c r="F139" s="1" t="s">
        <v>92</v>
      </c>
      <c r="G139" s="22">
        <f>invoer!C13</f>
        <v>1.3333333333333335</v>
      </c>
    </row>
    <row r="140" spans="1:7" x14ac:dyDescent="0.2">
      <c r="A140" s="1" t="str">
        <f t="shared" si="0"/>
        <v>Value_s[0,19]=1.21212121212121</v>
      </c>
      <c r="F140" s="1" t="s">
        <v>93</v>
      </c>
      <c r="G140" s="22">
        <f>invoer!C14</f>
        <v>1.2121212121212122</v>
      </c>
    </row>
    <row r="141" spans="1:7" x14ac:dyDescent="0.2">
      <c r="A141" s="1" t="str">
        <f t="shared" si="0"/>
        <v>Value_s[0,21]=0.606060606060606</v>
      </c>
      <c r="F141" s="1" t="s">
        <v>94</v>
      </c>
      <c r="G141" s="22">
        <f>invoer!C15</f>
        <v>0.60606060606060608</v>
      </c>
    </row>
    <row r="142" spans="1:7" x14ac:dyDescent="0.2">
      <c r="A142" s="1" t="str">
        <f t="shared" si="0"/>
        <v>Value_s[0,23]=1.03030303030303</v>
      </c>
      <c r="F142" s="1" t="s">
        <v>95</v>
      </c>
      <c r="G142" s="22">
        <f>invoer!C16</f>
        <v>1.0303030303030303</v>
      </c>
    </row>
    <row r="143" spans="1:7" x14ac:dyDescent="0.2">
      <c r="A143" s="1" t="str">
        <f t="shared" si="0"/>
        <v>Value_s[0,25]=0.606060606060606</v>
      </c>
      <c r="F143" s="1" t="s">
        <v>96</v>
      </c>
      <c r="G143" s="22">
        <f>invoer!C17</f>
        <v>0.60606060606060608</v>
      </c>
    </row>
    <row r="144" spans="1:7" x14ac:dyDescent="0.2">
      <c r="A144" s="1" t="str">
        <f t="shared" si="0"/>
        <v>Value_s[0,27]=0.242424242424242</v>
      </c>
      <c r="F144" s="1" t="s">
        <v>97</v>
      </c>
      <c r="G144" s="22">
        <f>invoer!C18</f>
        <v>0.24242424242424243</v>
      </c>
    </row>
    <row r="145" spans="1:7" x14ac:dyDescent="0.2">
      <c r="A145" s="1" t="str">
        <f t="shared" si="0"/>
        <v>Value_s[0,29]=0.424242424242424</v>
      </c>
      <c r="F145" s="1" t="s">
        <v>98</v>
      </c>
      <c r="G145" s="22">
        <f>invoer!C19</f>
        <v>0.42424242424242431</v>
      </c>
    </row>
    <row r="146" spans="1:7" x14ac:dyDescent="0.2">
      <c r="A146" s="1" t="str">
        <f t="shared" si="0"/>
        <v>Value_s[0,31]=0.303030303030303</v>
      </c>
      <c r="F146" s="1" t="s">
        <v>99</v>
      </c>
      <c r="G146" s="22">
        <f>invoer!C20</f>
        <v>0.30303030303030304</v>
      </c>
    </row>
    <row r="147" spans="1:7" x14ac:dyDescent="0.2">
      <c r="A147" s="1" t="str">
        <f t="shared" si="0"/>
        <v>Value_s[0,33]=0.181818181818182</v>
      </c>
      <c r="F147" s="1" t="s">
        <v>100</v>
      </c>
      <c r="G147" s="22">
        <f>invoer!C21</f>
        <v>0.18181818181818182</v>
      </c>
    </row>
    <row r="148" spans="1:7" x14ac:dyDescent="0.2">
      <c r="A148" s="1" t="str">
        <f t="shared" si="0"/>
        <v>Value_s[0,35]=0.121212121212121</v>
      </c>
      <c r="F148" s="1" t="s">
        <v>101</v>
      </c>
      <c r="G148" s="22">
        <f>invoer!C22</f>
        <v>0.12121212121212122</v>
      </c>
    </row>
    <row r="149" spans="1:7" x14ac:dyDescent="0.2">
      <c r="A149" s="1" t="str">
        <f t="shared" si="0"/>
        <v>Value_s[0,37]=0.181818181818182</v>
      </c>
      <c r="F149" s="1" t="s">
        <v>102</v>
      </c>
      <c r="G149" s="22">
        <f>invoer!C23</f>
        <v>0.18181818181818182</v>
      </c>
    </row>
    <row r="150" spans="1:7" x14ac:dyDescent="0.2">
      <c r="A150" s="1" t="str">
        <f t="shared" si="0"/>
        <v>Value_s[0,39]=0.0606060606060606</v>
      </c>
      <c r="F150" s="1" t="s">
        <v>103</v>
      </c>
      <c r="G150" s="22">
        <f>invoer!C24</f>
        <v>6.0606060606060608E-2</v>
      </c>
    </row>
    <row r="151" spans="1:7" x14ac:dyDescent="0.2">
      <c r="A151" s="1" t="str">
        <f t="shared" si="0"/>
        <v>Value_s[0,41]=0.0606060606060606</v>
      </c>
      <c r="F151" s="1" t="s">
        <v>104</v>
      </c>
      <c r="G151" s="22">
        <f>invoer!C25</f>
        <v>6.0606060606060608E-2</v>
      </c>
    </row>
    <row r="152" spans="1:7" x14ac:dyDescent="0.2">
      <c r="A152" s="1" t="str">
        <f t="shared" si="0"/>
        <v>Value_s[0,43]=0.0606060606060606</v>
      </c>
      <c r="F152" s="1" t="s">
        <v>105</v>
      </c>
      <c r="G152" s="22">
        <f>invoer!C26</f>
        <v>6.0606060606060608E-2</v>
      </c>
    </row>
    <row r="153" spans="1:7" x14ac:dyDescent="0.2">
      <c r="A153" s="1" t="str">
        <f t="shared" si="0"/>
        <v>Value_s[0,45]=0</v>
      </c>
      <c r="F153" s="1" t="s">
        <v>106</v>
      </c>
      <c r="G153" s="22">
        <f>invoer!C27</f>
        <v>0</v>
      </c>
    </row>
    <row r="154" spans="1:7" x14ac:dyDescent="0.2">
      <c r="A154" s="1" t="str">
        <f t="shared" si="0"/>
        <v>Value_s[0,47]=0.0606060606060606</v>
      </c>
      <c r="F154" s="1" t="s">
        <v>107</v>
      </c>
      <c r="G154" s="22">
        <f>invoer!C28</f>
        <v>6.0606060606060608E-2</v>
      </c>
    </row>
    <row r="155" spans="1:7" x14ac:dyDescent="0.2">
      <c r="A155" s="1" t="str">
        <f t="shared" si="0"/>
        <v>Value_s[0,49]=0</v>
      </c>
      <c r="F155" s="1" t="s">
        <v>108</v>
      </c>
      <c r="G155" s="22">
        <f>invoer!C29</f>
        <v>0</v>
      </c>
    </row>
    <row r="156" spans="1:7" x14ac:dyDescent="0.2">
      <c r="A156" s="1" t="str">
        <f t="shared" si="0"/>
        <v>Value_s[0,51]=0</v>
      </c>
      <c r="F156" s="1" t="s">
        <v>109</v>
      </c>
      <c r="G156" s="22">
        <f>invoer!C30</f>
        <v>0</v>
      </c>
    </row>
    <row r="157" spans="1:7" x14ac:dyDescent="0.2">
      <c r="A157" s="1" t="str">
        <f t="shared" si="0"/>
        <v>Value_s[0,53]=0</v>
      </c>
      <c r="F157" s="1" t="s">
        <v>110</v>
      </c>
      <c r="G157" s="22">
        <f>invoer!C31</f>
        <v>0</v>
      </c>
    </row>
    <row r="158" spans="1:7" x14ac:dyDescent="0.2">
      <c r="A158" s="1" t="str">
        <f t="shared" si="0"/>
        <v>Value_s[0,55]=0</v>
      </c>
      <c r="F158" s="1" t="s">
        <v>111</v>
      </c>
      <c r="G158" s="22">
        <f>invoer!C32</f>
        <v>0</v>
      </c>
    </row>
    <row r="159" spans="1:7" x14ac:dyDescent="0.2">
      <c r="A159" s="1" t="str">
        <f t="shared" si="0"/>
        <v>Value_s[0,57]=0</v>
      </c>
      <c r="F159" s="1" t="s">
        <v>112</v>
      </c>
      <c r="G159" s="22">
        <f>invoer!C33</f>
        <v>0</v>
      </c>
    </row>
    <row r="160" spans="1:7" x14ac:dyDescent="0.2">
      <c r="A160" s="1" t="str">
        <f t="shared" si="0"/>
        <v>Value_s[0,59]=0</v>
      </c>
      <c r="F160" s="1" t="s">
        <v>113</v>
      </c>
      <c r="G160" s="22">
        <f>invoer!C34</f>
        <v>0</v>
      </c>
    </row>
    <row r="161" spans="1:7" x14ac:dyDescent="0.2">
      <c r="A161" s="1" t="str">
        <f t="shared" si="0"/>
        <v>Value_s[0,61]=0</v>
      </c>
      <c r="F161" s="1" t="s">
        <v>114</v>
      </c>
      <c r="G161" s="22">
        <f>invoer!C35</f>
        <v>0</v>
      </c>
    </row>
    <row r="162" spans="1:7" x14ac:dyDescent="0.2">
      <c r="A162" s="1" t="str">
        <f t="shared" si="0"/>
        <v>Value_s[0,63]=0</v>
      </c>
      <c r="F162" s="1" t="s">
        <v>115</v>
      </c>
      <c r="G162" s="22">
        <f>invoer!C36</f>
        <v>0</v>
      </c>
    </row>
    <row r="163" spans="1:7" x14ac:dyDescent="0.2">
      <c r="A163" s="1" t="str">
        <f t="shared" ref="A163:A180" si="1">CONCATENATE(F163,"=",G163)</f>
        <v>Value_s[0,65]=0</v>
      </c>
      <c r="F163" s="1" t="s">
        <v>116</v>
      </c>
      <c r="G163" s="22">
        <f>invoer!C37</f>
        <v>0</v>
      </c>
    </row>
    <row r="164" spans="1:7" x14ac:dyDescent="0.2">
      <c r="A164" s="1" t="str">
        <f t="shared" si="1"/>
        <v>Value_s[0,67]=0</v>
      </c>
      <c r="F164" s="1" t="s">
        <v>117</v>
      </c>
      <c r="G164" s="22">
        <f>invoer!C38</f>
        <v>0</v>
      </c>
    </row>
    <row r="165" spans="1:7" x14ac:dyDescent="0.2">
      <c r="A165" s="1" t="str">
        <f t="shared" si="1"/>
        <v>Value_s[0,69]=0</v>
      </c>
      <c r="F165" s="1" t="s">
        <v>118</v>
      </c>
      <c r="G165" s="22">
        <f>invoer!C39</f>
        <v>0</v>
      </c>
    </row>
    <row r="166" spans="1:7" x14ac:dyDescent="0.2">
      <c r="A166" s="1" t="str">
        <f t="shared" si="1"/>
        <v>Value_s[0,71]=0</v>
      </c>
      <c r="F166" s="1" t="s">
        <v>119</v>
      </c>
      <c r="G166" s="22">
        <f>invoer!C40</f>
        <v>0</v>
      </c>
    </row>
    <row r="167" spans="1:7" x14ac:dyDescent="0.2">
      <c r="A167" s="1" t="str">
        <f t="shared" si="1"/>
        <v>Value_s[0,73]=0</v>
      </c>
      <c r="F167" s="1" t="s">
        <v>120</v>
      </c>
      <c r="G167" s="22">
        <f>invoer!C41</f>
        <v>0</v>
      </c>
    </row>
    <row r="168" spans="1:7" x14ac:dyDescent="0.2">
      <c r="A168" s="1" t="str">
        <f t="shared" si="1"/>
        <v>Value_s[0,75]=0</v>
      </c>
      <c r="F168" s="1" t="s">
        <v>121</v>
      </c>
      <c r="G168" s="22">
        <f>invoer!C42</f>
        <v>0</v>
      </c>
    </row>
    <row r="169" spans="1:7" x14ac:dyDescent="0.2">
      <c r="A169" s="1" t="str">
        <f t="shared" si="1"/>
        <v>Value_s[0,77]=0</v>
      </c>
      <c r="F169" s="1" t="s">
        <v>122</v>
      </c>
      <c r="G169" s="22">
        <f>invoer!C43</f>
        <v>0</v>
      </c>
    </row>
    <row r="170" spans="1:7" x14ac:dyDescent="0.2">
      <c r="A170" s="1" t="str">
        <f t="shared" si="1"/>
        <v>Value_s[0,79]=0</v>
      </c>
      <c r="F170" s="1" t="s">
        <v>123</v>
      </c>
      <c r="G170" s="22">
        <f>invoer!C44</f>
        <v>0</v>
      </c>
    </row>
    <row r="171" spans="1:7" x14ac:dyDescent="0.2">
      <c r="A171" s="1" t="str">
        <f t="shared" si="1"/>
        <v>Value_s[0,81]=0</v>
      </c>
      <c r="F171" s="1" t="s">
        <v>124</v>
      </c>
      <c r="G171" s="22">
        <f>invoer!C45</f>
        <v>0</v>
      </c>
    </row>
    <row r="172" spans="1:7" x14ac:dyDescent="0.2">
      <c r="A172" s="1" t="str">
        <f t="shared" si="1"/>
        <v>Value_s[0,83]=0</v>
      </c>
      <c r="F172" s="1" t="s">
        <v>125</v>
      </c>
      <c r="G172" s="22">
        <f>invoer!C46</f>
        <v>0</v>
      </c>
    </row>
    <row r="173" spans="1:7" x14ac:dyDescent="0.2">
      <c r="A173" s="1" t="str">
        <f t="shared" si="1"/>
        <v>Value_s[0,85]=0</v>
      </c>
      <c r="F173" s="1" t="s">
        <v>126</v>
      </c>
      <c r="G173" s="22">
        <f>invoer!C47</f>
        <v>0</v>
      </c>
    </row>
    <row r="174" spans="1:7" x14ac:dyDescent="0.2">
      <c r="A174" s="1" t="str">
        <f t="shared" si="1"/>
        <v>Value_s[0,87]=0</v>
      </c>
      <c r="F174" s="1" t="s">
        <v>127</v>
      </c>
      <c r="G174" s="22">
        <f>invoer!C48</f>
        <v>0</v>
      </c>
    </row>
    <row r="175" spans="1:7" x14ac:dyDescent="0.2">
      <c r="A175" s="1" t="str">
        <f t="shared" si="1"/>
        <v>Value_s[0,89]=0</v>
      </c>
      <c r="F175" s="1" t="s">
        <v>128</v>
      </c>
      <c r="G175" s="22">
        <f>invoer!C49</f>
        <v>0</v>
      </c>
    </row>
    <row r="176" spans="1:7" x14ac:dyDescent="0.2">
      <c r="A176" s="1" t="str">
        <f t="shared" si="1"/>
        <v>Value_s[0,91]=0</v>
      </c>
      <c r="F176" s="1" t="s">
        <v>129</v>
      </c>
      <c r="G176" s="22">
        <f>invoer!C50</f>
        <v>0</v>
      </c>
    </row>
    <row r="177" spans="1:7" x14ac:dyDescent="0.2">
      <c r="A177" s="1" t="str">
        <f t="shared" si="1"/>
        <v>Value_s[0,93]=0</v>
      </c>
      <c r="F177" s="1" t="s">
        <v>130</v>
      </c>
      <c r="G177" s="22">
        <f>invoer!C51</f>
        <v>0</v>
      </c>
    </row>
    <row r="178" spans="1:7" x14ac:dyDescent="0.2">
      <c r="A178" s="1" t="str">
        <f t="shared" si="1"/>
        <v>Value_s[0,95]=0</v>
      </c>
      <c r="F178" s="1" t="s">
        <v>131</v>
      </c>
      <c r="G178" s="22">
        <f>invoer!C52</f>
        <v>0</v>
      </c>
    </row>
    <row r="179" spans="1:7" x14ac:dyDescent="0.2">
      <c r="A179" s="1" t="str">
        <f t="shared" si="1"/>
        <v>Value_s[0,97]=0</v>
      </c>
      <c r="F179" s="1" t="s">
        <v>132</v>
      </c>
      <c r="G179" s="22">
        <f>invoer!C53</f>
        <v>0</v>
      </c>
    </row>
    <row r="180" spans="1:7" x14ac:dyDescent="0.2">
      <c r="A180" s="1" t="str">
        <f t="shared" si="1"/>
        <v>Value_s[0,99]=0</v>
      </c>
      <c r="F180" s="1" t="s">
        <v>133</v>
      </c>
      <c r="G180" s="22">
        <f>invoer!C54</f>
        <v>0</v>
      </c>
    </row>
    <row r="181" spans="1:7" x14ac:dyDescent="0.2">
      <c r="A181" s="23" t="s">
        <v>134</v>
      </c>
      <c r="G181" s="24"/>
    </row>
    <row r="182" spans="1:7" x14ac:dyDescent="0.2">
      <c r="A182" s="23" t="s">
        <v>80</v>
      </c>
      <c r="G182" s="24"/>
    </row>
    <row r="183" spans="1:7" x14ac:dyDescent="0.2">
      <c r="A183" t="s">
        <v>135</v>
      </c>
      <c r="G183" s="22" t="s">
        <v>140</v>
      </c>
    </row>
    <row r="184" spans="1:7" x14ac:dyDescent="0.2">
      <c r="A184" s="23" t="str">
        <f>CONCATENATE(F184,"=",G184)</f>
        <v>value_s=93.505344742483</v>
      </c>
      <c r="F184" s="1" t="s">
        <v>136</v>
      </c>
      <c r="G184" s="25">
        <f>grafiek!B8</f>
        <v>93.505344742483047</v>
      </c>
    </row>
    <row r="185" spans="1:7" x14ac:dyDescent="0.2">
      <c r="A185" t="s">
        <v>137</v>
      </c>
      <c r="G185" s="26" t="s">
        <v>7</v>
      </c>
    </row>
    <row r="186" spans="1:7" x14ac:dyDescent="0.2">
      <c r="A186" s="23" t="str">
        <f>CONCATENATE(F186,"=",G186)</f>
        <v>value_s=0.421262345376595</v>
      </c>
      <c r="F186" s="1" t="s">
        <v>136</v>
      </c>
      <c r="G186" s="27">
        <f>grafiek!B7</f>
        <v>0.42126234537659513</v>
      </c>
    </row>
    <row r="187" spans="1:7" x14ac:dyDescent="0.2">
      <c r="A187" t="s">
        <v>138</v>
      </c>
      <c r="F187" s="23"/>
      <c r="G187" s="22"/>
    </row>
    <row r="188" spans="1:7" x14ac:dyDescent="0.2">
      <c r="A188" s="23" t="str">
        <f>CONCATENATE(F188,"=",G188)</f>
        <v>value_s=</v>
      </c>
      <c r="F188" s="23" t="s">
        <v>136</v>
      </c>
      <c r="G188" s="22"/>
    </row>
    <row r="189" spans="1:7" x14ac:dyDescent="0.2">
      <c r="A189" s="1" t="s">
        <v>139</v>
      </c>
    </row>
  </sheetData>
  <phoneticPr fontId="0" type="noConversion"/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G28"/>
  <sheetViews>
    <sheetView workbookViewId="0">
      <selection activeCell="G22" sqref="G22"/>
    </sheetView>
  </sheetViews>
  <sheetFormatPr defaultColWidth="12.5703125" defaultRowHeight="12.75" x14ac:dyDescent="0.2"/>
  <cols>
    <col min="1" max="1" width="12.5703125" style="1"/>
    <col min="2" max="2" width="18.85546875" style="1" customWidth="1"/>
    <col min="3" max="3" width="12.42578125" style="1" customWidth="1"/>
    <col min="4" max="5" width="12.5703125" style="1"/>
    <col min="6" max="7" width="12" style="1" bestFit="1" customWidth="1"/>
    <col min="8" max="16384" width="12.5703125" style="1"/>
  </cols>
  <sheetData>
    <row r="2" spans="1:7" x14ac:dyDescent="0.2">
      <c r="A2" s="1" t="s">
        <v>48</v>
      </c>
      <c r="B2" s="1" t="str">
        <f>Dispersion!A2</f>
        <v>EM_721</v>
      </c>
    </row>
    <row r="4" spans="1:7" x14ac:dyDescent="0.2">
      <c r="A4" s="1" t="s">
        <v>141</v>
      </c>
      <c r="C4" s="1">
        <v>33.5</v>
      </c>
      <c r="D4" s="1" t="s">
        <v>49</v>
      </c>
    </row>
    <row r="5" spans="1:7" x14ac:dyDescent="0.2">
      <c r="A5" s="1" t="s">
        <v>141</v>
      </c>
      <c r="C5" s="1">
        <v>57.44</v>
      </c>
      <c r="D5" s="1" t="s">
        <v>147</v>
      </c>
    </row>
    <row r="6" spans="1:7" x14ac:dyDescent="0.2">
      <c r="A6" s="1" t="s">
        <v>142</v>
      </c>
      <c r="C6" s="1">
        <v>307.47000000000003</v>
      </c>
      <c r="D6" s="1" t="s">
        <v>50</v>
      </c>
    </row>
    <row r="8" spans="1:7" x14ac:dyDescent="0.2">
      <c r="A8" s="1" t="s">
        <v>143</v>
      </c>
      <c r="C8" s="1">
        <v>290</v>
      </c>
      <c r="D8" s="1" t="s">
        <v>52</v>
      </c>
    </row>
    <row r="10" spans="1:7" x14ac:dyDescent="0.2">
      <c r="A10" s="1" t="s">
        <v>144</v>
      </c>
      <c r="C10" s="1">
        <v>0</v>
      </c>
      <c r="D10" s="1" t="s">
        <v>49</v>
      </c>
      <c r="F10" s="1">
        <f>C10+G10</f>
        <v>31.59657852798647</v>
      </c>
      <c r="G10" s="1">
        <f>(C8/C6)*C4</f>
        <v>31.59657852798647</v>
      </c>
    </row>
    <row r="11" spans="1:7" x14ac:dyDescent="0.2">
      <c r="A11" s="1" t="s">
        <v>144</v>
      </c>
      <c r="C11" s="1">
        <v>0</v>
      </c>
      <c r="D11" s="1" t="s">
        <v>147</v>
      </c>
      <c r="F11" s="1">
        <f>C11+G11</f>
        <v>54.176342407389335</v>
      </c>
      <c r="G11" s="1">
        <f>(C8/C6)*C5</f>
        <v>54.176342407389335</v>
      </c>
    </row>
    <row r="12" spans="1:7" x14ac:dyDescent="0.2">
      <c r="A12" s="1" t="s">
        <v>145</v>
      </c>
      <c r="C12" s="1">
        <v>290</v>
      </c>
      <c r="D12" s="1" t="s">
        <v>50</v>
      </c>
    </row>
    <row r="14" spans="1:7" x14ac:dyDescent="0.2">
      <c r="A14" s="1" t="s">
        <v>51</v>
      </c>
      <c r="C14" s="1">
        <v>180</v>
      </c>
      <c r="D14" s="1" t="s">
        <v>52</v>
      </c>
    </row>
    <row r="16" spans="1:7" x14ac:dyDescent="0.2">
      <c r="A16" s="1" t="s">
        <v>53</v>
      </c>
      <c r="C16" s="2">
        <v>199.46</v>
      </c>
      <c r="D16" s="1" t="s">
        <v>50</v>
      </c>
    </row>
    <row r="18" spans="1:4" x14ac:dyDescent="0.2">
      <c r="A18" s="1" t="s">
        <v>54</v>
      </c>
      <c r="C18" s="16">
        <v>1.2069000000000001</v>
      </c>
      <c r="D18" s="1" t="s">
        <v>55</v>
      </c>
    </row>
    <row r="20" spans="1:4" x14ac:dyDescent="0.2">
      <c r="A20" s="1" t="s">
        <v>56</v>
      </c>
      <c r="C20" s="1">
        <v>1.82</v>
      </c>
      <c r="D20" s="1" t="s">
        <v>55</v>
      </c>
    </row>
    <row r="21" spans="1:4" x14ac:dyDescent="0.2">
      <c r="A21" s="1" t="s">
        <v>146</v>
      </c>
      <c r="C21" s="1">
        <v>2.0699999999999998</v>
      </c>
      <c r="D21" s="1" t="s">
        <v>55</v>
      </c>
    </row>
    <row r="24" spans="1:4" x14ac:dyDescent="0.2">
      <c r="B24" s="1" t="s">
        <v>57</v>
      </c>
      <c r="C24" s="1">
        <f>(((C14/C12*F10)/C20)+((C14/C12*F11)/C21))/(C16/C18)</f>
        <v>0.1634961815392787</v>
      </c>
    </row>
    <row r="26" spans="1:4" x14ac:dyDescent="0.2">
      <c r="B26" s="1" t="s">
        <v>58</v>
      </c>
      <c r="C26" s="1">
        <f>(C24/100+0.78)*0.5</f>
        <v>0.39081748090769641</v>
      </c>
    </row>
    <row r="28" spans="1:4" x14ac:dyDescent="0.2">
      <c r="A28" s="1" t="s">
        <v>59</v>
      </c>
      <c r="C28" s="1">
        <f>C26/(4222802.7*C24)</f>
        <v>5.6606405272018183E-7</v>
      </c>
    </row>
  </sheetData>
  <phoneticPr fontId="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D130"/>
  <sheetViews>
    <sheetView workbookViewId="0">
      <selection activeCell="G129" sqref="G129"/>
    </sheetView>
  </sheetViews>
  <sheetFormatPr defaultColWidth="8.85546875" defaultRowHeight="12.75" x14ac:dyDescent="0.2"/>
  <cols>
    <col min="1" max="1" width="13" style="1" customWidth="1"/>
    <col min="2" max="5" width="8.85546875" style="1"/>
    <col min="6" max="6" width="11.28515625" style="1" bestFit="1" customWidth="1"/>
    <col min="7" max="8" width="10.28515625" style="1" bestFit="1" customWidth="1"/>
    <col min="9" max="10" width="11.28515625" style="1" bestFit="1" customWidth="1"/>
    <col min="11" max="11" width="10.85546875" style="1" bestFit="1" customWidth="1"/>
    <col min="12" max="15" width="10.28515625" style="1" bestFit="1" customWidth="1"/>
    <col min="16" max="23" width="11.28515625" style="1" bestFit="1" customWidth="1"/>
    <col min="24" max="24" width="3" style="1" bestFit="1" customWidth="1"/>
    <col min="25" max="16384" width="8.85546875" style="1"/>
  </cols>
  <sheetData>
    <row r="1" spans="1:7" x14ac:dyDescent="0.2">
      <c r="A1" s="1" t="s">
        <v>61</v>
      </c>
      <c r="G1" s="20" t="s">
        <v>62</v>
      </c>
    </row>
    <row r="2" spans="1:7" x14ac:dyDescent="0.2">
      <c r="A2" s="1" t="str">
        <f>CONCATENATE("importId=",G2)</f>
        <v>importId=24140330</v>
      </c>
      <c r="G2" s="28" t="str">
        <f>grafiek!B3</f>
        <v>24140330</v>
      </c>
    </row>
    <row r="3" spans="1:7" x14ac:dyDescent="0.2">
      <c r="A3" s="1" t="s">
        <v>63</v>
      </c>
      <c r="C3" s="20" t="s">
        <v>64</v>
      </c>
    </row>
    <row r="4" spans="1:7" x14ac:dyDescent="0.2">
      <c r="A4" s="1" t="s">
        <v>65</v>
      </c>
    </row>
    <row r="5" spans="1:7" x14ac:dyDescent="0.2">
      <c r="A5" s="1" t="s">
        <v>66</v>
      </c>
    </row>
    <row r="6" spans="1:7" x14ac:dyDescent="0.2">
      <c r="A6" s="1" t="s">
        <v>67</v>
      </c>
    </row>
    <row r="7" spans="1:7" x14ac:dyDescent="0.2">
      <c r="A7" s="1" t="s">
        <v>68</v>
      </c>
    </row>
    <row r="8" spans="1:7" x14ac:dyDescent="0.2">
      <c r="A8" s="1" t="s">
        <v>69</v>
      </c>
    </row>
    <row r="9" spans="1:7" x14ac:dyDescent="0.2">
      <c r="A9" s="1" t="s">
        <v>70</v>
      </c>
    </row>
    <row r="10" spans="1:7" x14ac:dyDescent="0.2">
      <c r="A10" s="1" t="s">
        <v>71</v>
      </c>
    </row>
    <row r="11" spans="1:7" x14ac:dyDescent="0.2">
      <c r="A11" s="1" t="s">
        <v>72</v>
      </c>
    </row>
    <row r="12" spans="1:7" x14ac:dyDescent="0.2">
      <c r="A12" s="1" t="s">
        <v>73</v>
      </c>
    </row>
    <row r="13" spans="1:7" x14ac:dyDescent="0.2">
      <c r="A13" s="1" t="s">
        <v>74</v>
      </c>
    </row>
    <row r="14" spans="1:7" x14ac:dyDescent="0.2">
      <c r="A14" s="1" t="s">
        <v>75</v>
      </c>
    </row>
    <row r="15" spans="1:7" x14ac:dyDescent="0.2">
      <c r="A15" s="1" t="s">
        <v>76</v>
      </c>
    </row>
    <row r="16" spans="1:7" x14ac:dyDescent="0.2">
      <c r="A16" s="1" t="s">
        <v>77</v>
      </c>
    </row>
    <row r="17" spans="1:7" x14ac:dyDescent="0.2">
      <c r="A17" s="1" t="s">
        <v>78</v>
      </c>
    </row>
    <row r="18" spans="1:7" x14ac:dyDescent="0.2">
      <c r="A18" s="1" t="s">
        <v>79</v>
      </c>
    </row>
    <row r="19" spans="1:7" x14ac:dyDescent="0.2">
      <c r="A19" s="1" t="s">
        <v>80</v>
      </c>
    </row>
    <row r="20" spans="1:7" x14ac:dyDescent="0.2">
      <c r="A20" s="1" t="s">
        <v>81</v>
      </c>
    </row>
    <row r="21" spans="1:7" x14ac:dyDescent="0.2">
      <c r="A21" s="1" t="s">
        <v>82</v>
      </c>
    </row>
    <row r="22" spans="1:7" x14ac:dyDescent="0.2">
      <c r="A22" s="1" t="s">
        <v>80</v>
      </c>
    </row>
    <row r="23" spans="1:7" x14ac:dyDescent="0.2">
      <c r="A23" t="s">
        <v>151</v>
      </c>
    </row>
    <row r="24" spans="1:7" x14ac:dyDescent="0.2">
      <c r="A24" s="1" t="str">
        <f t="shared" ref="A24:A73" si="0">CONCATENATE(F24,"=",G24)</f>
        <v>value_s[0,0]=1</v>
      </c>
      <c r="F24" s="1" t="s">
        <v>152</v>
      </c>
      <c r="G24" s="27">
        <v>1</v>
      </c>
    </row>
    <row r="25" spans="1:7" x14ac:dyDescent="0.2">
      <c r="A25" s="1" t="str">
        <f t="shared" si="0"/>
        <v>value_s[0,1]=3</v>
      </c>
      <c r="F25" s="1" t="s">
        <v>153</v>
      </c>
      <c r="G25" s="27">
        <v>3</v>
      </c>
    </row>
    <row r="26" spans="1:7" x14ac:dyDescent="0.2">
      <c r="A26" s="1" t="str">
        <f t="shared" si="0"/>
        <v>value_s[0,2]=5</v>
      </c>
      <c r="F26" s="1" t="s">
        <v>156</v>
      </c>
      <c r="G26" s="27">
        <v>5</v>
      </c>
    </row>
    <row r="27" spans="1:7" x14ac:dyDescent="0.2">
      <c r="A27" s="1" t="str">
        <f t="shared" si="0"/>
        <v>value_s[0,3]=7</v>
      </c>
      <c r="F27" s="1" t="s">
        <v>157</v>
      </c>
      <c r="G27" s="27">
        <v>7</v>
      </c>
    </row>
    <row r="28" spans="1:7" x14ac:dyDescent="0.2">
      <c r="A28" s="1" t="str">
        <f t="shared" si="0"/>
        <v>value_s[0,4]=9</v>
      </c>
      <c r="F28" s="1" t="s">
        <v>158</v>
      </c>
      <c r="G28" s="27">
        <v>9</v>
      </c>
    </row>
    <row r="29" spans="1:7" x14ac:dyDescent="0.2">
      <c r="A29" s="1" t="str">
        <f t="shared" si="0"/>
        <v>value_s[0,5]=11</v>
      </c>
      <c r="F29" s="1" t="s">
        <v>159</v>
      </c>
      <c r="G29" s="27">
        <v>11</v>
      </c>
    </row>
    <row r="30" spans="1:7" x14ac:dyDescent="0.2">
      <c r="A30" s="1" t="str">
        <f t="shared" si="0"/>
        <v>value_s[0,6]=13</v>
      </c>
      <c r="F30" s="1" t="s">
        <v>160</v>
      </c>
      <c r="G30" s="27">
        <v>13</v>
      </c>
    </row>
    <row r="31" spans="1:7" x14ac:dyDescent="0.2">
      <c r="A31" s="1" t="str">
        <f t="shared" si="0"/>
        <v>value_s[0,7]=15</v>
      </c>
      <c r="F31" s="1" t="s">
        <v>161</v>
      </c>
      <c r="G31" s="27">
        <v>15</v>
      </c>
    </row>
    <row r="32" spans="1:7" x14ac:dyDescent="0.2">
      <c r="A32" s="1" t="str">
        <f t="shared" si="0"/>
        <v>value_s[0,8]=17</v>
      </c>
      <c r="F32" s="1" t="s">
        <v>162</v>
      </c>
      <c r="G32" s="27">
        <v>17</v>
      </c>
    </row>
    <row r="33" spans="1:30" x14ac:dyDescent="0.2">
      <c r="A33" s="1" t="str">
        <f t="shared" si="0"/>
        <v>value_s[0,9]=19</v>
      </c>
      <c r="F33" s="1" t="s">
        <v>163</v>
      </c>
      <c r="G33" s="27">
        <v>19</v>
      </c>
    </row>
    <row r="34" spans="1:30" x14ac:dyDescent="0.2">
      <c r="A34" s="1" t="str">
        <f t="shared" si="0"/>
        <v>value_s[0,10]=21</v>
      </c>
      <c r="F34" s="1" t="s">
        <v>164</v>
      </c>
      <c r="G34" s="27">
        <v>21</v>
      </c>
    </row>
    <row r="35" spans="1:30" x14ac:dyDescent="0.2">
      <c r="A35" s="1" t="str">
        <f t="shared" si="0"/>
        <v>value_s[0,11]=23</v>
      </c>
      <c r="F35" s="1" t="s">
        <v>165</v>
      </c>
      <c r="G35" s="27">
        <v>23</v>
      </c>
    </row>
    <row r="36" spans="1:30" x14ac:dyDescent="0.2">
      <c r="A36" s="1" t="str">
        <f t="shared" si="0"/>
        <v>value_s[0,12]=25</v>
      </c>
      <c r="F36" s="1" t="s">
        <v>166</v>
      </c>
      <c r="G36" s="27">
        <v>25</v>
      </c>
    </row>
    <row r="37" spans="1:30" x14ac:dyDescent="0.2">
      <c r="A37" s="1" t="str">
        <f t="shared" si="0"/>
        <v>value_s[0,13]=27</v>
      </c>
      <c r="F37" s="1" t="s">
        <v>167</v>
      </c>
      <c r="G37" s="27">
        <v>27</v>
      </c>
    </row>
    <row r="38" spans="1:30" x14ac:dyDescent="0.2">
      <c r="A38" s="1" t="str">
        <f t="shared" si="0"/>
        <v>value_s[0,14]=29</v>
      </c>
      <c r="F38" s="1" t="s">
        <v>168</v>
      </c>
      <c r="G38" s="27">
        <v>29</v>
      </c>
    </row>
    <row r="39" spans="1:30" x14ac:dyDescent="0.2">
      <c r="A39" s="1" t="str">
        <f t="shared" si="0"/>
        <v>value_s[0,15]=31</v>
      </c>
      <c r="F39" s="1" t="s">
        <v>169</v>
      </c>
      <c r="G39" s="27">
        <v>31</v>
      </c>
    </row>
    <row r="40" spans="1:30" x14ac:dyDescent="0.2">
      <c r="A40" s="1" t="str">
        <f t="shared" si="0"/>
        <v>value_s[0,16]=33</v>
      </c>
      <c r="F40" s="1" t="s">
        <v>170</v>
      </c>
      <c r="G40" s="27">
        <v>33</v>
      </c>
    </row>
    <row r="41" spans="1:30" x14ac:dyDescent="0.2">
      <c r="A41" s="1" t="str">
        <f t="shared" si="0"/>
        <v>value_s[0,17]=35</v>
      </c>
      <c r="F41" s="1" t="s">
        <v>171</v>
      </c>
      <c r="G41" s="27">
        <v>35</v>
      </c>
    </row>
    <row r="42" spans="1:30" x14ac:dyDescent="0.2">
      <c r="A42" s="1" t="str">
        <f t="shared" si="0"/>
        <v>value_s[0,18]=37</v>
      </c>
      <c r="F42" s="1" t="s">
        <v>172</v>
      </c>
      <c r="G42" s="27">
        <v>37</v>
      </c>
    </row>
    <row r="43" spans="1:30" x14ac:dyDescent="0.2">
      <c r="A43" s="1" t="str">
        <f t="shared" si="0"/>
        <v>value_s[0,19]=39</v>
      </c>
      <c r="F43" s="1" t="s">
        <v>173</v>
      </c>
      <c r="G43" s="27">
        <v>39</v>
      </c>
      <c r="H43" s="24"/>
      <c r="I43" s="24"/>
      <c r="J43" s="24"/>
      <c r="K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</row>
    <row r="44" spans="1:30" x14ac:dyDescent="0.2">
      <c r="A44" s="1" t="str">
        <f t="shared" si="0"/>
        <v>value_s[0,20]=41</v>
      </c>
      <c r="F44" s="1" t="s">
        <v>174</v>
      </c>
      <c r="G44" s="27">
        <v>41</v>
      </c>
    </row>
    <row r="45" spans="1:30" x14ac:dyDescent="0.2">
      <c r="A45" s="1" t="str">
        <f t="shared" si="0"/>
        <v>value_s[0,21]=43</v>
      </c>
      <c r="F45" s="1" t="s">
        <v>175</v>
      </c>
      <c r="G45" s="27">
        <v>43</v>
      </c>
    </row>
    <row r="46" spans="1:30" x14ac:dyDescent="0.2">
      <c r="A46" s="1" t="str">
        <f t="shared" si="0"/>
        <v>value_s[0,22]=45</v>
      </c>
      <c r="F46" s="1" t="s">
        <v>176</v>
      </c>
      <c r="G46" s="27">
        <v>45</v>
      </c>
    </row>
    <row r="47" spans="1:30" x14ac:dyDescent="0.2">
      <c r="A47" s="1" t="str">
        <f t="shared" si="0"/>
        <v>value_s[0,23]=47</v>
      </c>
      <c r="F47" s="1" t="s">
        <v>177</v>
      </c>
      <c r="G47" s="27">
        <v>47</v>
      </c>
    </row>
    <row r="48" spans="1:30" x14ac:dyDescent="0.2">
      <c r="A48" s="1" t="str">
        <f t="shared" si="0"/>
        <v>value_s[0,24]=49</v>
      </c>
      <c r="F48" s="1" t="s">
        <v>178</v>
      </c>
      <c r="G48" s="27">
        <v>49</v>
      </c>
    </row>
    <row r="49" spans="1:7" x14ac:dyDescent="0.2">
      <c r="A49" s="1" t="str">
        <f t="shared" si="0"/>
        <v>value_s[0,25]=51</v>
      </c>
      <c r="F49" s="1" t="s">
        <v>179</v>
      </c>
      <c r="G49" s="27">
        <v>51</v>
      </c>
    </row>
    <row r="50" spans="1:7" x14ac:dyDescent="0.2">
      <c r="A50" s="1" t="str">
        <f t="shared" si="0"/>
        <v>value_s[0,26]=53</v>
      </c>
      <c r="F50" s="1" t="s">
        <v>180</v>
      </c>
      <c r="G50" s="27">
        <v>53</v>
      </c>
    </row>
    <row r="51" spans="1:7" x14ac:dyDescent="0.2">
      <c r="A51" s="1" t="str">
        <f t="shared" si="0"/>
        <v>value_s[0,27]=55</v>
      </c>
      <c r="F51" s="1" t="s">
        <v>181</v>
      </c>
      <c r="G51" s="27">
        <v>55</v>
      </c>
    </row>
    <row r="52" spans="1:7" x14ac:dyDescent="0.2">
      <c r="A52" s="1" t="str">
        <f t="shared" si="0"/>
        <v>value_s[0,28]=57</v>
      </c>
      <c r="F52" s="1" t="s">
        <v>182</v>
      </c>
      <c r="G52" s="27">
        <v>57</v>
      </c>
    </row>
    <row r="53" spans="1:7" x14ac:dyDescent="0.2">
      <c r="A53" s="1" t="str">
        <f t="shared" si="0"/>
        <v>value_s[0,29]=59</v>
      </c>
      <c r="F53" s="1" t="s">
        <v>183</v>
      </c>
      <c r="G53" s="27">
        <v>59</v>
      </c>
    </row>
    <row r="54" spans="1:7" x14ac:dyDescent="0.2">
      <c r="A54" s="1" t="str">
        <f t="shared" si="0"/>
        <v>value_s[0,30]=61</v>
      </c>
      <c r="F54" s="1" t="s">
        <v>184</v>
      </c>
      <c r="G54" s="27">
        <v>61</v>
      </c>
    </row>
    <row r="55" spans="1:7" x14ac:dyDescent="0.2">
      <c r="A55" s="1" t="str">
        <f t="shared" si="0"/>
        <v>value_s[0,31]=63</v>
      </c>
      <c r="F55" s="1" t="s">
        <v>185</v>
      </c>
      <c r="G55" s="27">
        <v>63</v>
      </c>
    </row>
    <row r="56" spans="1:7" x14ac:dyDescent="0.2">
      <c r="A56" s="1" t="str">
        <f t="shared" si="0"/>
        <v>value_s[0,32]=65</v>
      </c>
      <c r="F56" s="1" t="s">
        <v>186</v>
      </c>
      <c r="G56" s="27">
        <v>65</v>
      </c>
    </row>
    <row r="57" spans="1:7" x14ac:dyDescent="0.2">
      <c r="A57" s="1" t="str">
        <f t="shared" si="0"/>
        <v>value_s[0,33]=67</v>
      </c>
      <c r="F57" s="1" t="s">
        <v>187</v>
      </c>
      <c r="G57" s="27">
        <v>67</v>
      </c>
    </row>
    <row r="58" spans="1:7" x14ac:dyDescent="0.2">
      <c r="A58" s="1" t="str">
        <f t="shared" si="0"/>
        <v>value_s[0,34]=69</v>
      </c>
      <c r="F58" s="1" t="s">
        <v>188</v>
      </c>
      <c r="G58" s="27">
        <v>69</v>
      </c>
    </row>
    <row r="59" spans="1:7" x14ac:dyDescent="0.2">
      <c r="A59" s="1" t="str">
        <f t="shared" si="0"/>
        <v>value_s[0,35]=71</v>
      </c>
      <c r="F59" s="1" t="s">
        <v>189</v>
      </c>
      <c r="G59" s="27">
        <v>71</v>
      </c>
    </row>
    <row r="60" spans="1:7" x14ac:dyDescent="0.2">
      <c r="A60" s="1" t="str">
        <f t="shared" si="0"/>
        <v>value_s[0,36]=73</v>
      </c>
      <c r="F60" s="1" t="s">
        <v>190</v>
      </c>
      <c r="G60" s="27">
        <v>73</v>
      </c>
    </row>
    <row r="61" spans="1:7" x14ac:dyDescent="0.2">
      <c r="A61" s="1" t="str">
        <f t="shared" si="0"/>
        <v>value_s[0,37]=75</v>
      </c>
      <c r="F61" s="1" t="s">
        <v>191</v>
      </c>
      <c r="G61" s="27">
        <v>75</v>
      </c>
    </row>
    <row r="62" spans="1:7" x14ac:dyDescent="0.2">
      <c r="A62" s="1" t="str">
        <f t="shared" si="0"/>
        <v>value_s[0,38]=77</v>
      </c>
      <c r="F62" s="1" t="s">
        <v>192</v>
      </c>
      <c r="G62" s="27">
        <v>77</v>
      </c>
    </row>
    <row r="63" spans="1:7" x14ac:dyDescent="0.2">
      <c r="A63" s="1" t="str">
        <f t="shared" si="0"/>
        <v>value_s[0,39]=79</v>
      </c>
      <c r="F63" s="1" t="s">
        <v>193</v>
      </c>
      <c r="G63" s="27">
        <v>79</v>
      </c>
    </row>
    <row r="64" spans="1:7" x14ac:dyDescent="0.2">
      <c r="A64" s="1" t="str">
        <f t="shared" si="0"/>
        <v>value_s[0,40]=81</v>
      </c>
      <c r="F64" s="1" t="s">
        <v>194</v>
      </c>
      <c r="G64" s="27">
        <v>81</v>
      </c>
    </row>
    <row r="65" spans="1:7" x14ac:dyDescent="0.2">
      <c r="A65" s="1" t="str">
        <f t="shared" si="0"/>
        <v>value_s[0,41]=83</v>
      </c>
      <c r="F65" s="1" t="s">
        <v>195</v>
      </c>
      <c r="G65" s="27">
        <v>83</v>
      </c>
    </row>
    <row r="66" spans="1:7" x14ac:dyDescent="0.2">
      <c r="A66" s="1" t="str">
        <f t="shared" si="0"/>
        <v>value_s[0,42]=85</v>
      </c>
      <c r="F66" s="1" t="s">
        <v>196</v>
      </c>
      <c r="G66" s="27">
        <v>85</v>
      </c>
    </row>
    <row r="67" spans="1:7" x14ac:dyDescent="0.2">
      <c r="A67" s="1" t="str">
        <f t="shared" si="0"/>
        <v>value_s[0,43]=87</v>
      </c>
      <c r="F67" s="1" t="s">
        <v>197</v>
      </c>
      <c r="G67" s="27">
        <v>87</v>
      </c>
    </row>
    <row r="68" spans="1:7" x14ac:dyDescent="0.2">
      <c r="A68" s="1" t="str">
        <f t="shared" si="0"/>
        <v>value_s[0,44]=89</v>
      </c>
      <c r="F68" s="1" t="s">
        <v>198</v>
      </c>
      <c r="G68" s="27">
        <v>89</v>
      </c>
    </row>
    <row r="69" spans="1:7" x14ac:dyDescent="0.2">
      <c r="A69" s="1" t="str">
        <f t="shared" si="0"/>
        <v>value_s[0,45]=91</v>
      </c>
      <c r="F69" s="1" t="s">
        <v>199</v>
      </c>
      <c r="G69" s="27">
        <v>91</v>
      </c>
    </row>
    <row r="70" spans="1:7" x14ac:dyDescent="0.2">
      <c r="A70" s="1" t="str">
        <f t="shared" si="0"/>
        <v>value_s[0,46]=93</v>
      </c>
      <c r="F70" s="1" t="s">
        <v>200</v>
      </c>
      <c r="G70" s="27">
        <v>93</v>
      </c>
    </row>
    <row r="71" spans="1:7" x14ac:dyDescent="0.2">
      <c r="A71" s="1" t="str">
        <f t="shared" si="0"/>
        <v>value_s[0,47]=95</v>
      </c>
      <c r="F71" s="1" t="s">
        <v>201</v>
      </c>
      <c r="G71" s="27">
        <v>95</v>
      </c>
    </row>
    <row r="72" spans="1:7" x14ac:dyDescent="0.2">
      <c r="A72" s="1" t="str">
        <f t="shared" si="0"/>
        <v>value_s[0,48]=97</v>
      </c>
      <c r="F72" s="1" t="s">
        <v>202</v>
      </c>
      <c r="G72" s="27">
        <v>97</v>
      </c>
    </row>
    <row r="73" spans="1:7" x14ac:dyDescent="0.2">
      <c r="A73" s="1" t="str">
        <f t="shared" si="0"/>
        <v>value_s[0,49]=99</v>
      </c>
      <c r="F73" s="1" t="s">
        <v>203</v>
      </c>
      <c r="G73" s="27">
        <v>99</v>
      </c>
    </row>
    <row r="74" spans="1:7" x14ac:dyDescent="0.2">
      <c r="A74" s="1" t="str">
        <f t="shared" ref="A74:A123" si="1">CONCATENATE(F74,"=",G74)</f>
        <v>value_s[1,0]=0</v>
      </c>
      <c r="F74" s="1" t="s">
        <v>154</v>
      </c>
      <c r="G74" s="27">
        <f>invoer!C5</f>
        <v>0</v>
      </c>
    </row>
    <row r="75" spans="1:7" x14ac:dyDescent="0.2">
      <c r="A75" s="1" t="str">
        <f t="shared" si="1"/>
        <v>value_s[1,1]=0</v>
      </c>
      <c r="F75" s="1" t="s">
        <v>155</v>
      </c>
      <c r="G75" s="27">
        <f>invoer!C6</f>
        <v>0</v>
      </c>
    </row>
    <row r="76" spans="1:7" x14ac:dyDescent="0.2">
      <c r="A76" s="1" t="str">
        <f t="shared" si="1"/>
        <v>value_s[1,2]=50.8484848484849</v>
      </c>
      <c r="F76" s="1" t="s">
        <v>204</v>
      </c>
      <c r="G76" s="27">
        <f>invoer!C7</f>
        <v>50.848484848484851</v>
      </c>
    </row>
    <row r="77" spans="1:7" x14ac:dyDescent="0.2">
      <c r="A77" s="1" t="str">
        <f t="shared" si="1"/>
        <v>value_s[1,3]=22.969696969697</v>
      </c>
      <c r="F77" s="1" t="s">
        <v>205</v>
      </c>
      <c r="G77" s="27">
        <f>invoer!C8</f>
        <v>22.969696969696969</v>
      </c>
    </row>
    <row r="78" spans="1:7" x14ac:dyDescent="0.2">
      <c r="A78" s="1" t="str">
        <f t="shared" si="1"/>
        <v>value_s[1,4]=10.6060606060606</v>
      </c>
      <c r="F78" s="1" t="s">
        <v>206</v>
      </c>
      <c r="G78" s="27">
        <f>invoer!C9</f>
        <v>10.606060606060606</v>
      </c>
    </row>
    <row r="79" spans="1:7" x14ac:dyDescent="0.2">
      <c r="A79" s="1" t="str">
        <f t="shared" si="1"/>
        <v>value_s[1,5]=4.18181818181818</v>
      </c>
      <c r="F79" s="1" t="s">
        <v>207</v>
      </c>
      <c r="G79" s="27">
        <f>invoer!C10</f>
        <v>4.1818181818181817</v>
      </c>
    </row>
    <row r="80" spans="1:7" x14ac:dyDescent="0.2">
      <c r="A80" s="1" t="str">
        <f t="shared" si="1"/>
        <v>value_s[1,6]=2.48484848484848</v>
      </c>
      <c r="F80" s="1" t="s">
        <v>208</v>
      </c>
      <c r="G80" s="27">
        <f>invoer!C11</f>
        <v>2.4848484848484849</v>
      </c>
    </row>
    <row r="81" spans="1:7" x14ac:dyDescent="0.2">
      <c r="A81" s="1" t="str">
        <f t="shared" si="1"/>
        <v>value_s[1,7]=2.42424242424242</v>
      </c>
      <c r="F81" s="1" t="s">
        <v>209</v>
      </c>
      <c r="G81" s="27">
        <f>invoer!C12</f>
        <v>2.4242424242424243</v>
      </c>
    </row>
    <row r="82" spans="1:7" x14ac:dyDescent="0.2">
      <c r="A82" s="1" t="str">
        <f t="shared" si="1"/>
        <v>value_s[1,8]=1.33333333333333</v>
      </c>
      <c r="F82" s="1" t="s">
        <v>210</v>
      </c>
      <c r="G82" s="27">
        <f>invoer!C13</f>
        <v>1.3333333333333335</v>
      </c>
    </row>
    <row r="83" spans="1:7" x14ac:dyDescent="0.2">
      <c r="A83" s="1" t="str">
        <f t="shared" si="1"/>
        <v>value_s[1,9]=1.21212121212121</v>
      </c>
      <c r="F83" s="1" t="s">
        <v>211</v>
      </c>
      <c r="G83" s="27">
        <f>invoer!C14</f>
        <v>1.2121212121212122</v>
      </c>
    </row>
    <row r="84" spans="1:7" x14ac:dyDescent="0.2">
      <c r="A84" s="1" t="str">
        <f t="shared" si="1"/>
        <v>value_s[1,10]=0.606060606060606</v>
      </c>
      <c r="F84" s="1" t="s">
        <v>248</v>
      </c>
      <c r="G84" s="27">
        <f>invoer!C15</f>
        <v>0.60606060606060608</v>
      </c>
    </row>
    <row r="85" spans="1:7" x14ac:dyDescent="0.2">
      <c r="A85" s="1" t="str">
        <f t="shared" si="1"/>
        <v>value_s[1,11]=1.03030303030303</v>
      </c>
      <c r="F85" s="1" t="s">
        <v>212</v>
      </c>
      <c r="G85" s="27">
        <f>invoer!C16</f>
        <v>1.0303030303030303</v>
      </c>
    </row>
    <row r="86" spans="1:7" x14ac:dyDescent="0.2">
      <c r="A86" s="1" t="str">
        <f t="shared" si="1"/>
        <v>value_s[1,12]=0.606060606060606</v>
      </c>
      <c r="F86" s="1" t="s">
        <v>213</v>
      </c>
      <c r="G86" s="27">
        <f>invoer!C17</f>
        <v>0.60606060606060608</v>
      </c>
    </row>
    <row r="87" spans="1:7" x14ac:dyDescent="0.2">
      <c r="A87" s="1" t="str">
        <f t="shared" si="1"/>
        <v>value_s[1,13]=0.242424242424242</v>
      </c>
      <c r="F87" s="1" t="s">
        <v>214</v>
      </c>
      <c r="G87" s="27">
        <f>invoer!C18</f>
        <v>0.24242424242424243</v>
      </c>
    </row>
    <row r="88" spans="1:7" x14ac:dyDescent="0.2">
      <c r="A88" s="1" t="str">
        <f t="shared" si="1"/>
        <v>value_s[1,14]=0.424242424242424</v>
      </c>
      <c r="F88" s="1" t="s">
        <v>215</v>
      </c>
      <c r="G88" s="27">
        <f>invoer!C19</f>
        <v>0.42424242424242431</v>
      </c>
    </row>
    <row r="89" spans="1:7" x14ac:dyDescent="0.2">
      <c r="A89" s="1" t="str">
        <f t="shared" si="1"/>
        <v>value_s[1,15]=0.303030303030303</v>
      </c>
      <c r="F89" s="1" t="s">
        <v>216</v>
      </c>
      <c r="G89" s="27">
        <f>invoer!C20</f>
        <v>0.30303030303030304</v>
      </c>
    </row>
    <row r="90" spans="1:7" x14ac:dyDescent="0.2">
      <c r="A90" s="1" t="str">
        <f t="shared" si="1"/>
        <v>value_s[1,16]=0.181818181818182</v>
      </c>
      <c r="F90" s="1" t="s">
        <v>217</v>
      </c>
      <c r="G90" s="27">
        <f>invoer!C21</f>
        <v>0.18181818181818182</v>
      </c>
    </row>
    <row r="91" spans="1:7" x14ac:dyDescent="0.2">
      <c r="A91" s="1" t="str">
        <f t="shared" si="1"/>
        <v>value_s[1,17]=0.121212121212121</v>
      </c>
      <c r="F91" s="1" t="s">
        <v>218</v>
      </c>
      <c r="G91" s="27">
        <f>invoer!C22</f>
        <v>0.12121212121212122</v>
      </c>
    </row>
    <row r="92" spans="1:7" x14ac:dyDescent="0.2">
      <c r="A92" s="1" t="str">
        <f t="shared" si="1"/>
        <v>value_s[1,18]=0.181818181818182</v>
      </c>
      <c r="F92" s="1" t="s">
        <v>219</v>
      </c>
      <c r="G92" s="27">
        <f>invoer!C23</f>
        <v>0.18181818181818182</v>
      </c>
    </row>
    <row r="93" spans="1:7" x14ac:dyDescent="0.2">
      <c r="A93" s="1" t="str">
        <f t="shared" si="1"/>
        <v>value_s[1,19]=0.0606060606060606</v>
      </c>
      <c r="F93" s="1" t="s">
        <v>220</v>
      </c>
      <c r="G93" s="27">
        <f>invoer!C24</f>
        <v>6.0606060606060608E-2</v>
      </c>
    </row>
    <row r="94" spans="1:7" x14ac:dyDescent="0.2">
      <c r="A94" s="1" t="str">
        <f t="shared" si="1"/>
        <v>value_s[1,20]=0.0606060606060606</v>
      </c>
      <c r="F94" s="1" t="s">
        <v>249</v>
      </c>
      <c r="G94" s="27">
        <f>invoer!C25</f>
        <v>6.0606060606060608E-2</v>
      </c>
    </row>
    <row r="95" spans="1:7" x14ac:dyDescent="0.2">
      <c r="A95" s="1" t="str">
        <f t="shared" si="1"/>
        <v>value_s[1,21]=0.0606060606060606</v>
      </c>
      <c r="F95" s="1" t="s">
        <v>221</v>
      </c>
      <c r="G95" s="27">
        <f>invoer!C26</f>
        <v>6.0606060606060608E-2</v>
      </c>
    </row>
    <row r="96" spans="1:7" x14ac:dyDescent="0.2">
      <c r="A96" s="1" t="str">
        <f t="shared" si="1"/>
        <v>value_s[1,22]=0</v>
      </c>
      <c r="F96" s="1" t="s">
        <v>222</v>
      </c>
      <c r="G96" s="27">
        <f>invoer!C27</f>
        <v>0</v>
      </c>
    </row>
    <row r="97" spans="1:7" x14ac:dyDescent="0.2">
      <c r="A97" s="1" t="str">
        <f t="shared" si="1"/>
        <v>value_s[1,23]=0.0606060606060606</v>
      </c>
      <c r="F97" s="1" t="s">
        <v>223</v>
      </c>
      <c r="G97" s="27">
        <f>invoer!C28</f>
        <v>6.0606060606060608E-2</v>
      </c>
    </row>
    <row r="98" spans="1:7" x14ac:dyDescent="0.2">
      <c r="A98" s="1" t="str">
        <f t="shared" si="1"/>
        <v>value_s[1,24]=0</v>
      </c>
      <c r="F98" s="1" t="s">
        <v>224</v>
      </c>
      <c r="G98" s="27">
        <f>invoer!C29</f>
        <v>0</v>
      </c>
    </row>
    <row r="99" spans="1:7" x14ac:dyDescent="0.2">
      <c r="A99" s="1" t="str">
        <f t="shared" si="1"/>
        <v>value_s[1,25]=0</v>
      </c>
      <c r="F99" s="1" t="s">
        <v>225</v>
      </c>
      <c r="G99" s="27">
        <f>invoer!C30</f>
        <v>0</v>
      </c>
    </row>
    <row r="100" spans="1:7" x14ac:dyDescent="0.2">
      <c r="A100" s="1" t="str">
        <f t="shared" si="1"/>
        <v>value_s[1,26]=0</v>
      </c>
      <c r="F100" s="1" t="s">
        <v>226</v>
      </c>
      <c r="G100" s="27">
        <f>invoer!C31</f>
        <v>0</v>
      </c>
    </row>
    <row r="101" spans="1:7" x14ac:dyDescent="0.2">
      <c r="A101" s="1" t="str">
        <f t="shared" si="1"/>
        <v>value_s[1,27]=0</v>
      </c>
      <c r="F101" s="1" t="s">
        <v>227</v>
      </c>
      <c r="G101" s="27">
        <f>invoer!C32</f>
        <v>0</v>
      </c>
    </row>
    <row r="102" spans="1:7" x14ac:dyDescent="0.2">
      <c r="A102" s="1" t="str">
        <f t="shared" si="1"/>
        <v>value_s[1,28]=0</v>
      </c>
      <c r="F102" s="1" t="s">
        <v>228</v>
      </c>
      <c r="G102" s="27">
        <f>invoer!C33</f>
        <v>0</v>
      </c>
    </row>
    <row r="103" spans="1:7" x14ac:dyDescent="0.2">
      <c r="A103" s="1" t="str">
        <f t="shared" si="1"/>
        <v>value_s[1,29]=0</v>
      </c>
      <c r="F103" s="1" t="s">
        <v>229</v>
      </c>
      <c r="G103" s="27">
        <f>invoer!C34</f>
        <v>0</v>
      </c>
    </row>
    <row r="104" spans="1:7" x14ac:dyDescent="0.2">
      <c r="A104" s="1" t="str">
        <f t="shared" si="1"/>
        <v>value_s[1,30]=0</v>
      </c>
      <c r="F104" s="1" t="s">
        <v>250</v>
      </c>
      <c r="G104" s="27">
        <f>invoer!C35</f>
        <v>0</v>
      </c>
    </row>
    <row r="105" spans="1:7" x14ac:dyDescent="0.2">
      <c r="A105" s="1" t="str">
        <f t="shared" si="1"/>
        <v>value_s[1,31]=0</v>
      </c>
      <c r="F105" s="1" t="s">
        <v>230</v>
      </c>
      <c r="G105" s="27">
        <f>invoer!C36</f>
        <v>0</v>
      </c>
    </row>
    <row r="106" spans="1:7" x14ac:dyDescent="0.2">
      <c r="A106" s="1" t="str">
        <f t="shared" si="1"/>
        <v>value_s[1,32]=0</v>
      </c>
      <c r="F106" s="1" t="s">
        <v>231</v>
      </c>
      <c r="G106" s="27">
        <f>invoer!C37</f>
        <v>0</v>
      </c>
    </row>
    <row r="107" spans="1:7" x14ac:dyDescent="0.2">
      <c r="A107" s="1" t="str">
        <f t="shared" si="1"/>
        <v>value_s[1,33]=0</v>
      </c>
      <c r="F107" s="1" t="s">
        <v>232</v>
      </c>
      <c r="G107" s="27">
        <f>invoer!C38</f>
        <v>0</v>
      </c>
    </row>
    <row r="108" spans="1:7" x14ac:dyDescent="0.2">
      <c r="A108" s="1" t="str">
        <f t="shared" si="1"/>
        <v>value_s[1,34]=0</v>
      </c>
      <c r="F108" s="1" t="s">
        <v>233</v>
      </c>
      <c r="G108" s="27">
        <f>invoer!C39</f>
        <v>0</v>
      </c>
    </row>
    <row r="109" spans="1:7" x14ac:dyDescent="0.2">
      <c r="A109" s="1" t="str">
        <f t="shared" si="1"/>
        <v>value_s[1,35]=0</v>
      </c>
      <c r="F109" s="1" t="s">
        <v>234</v>
      </c>
      <c r="G109" s="27">
        <f>invoer!C40</f>
        <v>0</v>
      </c>
    </row>
    <row r="110" spans="1:7" x14ac:dyDescent="0.2">
      <c r="A110" s="1" t="str">
        <f t="shared" si="1"/>
        <v>value_s[1,36]=0</v>
      </c>
      <c r="F110" s="1" t="s">
        <v>235</v>
      </c>
      <c r="G110" s="27">
        <f>invoer!C41</f>
        <v>0</v>
      </c>
    </row>
    <row r="111" spans="1:7" x14ac:dyDescent="0.2">
      <c r="A111" s="1" t="str">
        <f t="shared" si="1"/>
        <v>value_s[1,37]=0</v>
      </c>
      <c r="F111" s="1" t="s">
        <v>236</v>
      </c>
      <c r="G111" s="27">
        <f>invoer!C42</f>
        <v>0</v>
      </c>
    </row>
    <row r="112" spans="1:7" x14ac:dyDescent="0.2">
      <c r="A112" s="1" t="str">
        <f t="shared" si="1"/>
        <v>value_s[1,38]=0</v>
      </c>
      <c r="F112" s="1" t="s">
        <v>237</v>
      </c>
      <c r="G112" s="27">
        <f>invoer!C43</f>
        <v>0</v>
      </c>
    </row>
    <row r="113" spans="1:7" x14ac:dyDescent="0.2">
      <c r="A113" s="1" t="str">
        <f t="shared" si="1"/>
        <v>value_s[1,39]=0</v>
      </c>
      <c r="F113" s="1" t="s">
        <v>238</v>
      </c>
      <c r="G113" s="27">
        <f>invoer!C44</f>
        <v>0</v>
      </c>
    </row>
    <row r="114" spans="1:7" x14ac:dyDescent="0.2">
      <c r="A114" s="1" t="str">
        <f t="shared" si="1"/>
        <v>value_s[1,40]=0</v>
      </c>
      <c r="F114" s="1" t="s">
        <v>251</v>
      </c>
      <c r="G114" s="27">
        <f>invoer!C45</f>
        <v>0</v>
      </c>
    </row>
    <row r="115" spans="1:7" x14ac:dyDescent="0.2">
      <c r="A115" s="1" t="str">
        <f t="shared" si="1"/>
        <v>value_s[1,41]=0</v>
      </c>
      <c r="F115" s="1" t="s">
        <v>239</v>
      </c>
      <c r="G115" s="27">
        <f>invoer!C46</f>
        <v>0</v>
      </c>
    </row>
    <row r="116" spans="1:7" x14ac:dyDescent="0.2">
      <c r="A116" s="1" t="str">
        <f t="shared" si="1"/>
        <v>value_s[1,42]=0</v>
      </c>
      <c r="F116" s="1" t="s">
        <v>240</v>
      </c>
      <c r="G116" s="27">
        <f>invoer!C47</f>
        <v>0</v>
      </c>
    </row>
    <row r="117" spans="1:7" x14ac:dyDescent="0.2">
      <c r="A117" s="1" t="str">
        <f t="shared" si="1"/>
        <v>value_s[1,43]=0</v>
      </c>
      <c r="F117" s="1" t="s">
        <v>241</v>
      </c>
      <c r="G117" s="27">
        <f>invoer!C48</f>
        <v>0</v>
      </c>
    </row>
    <row r="118" spans="1:7" x14ac:dyDescent="0.2">
      <c r="A118" s="1" t="str">
        <f t="shared" si="1"/>
        <v>value_s[1,44]=0</v>
      </c>
      <c r="F118" s="1" t="s">
        <v>242</v>
      </c>
      <c r="G118" s="27">
        <f>invoer!C49</f>
        <v>0</v>
      </c>
    </row>
    <row r="119" spans="1:7" x14ac:dyDescent="0.2">
      <c r="A119" s="1" t="str">
        <f t="shared" si="1"/>
        <v>value_s[1,45]=0</v>
      </c>
      <c r="F119" s="1" t="s">
        <v>243</v>
      </c>
      <c r="G119" s="27">
        <f>invoer!C50</f>
        <v>0</v>
      </c>
    </row>
    <row r="120" spans="1:7" x14ac:dyDescent="0.2">
      <c r="A120" s="1" t="str">
        <f t="shared" si="1"/>
        <v>value_s[1,46]=0</v>
      </c>
      <c r="F120" s="1" t="s">
        <v>244</v>
      </c>
      <c r="G120" s="27">
        <f>invoer!C51</f>
        <v>0</v>
      </c>
    </row>
    <row r="121" spans="1:7" x14ac:dyDescent="0.2">
      <c r="A121" s="1" t="str">
        <f t="shared" si="1"/>
        <v>value_s[1,47]=0</v>
      </c>
      <c r="F121" s="1" t="s">
        <v>245</v>
      </c>
      <c r="G121" s="27">
        <f>invoer!C52</f>
        <v>0</v>
      </c>
    </row>
    <row r="122" spans="1:7" x14ac:dyDescent="0.2">
      <c r="A122" s="1" t="str">
        <f t="shared" si="1"/>
        <v>value_s[1,48]=0</v>
      </c>
      <c r="F122" s="1" t="s">
        <v>246</v>
      </c>
      <c r="G122" s="27">
        <f>invoer!C53</f>
        <v>0</v>
      </c>
    </row>
    <row r="123" spans="1:7" x14ac:dyDescent="0.2">
      <c r="A123" s="1" t="str">
        <f t="shared" si="1"/>
        <v>value_s[1,49]=0</v>
      </c>
      <c r="F123" s="1" t="s">
        <v>247</v>
      </c>
      <c r="G123" s="27">
        <f>invoer!C54</f>
        <v>0</v>
      </c>
    </row>
    <row r="124" spans="1:7" x14ac:dyDescent="0.2">
      <c r="A124" s="23" t="s">
        <v>134</v>
      </c>
      <c r="G124" s="24"/>
    </row>
    <row r="125" spans="1:7" x14ac:dyDescent="0.2">
      <c r="A125" s="23" t="s">
        <v>80</v>
      </c>
      <c r="G125" s="24"/>
    </row>
    <row r="126" spans="1:7" x14ac:dyDescent="0.2">
      <c r="A126" t="s">
        <v>150</v>
      </c>
      <c r="G126" s="32" t="s">
        <v>149</v>
      </c>
    </row>
    <row r="127" spans="1:7" x14ac:dyDescent="0.2">
      <c r="A127" s="23" t="str">
        <f>CONCATENATE(F127,"=",G127)</f>
        <v>value_s=93.505344742483</v>
      </c>
      <c r="F127" s="1" t="s">
        <v>136</v>
      </c>
      <c r="G127" s="30">
        <f>grafiek!B8</f>
        <v>93.505344742483047</v>
      </c>
    </row>
    <row r="128" spans="1:7" x14ac:dyDescent="0.2">
      <c r="A128" t="s">
        <v>148</v>
      </c>
      <c r="G128" s="29"/>
    </row>
    <row r="129" spans="1:7" x14ac:dyDescent="0.2">
      <c r="A129" s="23" t="str">
        <f>CONCATENATE(F129,"=",G129)</f>
        <v>value_s=0.421262345376595</v>
      </c>
      <c r="F129" s="1" t="s">
        <v>136</v>
      </c>
      <c r="G129" s="29">
        <f>grafiek!B7</f>
        <v>0.42126234537659513</v>
      </c>
    </row>
    <row r="130" spans="1:7" x14ac:dyDescent="0.2">
      <c r="A130" s="1" t="s">
        <v>139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blad1</vt:lpstr>
      <vt:lpstr>invoer</vt:lpstr>
      <vt:lpstr>Dispersion</vt:lpstr>
      <vt:lpstr>BoM</vt:lpstr>
      <vt:lpstr>grafiek</vt:lpstr>
      <vt:lpstr>Berekening</vt:lpstr>
      <vt:lpstr>Unilab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Graaf, Maurits van de</dc:creator>
  <cp:lastModifiedBy>Peter Schepens</cp:lastModifiedBy>
  <dcterms:created xsi:type="dcterms:W3CDTF">2015-02-23T07:35:03Z</dcterms:created>
  <dcterms:modified xsi:type="dcterms:W3CDTF">2024-04-08T15:05:09Z</dcterms:modified>
</cp:coreProperties>
</file>